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shanU2\Desktop\University Data Analysis\"/>
    </mc:Choice>
  </mc:AlternateContent>
  <bookViews>
    <workbookView xWindow="0" yWindow="0" windowWidth="16815" windowHeight="6735" firstSheet="1" activeTab="4"/>
  </bookViews>
  <sheets>
    <sheet name="Updated_Engineering_college_enr" sheetId="1" r:id="rId1"/>
    <sheet name="Sheet1" sheetId="4" r:id="rId2"/>
    <sheet name="Sheet4" sheetId="7" r:id="rId3"/>
    <sheet name="pivots" sheetId="2" r:id="rId4"/>
    <sheet name="Dashboard" sheetId="3" r:id="rId5"/>
    <sheet name="Forecasting" sheetId="5" r:id="rId6"/>
  </sheets>
  <definedNames>
    <definedName name="_xlnm.Print_Area" localSheetId="4">Dashboard!$A$1:$AJ$44</definedName>
    <definedName name="Slicer_Year">#N/A</definedName>
  </definedNames>
  <calcPr calcId="162913"/>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AC266" i="1" l="1"/>
  <c r="AC6" i="1"/>
  <c r="AC515" i="1"/>
  <c r="AC794" i="1"/>
  <c r="AC7" i="1"/>
  <c r="AC267" i="1"/>
  <c r="AC268" i="1"/>
  <c r="AC516" i="1"/>
  <c r="AC8" i="1"/>
  <c r="AC1058" i="1"/>
  <c r="AC517" i="1"/>
  <c r="AC1339" i="1"/>
  <c r="AC795" i="1"/>
  <c r="AC269" i="1"/>
  <c r="AC270" i="1"/>
  <c r="AC1059" i="1"/>
  <c r="AC9" i="1"/>
  <c r="AC10" i="1"/>
  <c r="AC1060" i="1"/>
  <c r="AC271" i="1"/>
  <c r="AC11" i="1"/>
  <c r="AC12" i="1"/>
  <c r="AC796" i="1"/>
  <c r="AC272" i="1"/>
  <c r="AC797" i="1"/>
  <c r="AC1061" i="1"/>
  <c r="AC1062" i="1"/>
  <c r="AC798" i="1"/>
  <c r="AC518" i="1"/>
  <c r="AC13" i="1"/>
  <c r="AC14" i="1"/>
  <c r="AC1063" i="1"/>
  <c r="AC519" i="1"/>
  <c r="AC273" i="1"/>
  <c r="AC1064" i="1"/>
  <c r="AC1065" i="1"/>
  <c r="AC520" i="1"/>
  <c r="AC1340" i="1"/>
  <c r="AC15" i="1"/>
  <c r="AC274" i="1"/>
  <c r="AC1341" i="1"/>
  <c r="AC275" i="1"/>
  <c r="AC276" i="1"/>
  <c r="AC277" i="1"/>
  <c r="AC521" i="1"/>
  <c r="AC278" i="1"/>
  <c r="AC1342" i="1"/>
  <c r="AC799" i="1"/>
  <c r="AC1343" i="1"/>
  <c r="AC800" i="1"/>
  <c r="AC801" i="1"/>
  <c r="AC1066" i="1"/>
  <c r="AC522" i="1"/>
  <c r="AC1344" i="1"/>
  <c r="AC523" i="1"/>
  <c r="AC524" i="1"/>
  <c r="AC802" i="1"/>
  <c r="AC1067" i="1"/>
  <c r="AC803" i="1"/>
  <c r="AC1068" i="1"/>
  <c r="AC279" i="1"/>
  <c r="AC1069" i="1"/>
  <c r="AC525" i="1"/>
  <c r="AC804" i="1"/>
  <c r="AC526" i="1"/>
  <c r="AC1345" i="1"/>
  <c r="AC1346" i="1"/>
  <c r="AC527" i="1"/>
  <c r="AC1347" i="1"/>
  <c r="AC280" i="1"/>
  <c r="AC16" i="1"/>
  <c r="AC1070" i="1"/>
  <c r="AC1348" i="1"/>
  <c r="AC528" i="1"/>
  <c r="AC529" i="1"/>
  <c r="AC1349" i="1"/>
  <c r="AC17" i="1"/>
  <c r="AC18" i="1"/>
  <c r="AC281" i="1"/>
  <c r="AC1350" i="1"/>
  <c r="AC805" i="1"/>
  <c r="AC19" i="1"/>
  <c r="AC530" i="1"/>
  <c r="AC282" i="1"/>
  <c r="AC1351" i="1"/>
  <c r="AC1352" i="1"/>
  <c r="AC806" i="1"/>
  <c r="AC1071" i="1"/>
  <c r="AC20" i="1"/>
  <c r="AC531" i="1"/>
  <c r="AC21" i="1"/>
  <c r="AC283" i="1"/>
  <c r="AC22" i="1"/>
  <c r="AC284" i="1"/>
  <c r="AC1353" i="1"/>
  <c r="AC1354" i="1"/>
  <c r="AC532" i="1"/>
  <c r="AC807" i="1"/>
  <c r="AC1355" i="1"/>
  <c r="AC1072" i="1"/>
  <c r="AC1356" i="1"/>
  <c r="AC533" i="1"/>
  <c r="AC534" i="1"/>
  <c r="AC535" i="1"/>
  <c r="AC23" i="1"/>
  <c r="AC285" i="1"/>
  <c r="AC808" i="1"/>
  <c r="AC536" i="1"/>
  <c r="AC1073" i="1"/>
  <c r="AC1357" i="1"/>
  <c r="AC537" i="1"/>
  <c r="AC1074" i="1"/>
  <c r="AC809" i="1"/>
  <c r="AC1075" i="1"/>
  <c r="AC1358" i="1"/>
  <c r="AC24" i="1"/>
  <c r="AC286" i="1"/>
  <c r="AC1359" i="1"/>
  <c r="AC810" i="1"/>
  <c r="AC1076" i="1"/>
  <c r="AC25" i="1"/>
  <c r="AC538" i="1"/>
  <c r="AC1360" i="1"/>
  <c r="AC1361" i="1"/>
  <c r="AC26" i="1"/>
  <c r="AC27" i="1"/>
  <c r="AC28" i="1"/>
  <c r="AC1362" i="1"/>
  <c r="AC29" i="1"/>
  <c r="AC30" i="1"/>
  <c r="AC1077" i="1"/>
  <c r="AC539" i="1"/>
  <c r="AC31" i="1"/>
  <c r="AC32" i="1"/>
  <c r="AC811" i="1"/>
  <c r="AC33" i="1"/>
  <c r="AC34" i="1"/>
  <c r="AC1078" i="1"/>
  <c r="AC287" i="1"/>
  <c r="AC1079" i="1"/>
  <c r="AC35" i="1"/>
  <c r="AC288" i="1"/>
  <c r="AC289" i="1"/>
  <c r="AC1363" i="1"/>
  <c r="AC540" i="1"/>
  <c r="AC1080" i="1"/>
  <c r="AC1364" i="1"/>
  <c r="AC812" i="1"/>
  <c r="AC290" i="1"/>
  <c r="AC291" i="1"/>
  <c r="AC1365" i="1"/>
  <c r="AC813" i="1"/>
  <c r="AC1081" i="1"/>
  <c r="AC36" i="1"/>
  <c r="AC814" i="1"/>
  <c r="AC815" i="1"/>
  <c r="AC541" i="1"/>
  <c r="AC37" i="1"/>
  <c r="AC1366" i="1"/>
  <c r="AC542" i="1"/>
  <c r="AC292" i="1"/>
  <c r="AC1082" i="1"/>
  <c r="AC293" i="1"/>
  <c r="AC1083" i="1"/>
  <c r="AC543" i="1"/>
  <c r="AC816" i="1"/>
  <c r="AC1084" i="1"/>
  <c r="AC38" i="1"/>
  <c r="AC1085" i="1"/>
  <c r="AC817" i="1"/>
  <c r="AC544" i="1"/>
  <c r="AC545" i="1"/>
  <c r="AC546" i="1"/>
  <c r="AC547" i="1"/>
  <c r="AC39" i="1"/>
  <c r="AC1086" i="1"/>
  <c r="AC1087" i="1"/>
  <c r="AC1088" i="1"/>
  <c r="AC1367" i="1"/>
  <c r="AC818" i="1"/>
  <c r="AC40" i="1"/>
  <c r="AC548" i="1"/>
  <c r="AC1368" i="1"/>
  <c r="AC549" i="1"/>
  <c r="AC1089" i="1"/>
  <c r="AC819" i="1"/>
  <c r="AC1369" i="1"/>
  <c r="AC294" i="1"/>
  <c r="AC1090" i="1"/>
  <c r="AC820" i="1"/>
  <c r="AC821" i="1"/>
  <c r="AC1091" i="1"/>
  <c r="AC41" i="1"/>
  <c r="AC822" i="1"/>
  <c r="AC42" i="1"/>
  <c r="AC43" i="1"/>
  <c r="AC823" i="1"/>
  <c r="AC44" i="1"/>
  <c r="AC550" i="1"/>
  <c r="AC824" i="1"/>
  <c r="AC1092" i="1"/>
  <c r="AC295" i="1"/>
  <c r="AC551" i="1"/>
  <c r="AC45" i="1"/>
  <c r="AC296" i="1"/>
  <c r="AC297" i="1"/>
  <c r="AC825" i="1"/>
  <c r="AC298" i="1"/>
  <c r="AC299" i="1"/>
  <c r="AC552" i="1"/>
  <c r="AC553" i="1"/>
  <c r="AC826" i="1"/>
  <c r="AC554" i="1"/>
  <c r="AC1370" i="1"/>
  <c r="AC555" i="1"/>
  <c r="AC1093" i="1"/>
  <c r="AC1371" i="1"/>
  <c r="AC1372" i="1"/>
  <c r="AC1094" i="1"/>
  <c r="AC46" i="1"/>
  <c r="AC1373" i="1"/>
  <c r="AC47" i="1"/>
  <c r="AC300" i="1"/>
  <c r="AC827" i="1"/>
  <c r="AC48" i="1"/>
  <c r="AC301" i="1"/>
  <c r="AC828" i="1"/>
  <c r="AC49" i="1"/>
  <c r="AC302" i="1"/>
  <c r="AC50" i="1"/>
  <c r="AC1095" i="1"/>
  <c r="AC829" i="1"/>
  <c r="AC51" i="1"/>
  <c r="AC556" i="1"/>
  <c r="AC1374" i="1"/>
  <c r="AC303" i="1"/>
  <c r="AC52" i="1"/>
  <c r="AC304" i="1"/>
  <c r="AC1096" i="1"/>
  <c r="AC1375" i="1"/>
  <c r="AC53" i="1"/>
  <c r="AC305" i="1"/>
  <c r="AC557" i="1"/>
  <c r="AC558" i="1"/>
  <c r="AC306" i="1"/>
  <c r="AC54" i="1"/>
  <c r="AC559" i="1"/>
  <c r="AC1376" i="1"/>
  <c r="AC55" i="1"/>
  <c r="AC1097" i="1"/>
  <c r="AC1098" i="1"/>
  <c r="AC1099" i="1"/>
  <c r="AC560" i="1"/>
  <c r="AC307" i="1"/>
  <c r="AC308" i="1"/>
  <c r="AC1377" i="1"/>
  <c r="AC309" i="1"/>
  <c r="AC56" i="1"/>
  <c r="AC57" i="1"/>
  <c r="AC561" i="1"/>
  <c r="AC1378" i="1"/>
  <c r="AC310" i="1"/>
  <c r="AC58" i="1"/>
  <c r="AC1100" i="1"/>
  <c r="AC1101" i="1"/>
  <c r="AC1102" i="1"/>
  <c r="AC59" i="1"/>
  <c r="AC830" i="1"/>
  <c r="AC831" i="1"/>
  <c r="AC1379" i="1"/>
  <c r="AC562" i="1"/>
  <c r="AC311" i="1"/>
  <c r="AC832" i="1"/>
  <c r="AC1103" i="1"/>
  <c r="AC312" i="1"/>
  <c r="AC833" i="1"/>
  <c r="AC563" i="1"/>
  <c r="AC564" i="1"/>
  <c r="AC834" i="1"/>
  <c r="AC565" i="1"/>
  <c r="AC1380" i="1"/>
  <c r="AC60" i="1"/>
  <c r="AC835" i="1"/>
  <c r="AC566" i="1"/>
  <c r="AC836" i="1"/>
  <c r="AC1104" i="1"/>
  <c r="AC61" i="1"/>
  <c r="AC837" i="1"/>
  <c r="AC838" i="1"/>
  <c r="AC1381" i="1"/>
  <c r="AC62" i="1"/>
  <c r="AC1382" i="1"/>
  <c r="AC63" i="1"/>
  <c r="AC313" i="1"/>
  <c r="AC567" i="1"/>
  <c r="AC1105" i="1"/>
  <c r="AC568" i="1"/>
  <c r="AC64" i="1"/>
  <c r="AC839" i="1"/>
  <c r="AC1106" i="1"/>
  <c r="AC1383" i="1"/>
  <c r="AC314" i="1"/>
  <c r="AC1107" i="1"/>
  <c r="AC65" i="1"/>
  <c r="AC315" i="1"/>
  <c r="AC66" i="1"/>
  <c r="AC840" i="1"/>
  <c r="AC1384" i="1"/>
  <c r="AC1108" i="1"/>
  <c r="AC841" i="1"/>
  <c r="AC1109" i="1"/>
  <c r="AC569" i="1"/>
  <c r="AC570" i="1"/>
  <c r="AC1385" i="1"/>
  <c r="AC571" i="1"/>
  <c r="AC1386" i="1"/>
  <c r="AC1110" i="1"/>
  <c r="AC316" i="1"/>
  <c r="AC1111" i="1"/>
  <c r="AC317" i="1"/>
  <c r="AC67" i="1"/>
  <c r="AC842" i="1"/>
  <c r="AC68" i="1"/>
  <c r="AC572" i="1"/>
  <c r="AC69" i="1"/>
  <c r="AC573" i="1"/>
  <c r="AC843" i="1"/>
  <c r="AC574" i="1"/>
  <c r="AC318" i="1"/>
  <c r="AC1112" i="1"/>
  <c r="AC70" i="1"/>
  <c r="AC844" i="1"/>
  <c r="AC845" i="1"/>
  <c r="AC575" i="1"/>
  <c r="AC846" i="1"/>
  <c r="AC576" i="1"/>
  <c r="AC577" i="1"/>
  <c r="AC71" i="1"/>
  <c r="AC1387" i="1"/>
  <c r="AC1388" i="1"/>
  <c r="AC1113" i="1"/>
  <c r="AC1114" i="1"/>
  <c r="AC1115" i="1"/>
  <c r="AC319" i="1"/>
  <c r="AC847" i="1"/>
  <c r="AC848" i="1"/>
  <c r="AC320" i="1"/>
  <c r="AC1116" i="1"/>
  <c r="AC578" i="1"/>
  <c r="AC72" i="1"/>
  <c r="AC73" i="1"/>
  <c r="AC1389" i="1"/>
  <c r="AC321" i="1"/>
  <c r="AC1117" i="1"/>
  <c r="AC1118" i="1"/>
  <c r="AC1119" i="1"/>
  <c r="AC74" i="1"/>
  <c r="AC75" i="1"/>
  <c r="AC322" i="1"/>
  <c r="AC579" i="1"/>
  <c r="AC1390" i="1"/>
  <c r="AC76" i="1"/>
  <c r="AC77" i="1"/>
  <c r="AC323" i="1"/>
  <c r="AC324" i="1"/>
  <c r="AC1391" i="1"/>
  <c r="AC1392" i="1"/>
  <c r="AC78" i="1"/>
  <c r="AC1120" i="1"/>
  <c r="AC1121" i="1"/>
  <c r="AC325" i="1"/>
  <c r="AC1122" i="1"/>
  <c r="AC79" i="1"/>
  <c r="AC1393" i="1"/>
  <c r="AC580" i="1"/>
  <c r="AC80" i="1"/>
  <c r="AC326" i="1"/>
  <c r="AC1394" i="1"/>
  <c r="AC327" i="1"/>
  <c r="AC849" i="1"/>
  <c r="AC581" i="1"/>
  <c r="AC582" i="1"/>
  <c r="AC583" i="1"/>
  <c r="AC81" i="1"/>
  <c r="AC82" i="1"/>
  <c r="AC83" i="1"/>
  <c r="AC1395" i="1"/>
  <c r="AC328" i="1"/>
  <c r="AC584" i="1"/>
  <c r="AC850" i="1"/>
  <c r="AC1123" i="1"/>
  <c r="AC84" i="1"/>
  <c r="AC1396" i="1"/>
  <c r="AC585" i="1"/>
  <c r="AC1124" i="1"/>
  <c r="AC85" i="1"/>
  <c r="AC1125" i="1"/>
  <c r="AC1397" i="1"/>
  <c r="AC1126" i="1"/>
  <c r="AC329" i="1"/>
  <c r="AC330" i="1"/>
  <c r="AC1398" i="1"/>
  <c r="AC1399" i="1"/>
  <c r="AC586" i="1"/>
  <c r="AC587" i="1"/>
  <c r="AC86" i="1"/>
  <c r="AC1127" i="1"/>
  <c r="AC851" i="1"/>
  <c r="AC87" i="1"/>
  <c r="AC88" i="1"/>
  <c r="AC331" i="1"/>
  <c r="AC588" i="1"/>
  <c r="AC852" i="1"/>
  <c r="AC1128" i="1"/>
  <c r="AC89" i="1"/>
  <c r="AC90" i="1"/>
  <c r="AC589" i="1"/>
  <c r="AC590" i="1"/>
  <c r="AC332" i="1"/>
  <c r="AC591" i="1"/>
  <c r="AC853" i="1"/>
  <c r="AC854" i="1"/>
  <c r="AC1129" i="1"/>
  <c r="AC1400" i="1"/>
  <c r="AC855" i="1"/>
  <c r="AC91" i="1"/>
  <c r="AC856" i="1"/>
  <c r="AC333" i="1"/>
  <c r="AC1130" i="1"/>
  <c r="AC1401" i="1"/>
  <c r="AC334" i="1"/>
  <c r="AC1131" i="1"/>
  <c r="AC1132" i="1"/>
  <c r="AC335" i="1"/>
  <c r="AC92" i="1"/>
  <c r="AC336" i="1"/>
  <c r="AC93" i="1"/>
  <c r="AC1402" i="1"/>
  <c r="AC94" i="1"/>
  <c r="AC1133" i="1"/>
  <c r="AC1134" i="1"/>
  <c r="AC95" i="1"/>
  <c r="AC857" i="1"/>
  <c r="AC96" i="1"/>
  <c r="AC592" i="1"/>
  <c r="AC1403" i="1"/>
  <c r="AC1135" i="1"/>
  <c r="AC858" i="1"/>
  <c r="AC593" i="1"/>
  <c r="AC337" i="1"/>
  <c r="AC1136" i="1"/>
  <c r="AC1137" i="1"/>
  <c r="AC859" i="1"/>
  <c r="AC1404" i="1"/>
  <c r="AC1405" i="1"/>
  <c r="AC1406" i="1"/>
  <c r="AC97" i="1"/>
  <c r="AC1138" i="1"/>
  <c r="AC594" i="1"/>
  <c r="AC595" i="1"/>
  <c r="AC1407" i="1"/>
  <c r="AC98" i="1"/>
  <c r="AC860" i="1"/>
  <c r="AC1408" i="1"/>
  <c r="AC1139" i="1"/>
  <c r="AC596" i="1"/>
  <c r="AC597" i="1"/>
  <c r="AC99" i="1"/>
  <c r="AC598" i="1"/>
  <c r="AC599" i="1"/>
  <c r="AC861" i="1"/>
  <c r="AC862" i="1"/>
  <c r="AC100" i="1"/>
  <c r="AC863" i="1"/>
  <c r="AC864" i="1"/>
  <c r="AC1140" i="1"/>
  <c r="AC865" i="1"/>
  <c r="AC338" i="1"/>
  <c r="AC339" i="1"/>
  <c r="AC866" i="1"/>
  <c r="AC340" i="1"/>
  <c r="AC341" i="1"/>
  <c r="AC867" i="1"/>
  <c r="AC1409" i="1"/>
  <c r="AC101" i="1"/>
  <c r="AC1141" i="1"/>
  <c r="AC868" i="1"/>
  <c r="AC1410" i="1"/>
  <c r="AC342" i="1"/>
  <c r="AC869" i="1"/>
  <c r="AC600" i="1"/>
  <c r="AC1411" i="1"/>
  <c r="AC1142" i="1"/>
  <c r="AC870" i="1"/>
  <c r="AC871" i="1"/>
  <c r="AC601" i="1"/>
  <c r="AC1143" i="1"/>
  <c r="AC872" i="1"/>
  <c r="AC1412" i="1"/>
  <c r="AC102" i="1"/>
  <c r="AC1413" i="1"/>
  <c r="AC103" i="1"/>
  <c r="AC602" i="1"/>
  <c r="AC603" i="1"/>
  <c r="AC604" i="1"/>
  <c r="AC605" i="1"/>
  <c r="AC1144" i="1"/>
  <c r="AC343" i="1"/>
  <c r="AC1414" i="1"/>
  <c r="AC606" i="1"/>
  <c r="AC344" i="1"/>
  <c r="AC1415" i="1"/>
  <c r="AC104" i="1"/>
  <c r="AC607" i="1"/>
  <c r="AC345" i="1"/>
  <c r="AC1416" i="1"/>
  <c r="AC105" i="1"/>
  <c r="AC608" i="1"/>
  <c r="AC346" i="1"/>
  <c r="AC1417" i="1"/>
  <c r="AC106" i="1"/>
  <c r="AC107" i="1"/>
  <c r="AC1145" i="1"/>
  <c r="AC1146" i="1"/>
  <c r="AC873" i="1"/>
  <c r="AC1147" i="1"/>
  <c r="AC1148" i="1"/>
  <c r="AC1418" i="1"/>
  <c r="AC609" i="1"/>
  <c r="AC1419" i="1"/>
  <c r="AC347" i="1"/>
  <c r="AC108" i="1"/>
  <c r="AC1149" i="1"/>
  <c r="AC1150" i="1"/>
  <c r="AC109" i="1"/>
  <c r="AC348" i="1"/>
  <c r="AC610" i="1"/>
  <c r="AC1420" i="1"/>
  <c r="AC110" i="1"/>
  <c r="AC349" i="1"/>
  <c r="AC1421" i="1"/>
  <c r="AC611" i="1"/>
  <c r="AC612" i="1"/>
  <c r="AC613" i="1"/>
  <c r="AC874" i="1"/>
  <c r="AC1151" i="1"/>
  <c r="AC1422" i="1"/>
  <c r="AC875" i="1"/>
  <c r="AC111" i="1"/>
  <c r="AC1152" i="1"/>
  <c r="AC1153" i="1"/>
  <c r="AC350" i="1"/>
  <c r="AC876" i="1"/>
  <c r="AC877" i="1"/>
  <c r="AC1154" i="1"/>
  <c r="AC1155" i="1"/>
  <c r="AC614" i="1"/>
  <c r="AC615" i="1"/>
  <c r="AC1423" i="1"/>
  <c r="AC351" i="1"/>
  <c r="AC1424" i="1"/>
  <c r="AC1425" i="1"/>
  <c r="AC878" i="1"/>
  <c r="AC1426" i="1"/>
  <c r="AC112" i="1"/>
  <c r="AC113" i="1"/>
  <c r="AC114" i="1"/>
  <c r="AC115" i="1"/>
  <c r="AC1156" i="1"/>
  <c r="AC352" i="1"/>
  <c r="AC879" i="1"/>
  <c r="AC116" i="1"/>
  <c r="AC880" i="1"/>
  <c r="AC1157" i="1"/>
  <c r="AC881" i="1"/>
  <c r="AC616" i="1"/>
  <c r="AC882" i="1"/>
  <c r="AC1158" i="1"/>
  <c r="AC117" i="1"/>
  <c r="AC883" i="1"/>
  <c r="AC353" i="1"/>
  <c r="AC1427" i="1"/>
  <c r="AC1428" i="1"/>
  <c r="AC1159" i="1"/>
  <c r="AC1429" i="1"/>
  <c r="AC617" i="1"/>
  <c r="AC1430" i="1"/>
  <c r="AC618" i="1"/>
  <c r="AC884" i="1"/>
  <c r="AC1160" i="1"/>
  <c r="AC354" i="1"/>
  <c r="AC1431" i="1"/>
  <c r="AC355" i="1"/>
  <c r="AC1432" i="1"/>
  <c r="AC356" i="1"/>
  <c r="AC885" i="1"/>
  <c r="AC1161" i="1"/>
  <c r="AC118" i="1"/>
  <c r="AC119" i="1"/>
  <c r="AC619" i="1"/>
  <c r="AC357" i="1"/>
  <c r="AC1433" i="1"/>
  <c r="AC886" i="1"/>
  <c r="AC1162" i="1"/>
  <c r="AC1163" i="1"/>
  <c r="AC620" i="1"/>
  <c r="AC887" i="1"/>
  <c r="AC888" i="1"/>
  <c r="AC1434" i="1"/>
  <c r="AC1164" i="1"/>
  <c r="AC889" i="1"/>
  <c r="AC890" i="1"/>
  <c r="AC891" i="1"/>
  <c r="AC892" i="1"/>
  <c r="AC893" i="1"/>
  <c r="AC621" i="1"/>
  <c r="AC894" i="1"/>
  <c r="AC895" i="1"/>
  <c r="AC896" i="1"/>
  <c r="AC1165" i="1"/>
  <c r="AC1435" i="1"/>
  <c r="AC358" i="1"/>
  <c r="AC1166" i="1"/>
  <c r="AC1167" i="1"/>
  <c r="AC897" i="1"/>
  <c r="AC1436" i="1"/>
  <c r="AC120" i="1"/>
  <c r="AC622" i="1"/>
  <c r="AC1437" i="1"/>
  <c r="AC898" i="1"/>
  <c r="AC359" i="1"/>
  <c r="AC121" i="1"/>
  <c r="AC1438" i="1"/>
  <c r="AC360" i="1"/>
  <c r="AC899" i="1"/>
  <c r="AC900" i="1"/>
  <c r="AC361" i="1"/>
  <c r="AC122" i="1"/>
  <c r="AC362" i="1"/>
  <c r="AC123" i="1"/>
  <c r="AC623" i="1"/>
  <c r="AC624" i="1"/>
  <c r="AC1168" i="1"/>
  <c r="AC1169" i="1"/>
  <c r="AC1170" i="1"/>
  <c r="AC1171" i="1"/>
  <c r="AC124" i="1"/>
  <c r="AC1439" i="1"/>
  <c r="AC363" i="1"/>
  <c r="AC625" i="1"/>
  <c r="AC901" i="1"/>
  <c r="AC1440" i="1"/>
  <c r="AC1172" i="1"/>
  <c r="AC1441" i="1"/>
  <c r="AC364" i="1"/>
  <c r="AC125" i="1"/>
  <c r="AC902" i="1"/>
  <c r="AC626" i="1"/>
  <c r="AC903" i="1"/>
  <c r="AC126" i="1"/>
  <c r="AC1442" i="1"/>
  <c r="AC904" i="1"/>
  <c r="AC627" i="1"/>
  <c r="AC1173" i="1"/>
  <c r="AC1443" i="1"/>
  <c r="AC365" i="1"/>
  <c r="AC366" i="1"/>
  <c r="AC628" i="1"/>
  <c r="AC1444" i="1"/>
  <c r="AC905" i="1"/>
  <c r="AC367" i="1"/>
  <c r="AC1174" i="1"/>
  <c r="AC1445" i="1"/>
  <c r="AC127" i="1"/>
  <c r="AC1446" i="1"/>
  <c r="AC1175" i="1"/>
  <c r="AC1176" i="1"/>
  <c r="AC128" i="1"/>
  <c r="AC906" i="1"/>
  <c r="AC629" i="1"/>
  <c r="AC907" i="1"/>
  <c r="AC129" i="1"/>
  <c r="AC1177" i="1"/>
  <c r="AC1178" i="1"/>
  <c r="AC1447" i="1"/>
  <c r="AC368" i="1"/>
  <c r="AC1179" i="1"/>
  <c r="AC369" i="1"/>
  <c r="AC1180" i="1"/>
  <c r="AC630" i="1"/>
  <c r="AC1181" i="1"/>
  <c r="AC631" i="1"/>
  <c r="AC1448" i="1"/>
  <c r="AC908" i="1"/>
  <c r="AC1182" i="1"/>
  <c r="AC1183" i="1"/>
  <c r="AC909" i="1"/>
  <c r="AC370" i="1"/>
  <c r="AC130" i="1"/>
  <c r="AC1184" i="1"/>
  <c r="AC371" i="1"/>
  <c r="AC910" i="1"/>
  <c r="AC372" i="1"/>
  <c r="AC911" i="1"/>
  <c r="AC1449" i="1"/>
  <c r="AC912" i="1"/>
  <c r="AC1450" i="1"/>
  <c r="AC373" i="1"/>
  <c r="AC374" i="1"/>
  <c r="AC131" i="1"/>
  <c r="AC913" i="1"/>
  <c r="AC132" i="1"/>
  <c r="AC632" i="1"/>
  <c r="AC914" i="1"/>
  <c r="AC915" i="1"/>
  <c r="AC133" i="1"/>
  <c r="AC633" i="1"/>
  <c r="AC134" i="1"/>
  <c r="AC1451" i="1"/>
  <c r="AC634" i="1"/>
  <c r="AC635" i="1"/>
  <c r="AC375" i="1"/>
  <c r="AC135" i="1"/>
  <c r="AC1185" i="1"/>
  <c r="AC376" i="1"/>
  <c r="AC1452" i="1"/>
  <c r="AC136" i="1"/>
  <c r="AC1186" i="1"/>
  <c r="AC636" i="1"/>
  <c r="AC137" i="1"/>
  <c r="AC377" i="1"/>
  <c r="AC637" i="1"/>
  <c r="AC138" i="1"/>
  <c r="AC378" i="1"/>
  <c r="AC916" i="1"/>
  <c r="AC139" i="1"/>
  <c r="AC1187" i="1"/>
  <c r="AC917" i="1"/>
  <c r="AC379" i="1"/>
  <c r="AC380" i="1"/>
  <c r="AC1453" i="1"/>
  <c r="AC381" i="1"/>
  <c r="AC140" i="1"/>
  <c r="AC382" i="1"/>
  <c r="AC1188" i="1"/>
  <c r="AC1189" i="1"/>
  <c r="AC383" i="1"/>
  <c r="AC1454" i="1"/>
  <c r="AC1455" i="1"/>
  <c r="AC384" i="1"/>
  <c r="AC638" i="1"/>
  <c r="AC639" i="1"/>
  <c r="AC1190" i="1"/>
  <c r="AC1456" i="1"/>
  <c r="AC640" i="1"/>
  <c r="AC141" i="1"/>
  <c r="AC1457" i="1"/>
  <c r="AC918" i="1"/>
  <c r="AC1191" i="1"/>
  <c r="AC1192" i="1"/>
  <c r="AC919" i="1"/>
  <c r="AC1193" i="1"/>
  <c r="AC1458" i="1"/>
  <c r="AC1459" i="1"/>
  <c r="AC385" i="1"/>
  <c r="AC142" i="1"/>
  <c r="AC1460" i="1"/>
  <c r="AC1461" i="1"/>
  <c r="AC920" i="1"/>
  <c r="AC143" i="1"/>
  <c r="AC641" i="1"/>
  <c r="AC1194" i="1"/>
  <c r="AC1195" i="1"/>
  <c r="AC921" i="1"/>
  <c r="AC922" i="1"/>
  <c r="AC386" i="1"/>
  <c r="AC642" i="1"/>
  <c r="AC643" i="1"/>
  <c r="AC1196" i="1"/>
  <c r="AC1462" i="1"/>
  <c r="AC1463" i="1"/>
  <c r="AC1197" i="1"/>
  <c r="AC644" i="1"/>
  <c r="AC387" i="1"/>
  <c r="AC645" i="1"/>
  <c r="AC388" i="1"/>
  <c r="AC646" i="1"/>
  <c r="AC647" i="1"/>
  <c r="AC1464" i="1"/>
  <c r="AC923" i="1"/>
  <c r="AC389" i="1"/>
  <c r="AC390" i="1"/>
  <c r="AC1198" i="1"/>
  <c r="AC648" i="1"/>
  <c r="AC1199" i="1"/>
  <c r="AC391" i="1"/>
  <c r="AC392" i="1"/>
  <c r="AC1465" i="1"/>
  <c r="AC393" i="1"/>
  <c r="AC394" i="1"/>
  <c r="AC1200" i="1"/>
  <c r="AC1201" i="1"/>
  <c r="AC395" i="1"/>
  <c r="AC1466" i="1"/>
  <c r="AC144" i="1"/>
  <c r="AC924" i="1"/>
  <c r="AC649" i="1"/>
  <c r="AC925" i="1"/>
  <c r="AC650" i="1"/>
  <c r="AC1202" i="1"/>
  <c r="AC651" i="1"/>
  <c r="AC1203" i="1"/>
  <c r="AC1204" i="1"/>
  <c r="AC652" i="1"/>
  <c r="AC1467" i="1"/>
  <c r="AC653" i="1"/>
  <c r="AC1468" i="1"/>
  <c r="AC926" i="1"/>
  <c r="AC396" i="1"/>
  <c r="AC927" i="1"/>
  <c r="AC928" i="1"/>
  <c r="AC145" i="1"/>
  <c r="AC929" i="1"/>
  <c r="AC1205" i="1"/>
  <c r="AC930" i="1"/>
  <c r="AC397" i="1"/>
  <c r="AC398" i="1"/>
  <c r="AC931" i="1"/>
  <c r="AC1206" i="1"/>
  <c r="AC399" i="1"/>
  <c r="AC654" i="1"/>
  <c r="AC400" i="1"/>
  <c r="AC932" i="1"/>
  <c r="AC1207" i="1"/>
  <c r="AC146" i="1"/>
  <c r="AC655" i="1"/>
  <c r="AC1469" i="1"/>
  <c r="AC1208" i="1"/>
  <c r="AC147" i="1"/>
  <c r="AC933" i="1"/>
  <c r="AC401" i="1"/>
  <c r="AC1209" i="1"/>
  <c r="AC656" i="1"/>
  <c r="AC934" i="1"/>
  <c r="AC1470" i="1"/>
  <c r="AC148" i="1"/>
  <c r="AC402" i="1"/>
  <c r="AC403" i="1"/>
  <c r="AC657" i="1"/>
  <c r="AC935" i="1"/>
  <c r="AC149" i="1"/>
  <c r="AC1210" i="1"/>
  <c r="AC936" i="1"/>
  <c r="AC937" i="1"/>
  <c r="AC658" i="1"/>
  <c r="AC1211" i="1"/>
  <c r="AC659" i="1"/>
  <c r="AC404" i="1"/>
  <c r="AC938" i="1"/>
  <c r="AC150" i="1"/>
  <c r="AC151" i="1"/>
  <c r="AC152" i="1"/>
  <c r="AC660" i="1"/>
  <c r="AC939" i="1"/>
  <c r="AC940" i="1"/>
  <c r="AC405" i="1"/>
  <c r="AC661" i="1"/>
  <c r="AC662" i="1"/>
  <c r="AC941" i="1"/>
  <c r="AC1212" i="1"/>
  <c r="AC406" i="1"/>
  <c r="AC153" i="1"/>
  <c r="AC154" i="1"/>
  <c r="AC663" i="1"/>
  <c r="AC1471" i="1"/>
  <c r="AC664" i="1"/>
  <c r="AC407" i="1"/>
  <c r="AC1472" i="1"/>
  <c r="AC942" i="1"/>
  <c r="AC408" i="1"/>
  <c r="AC943" i="1"/>
  <c r="AC665" i="1"/>
  <c r="AC409" i="1"/>
  <c r="AC410" i="1"/>
  <c r="AC666" i="1"/>
  <c r="AC667" i="1"/>
  <c r="AC1213" i="1"/>
  <c r="AC1214" i="1"/>
  <c r="AC668" i="1"/>
  <c r="AC669" i="1"/>
  <c r="AC1473" i="1"/>
  <c r="AC155" i="1"/>
  <c r="AC156" i="1"/>
  <c r="AC1215" i="1"/>
  <c r="AC1216" i="1"/>
  <c r="AC1474" i="1"/>
  <c r="AC944" i="1"/>
  <c r="AC1475" i="1"/>
  <c r="AC1217" i="1"/>
  <c r="AC1218" i="1"/>
  <c r="AC670" i="1"/>
  <c r="AC945" i="1"/>
  <c r="AC411" i="1"/>
  <c r="AC1476" i="1"/>
  <c r="AC946" i="1"/>
  <c r="AC1219" i="1"/>
  <c r="AC157" i="1"/>
  <c r="AC1220" i="1"/>
  <c r="AC158" i="1"/>
  <c r="AC1477" i="1"/>
  <c r="AC1478" i="1"/>
  <c r="AC947" i="1"/>
  <c r="AC1479" i="1"/>
  <c r="AC948" i="1"/>
  <c r="AC1221" i="1"/>
  <c r="AC1222" i="1"/>
  <c r="AC1223" i="1"/>
  <c r="AC1480" i="1"/>
  <c r="AC412" i="1"/>
  <c r="AC159" i="1"/>
  <c r="AC1224" i="1"/>
  <c r="AC1481" i="1"/>
  <c r="AC1482" i="1"/>
  <c r="AC671" i="1"/>
  <c r="AC949" i="1"/>
  <c r="AC950" i="1"/>
  <c r="AC1225" i="1"/>
  <c r="AC672" i="1"/>
  <c r="AC951" i="1"/>
  <c r="AC1226" i="1"/>
  <c r="AC952" i="1"/>
  <c r="AC673" i="1"/>
  <c r="AC413" i="1"/>
  <c r="AC674" i="1"/>
  <c r="AC160" i="1"/>
  <c r="AC953" i="1"/>
  <c r="AC1483" i="1"/>
  <c r="AC1227" i="1"/>
  <c r="AC1484" i="1"/>
  <c r="AC1228" i="1"/>
  <c r="AC1229" i="1"/>
  <c r="AC1230" i="1"/>
  <c r="AC675" i="1"/>
  <c r="AC676" i="1"/>
  <c r="AC414" i="1"/>
  <c r="AC677" i="1"/>
  <c r="AC1485" i="1"/>
  <c r="AC678" i="1"/>
  <c r="AC679" i="1"/>
  <c r="AC415" i="1"/>
  <c r="AC680" i="1"/>
  <c r="AC1231" i="1"/>
  <c r="AC1486" i="1"/>
  <c r="AC1232" i="1"/>
  <c r="AC681" i="1"/>
  <c r="AC682" i="1"/>
  <c r="AC954" i="1"/>
  <c r="AC683" i="1"/>
  <c r="AC684" i="1"/>
  <c r="AC1233" i="1"/>
  <c r="AC1234" i="1"/>
  <c r="AC955" i="1"/>
  <c r="AC416" i="1"/>
  <c r="AC161" i="1"/>
  <c r="AC1235" i="1"/>
  <c r="AC685" i="1"/>
  <c r="AC162" i="1"/>
  <c r="AC1487" i="1"/>
  <c r="AC956" i="1"/>
  <c r="AC1236" i="1"/>
  <c r="AC1488" i="1"/>
  <c r="AC1489" i="1"/>
  <c r="AC417" i="1"/>
  <c r="AC1237" i="1"/>
  <c r="AC957" i="1"/>
  <c r="AC1490" i="1"/>
  <c r="AC1491" i="1"/>
  <c r="AC958" i="1"/>
  <c r="AC1238" i="1"/>
  <c r="AC1492" i="1"/>
  <c r="AC1493" i="1"/>
  <c r="AC959" i="1"/>
  <c r="AC686" i="1"/>
  <c r="AC1239" i="1"/>
  <c r="AC1240" i="1"/>
  <c r="AC1241" i="1"/>
  <c r="AC418" i="1"/>
  <c r="AC1494" i="1"/>
  <c r="AC1495" i="1"/>
  <c r="AC960" i="1"/>
  <c r="AC419" i="1"/>
  <c r="AC961" i="1"/>
  <c r="AC1496" i="1"/>
  <c r="AC1497" i="1"/>
  <c r="AC163" i="1"/>
  <c r="AC1242" i="1"/>
  <c r="AC164" i="1"/>
  <c r="AC1498" i="1"/>
  <c r="AC687" i="1"/>
  <c r="AC420" i="1"/>
  <c r="AC688" i="1"/>
  <c r="AC962" i="1"/>
  <c r="AC1499" i="1"/>
  <c r="AC421" i="1"/>
  <c r="AC1500" i="1"/>
  <c r="AC963" i="1"/>
  <c r="AC689" i="1"/>
  <c r="AC1243" i="1"/>
  <c r="AC690" i="1"/>
  <c r="AC1244" i="1"/>
  <c r="AC165" i="1"/>
  <c r="AC422" i="1"/>
  <c r="AC691" i="1"/>
  <c r="AC692" i="1"/>
  <c r="AC166" i="1"/>
  <c r="AC167" i="1"/>
  <c r="AC1245" i="1"/>
  <c r="AC168" i="1"/>
  <c r="AC1246" i="1"/>
  <c r="AC1247" i="1"/>
  <c r="AC964" i="1"/>
  <c r="AC965" i="1"/>
  <c r="AC1501" i="1"/>
  <c r="AC423" i="1"/>
  <c r="AC1248" i="1"/>
  <c r="AC966" i="1"/>
  <c r="AC1502" i="1"/>
  <c r="AC1503" i="1"/>
  <c r="AC1249" i="1"/>
  <c r="AC967" i="1"/>
  <c r="AC693" i="1"/>
  <c r="AC1504" i="1"/>
  <c r="AC424" i="1"/>
  <c r="AC169" i="1"/>
  <c r="AC1505" i="1"/>
  <c r="AC1506" i="1"/>
  <c r="AC968" i="1"/>
  <c r="AC969" i="1"/>
  <c r="AC1250" i="1"/>
  <c r="AC425" i="1"/>
  <c r="AC694" i="1"/>
  <c r="AC1507" i="1"/>
  <c r="AC970" i="1"/>
  <c r="AC170" i="1"/>
  <c r="AC426" i="1"/>
  <c r="AC171" i="1"/>
  <c r="AC971" i="1"/>
  <c r="AC1251" i="1"/>
  <c r="AC172" i="1"/>
  <c r="AC695" i="1"/>
  <c r="AC696" i="1"/>
  <c r="AC427" i="1"/>
  <c r="AC972" i="1"/>
  <c r="AC428" i="1"/>
  <c r="AC973" i="1"/>
  <c r="AC429" i="1"/>
  <c r="AC974" i="1"/>
  <c r="AC1252" i="1"/>
  <c r="AC173" i="1"/>
  <c r="AC1253" i="1"/>
  <c r="AC975" i="1"/>
  <c r="AC697" i="1"/>
  <c r="AC1254" i="1"/>
  <c r="AC976" i="1"/>
  <c r="AC977" i="1"/>
  <c r="AC1508" i="1"/>
  <c r="AC430" i="1"/>
  <c r="AC431" i="1"/>
  <c r="AC698" i="1"/>
  <c r="AC1255" i="1"/>
  <c r="AC1509" i="1"/>
  <c r="AC978" i="1"/>
  <c r="AC432" i="1"/>
  <c r="AC979" i="1"/>
  <c r="AC1256" i="1"/>
  <c r="AC699" i="1"/>
  <c r="AC1257" i="1"/>
  <c r="AC433" i="1"/>
  <c r="AC980" i="1"/>
  <c r="AC174" i="1"/>
  <c r="AC700" i="1"/>
  <c r="AC175" i="1"/>
  <c r="AC434" i="1"/>
  <c r="AC1510" i="1"/>
  <c r="AC701" i="1"/>
  <c r="AC702" i="1"/>
  <c r="AC1511" i="1"/>
  <c r="AC435" i="1"/>
  <c r="AC703" i="1"/>
  <c r="AC704" i="1"/>
  <c r="AC176" i="1"/>
  <c r="AC1512" i="1"/>
  <c r="AC177" i="1"/>
  <c r="AC981" i="1"/>
  <c r="AC1513" i="1"/>
  <c r="AC1514" i="1"/>
  <c r="AC1515" i="1"/>
  <c r="AC178" i="1"/>
  <c r="AC179" i="1"/>
  <c r="AC705" i="1"/>
  <c r="AC706" i="1"/>
  <c r="AC982" i="1"/>
  <c r="AC707" i="1"/>
  <c r="AC708" i="1"/>
  <c r="AC436" i="1"/>
  <c r="AC709" i="1"/>
  <c r="AC983" i="1"/>
  <c r="AC437" i="1"/>
  <c r="AC1516" i="1"/>
  <c r="AC1258" i="1"/>
  <c r="AC180" i="1"/>
  <c r="AC710" i="1"/>
  <c r="AC438" i="1"/>
  <c r="AC1259" i="1"/>
  <c r="AC1517" i="1"/>
  <c r="AC1260" i="1"/>
  <c r="AC984" i="1"/>
  <c r="AC181" i="1"/>
  <c r="AC1518" i="1"/>
  <c r="AC439" i="1"/>
  <c r="AC1519" i="1"/>
  <c r="AC1261" i="1"/>
  <c r="AC711" i="1"/>
  <c r="AC712" i="1"/>
  <c r="AC713" i="1"/>
  <c r="AC1262" i="1"/>
  <c r="AC714" i="1"/>
  <c r="AC1263" i="1"/>
  <c r="AC985" i="1"/>
  <c r="AC986" i="1"/>
  <c r="AC1264" i="1"/>
  <c r="AC715" i="1"/>
  <c r="AC716" i="1"/>
  <c r="AC717" i="1"/>
  <c r="AC440" i="1"/>
  <c r="AC1520" i="1"/>
  <c r="AC1521" i="1"/>
  <c r="AC1522" i="1"/>
  <c r="AC1265" i="1"/>
  <c r="AC987" i="1"/>
  <c r="AC1523" i="1"/>
  <c r="AC1524" i="1"/>
  <c r="AC988" i="1"/>
  <c r="AC182" i="1"/>
  <c r="AC989" i="1"/>
  <c r="AC718" i="1"/>
  <c r="AC719" i="1"/>
  <c r="AC183" i="1"/>
  <c r="AC441" i="1"/>
  <c r="AC720" i="1"/>
  <c r="AC442" i="1"/>
  <c r="AC184" i="1"/>
  <c r="AC990" i="1"/>
  <c r="AC185" i="1"/>
  <c r="AC1266" i="1"/>
  <c r="AC1267" i="1"/>
  <c r="AC1525" i="1"/>
  <c r="AC1268" i="1"/>
  <c r="AC721" i="1"/>
  <c r="AC1269" i="1"/>
  <c r="AC991" i="1"/>
  <c r="AC1526" i="1"/>
  <c r="AC443" i="1"/>
  <c r="AC1527" i="1"/>
  <c r="AC444" i="1"/>
  <c r="AC992" i="1"/>
  <c r="AC1528" i="1"/>
  <c r="AC445" i="1"/>
  <c r="AC446" i="1"/>
  <c r="AC186" i="1"/>
  <c r="AC447" i="1"/>
  <c r="AC722" i="1"/>
  <c r="AC1270" i="1"/>
  <c r="AC1271" i="1"/>
  <c r="AC723" i="1"/>
  <c r="AC448" i="1"/>
  <c r="AC187" i="1"/>
  <c r="AC188" i="1"/>
  <c r="AC724" i="1"/>
  <c r="AC1529" i="1"/>
  <c r="AC449" i="1"/>
  <c r="AC189" i="1"/>
  <c r="AC725" i="1"/>
  <c r="AC1272" i="1"/>
  <c r="AC450" i="1"/>
  <c r="AC993" i="1"/>
  <c r="AC190" i="1"/>
  <c r="AC451" i="1"/>
  <c r="AC994" i="1"/>
  <c r="AC726" i="1"/>
  <c r="AC452" i="1"/>
  <c r="AC727" i="1"/>
  <c r="AC1530" i="1"/>
  <c r="AC191" i="1"/>
  <c r="AC453" i="1"/>
  <c r="AC995" i="1"/>
  <c r="AC996" i="1"/>
  <c r="AC1273" i="1"/>
  <c r="AC728" i="1"/>
  <c r="AC192" i="1"/>
  <c r="AC1531" i="1"/>
  <c r="AC454" i="1"/>
  <c r="AC193" i="1"/>
  <c r="AC1532" i="1"/>
  <c r="AC455" i="1"/>
  <c r="AC729" i="1"/>
  <c r="AC730" i="1"/>
  <c r="AC1274" i="1"/>
  <c r="AC997" i="1"/>
  <c r="AC194" i="1"/>
  <c r="AC456" i="1"/>
  <c r="AC457" i="1"/>
  <c r="AC458" i="1"/>
  <c r="AC459" i="1"/>
  <c r="AC195" i="1"/>
  <c r="AC1533" i="1"/>
  <c r="AC998" i="1"/>
  <c r="AC460" i="1"/>
  <c r="AC999" i="1"/>
  <c r="AC196" i="1"/>
  <c r="AC1534" i="1"/>
  <c r="AC731" i="1"/>
  <c r="AC1275" i="1"/>
  <c r="AC197" i="1"/>
  <c r="AC461" i="1"/>
  <c r="AC462" i="1"/>
  <c r="AC463" i="1"/>
  <c r="AC198" i="1"/>
  <c r="AC464" i="1"/>
  <c r="AC732" i="1"/>
  <c r="AC1276" i="1"/>
  <c r="AC733" i="1"/>
  <c r="AC1277" i="1"/>
  <c r="AC1000" i="1"/>
  <c r="AC199" i="1"/>
  <c r="AC1001" i="1"/>
  <c r="AC1535" i="1"/>
  <c r="AC200" i="1"/>
  <c r="AC734" i="1"/>
  <c r="AC1002" i="1"/>
  <c r="AC1278" i="1"/>
  <c r="AC1536" i="1"/>
  <c r="AC1279" i="1"/>
  <c r="AC465" i="1"/>
  <c r="AC735" i="1"/>
  <c r="AC1537" i="1"/>
  <c r="AC736" i="1"/>
  <c r="AC1003" i="1"/>
  <c r="AC737" i="1"/>
  <c r="AC1538" i="1"/>
  <c r="AC1004" i="1"/>
  <c r="AC1005" i="1"/>
  <c r="AC201" i="1"/>
  <c r="AC738" i="1"/>
  <c r="AC202" i="1"/>
  <c r="AC203" i="1"/>
  <c r="AC1539" i="1"/>
  <c r="AC466" i="1"/>
  <c r="AC1006" i="1"/>
  <c r="AC1280" i="1"/>
  <c r="AC204" i="1"/>
  <c r="AC205" i="1"/>
  <c r="AC206" i="1"/>
  <c r="AC1007" i="1"/>
  <c r="AC1281" i="1"/>
  <c r="AC207" i="1"/>
  <c r="AC1008" i="1"/>
  <c r="AC467" i="1"/>
  <c r="AC208" i="1"/>
  <c r="AC1009" i="1"/>
  <c r="AC739" i="1"/>
  <c r="AC209" i="1"/>
  <c r="AC740" i="1"/>
  <c r="AC1010" i="1"/>
  <c r="AC1540" i="1"/>
  <c r="AC210" i="1"/>
  <c r="AC1541" i="1"/>
  <c r="AC1542" i="1"/>
  <c r="AC1282" i="1"/>
  <c r="AC1543" i="1"/>
  <c r="AC1011" i="1"/>
  <c r="AC1012" i="1"/>
  <c r="AC1544" i="1"/>
  <c r="AC1545" i="1"/>
  <c r="AC1546" i="1"/>
  <c r="AC741" i="1"/>
  <c r="AC1283" i="1"/>
  <c r="AC742" i="1"/>
  <c r="AC1547" i="1"/>
  <c r="AC211" i="1"/>
  <c r="AC468" i="1"/>
  <c r="AC1013" i="1"/>
  <c r="AC469" i="1"/>
  <c r="AC1014" i="1"/>
  <c r="AC470" i="1"/>
  <c r="AC1015" i="1"/>
  <c r="AC212" i="1"/>
  <c r="AC1284" i="1"/>
  <c r="AC743" i="1"/>
  <c r="AC1548" i="1"/>
  <c r="AC213" i="1"/>
  <c r="AC744" i="1"/>
  <c r="AC1285" i="1"/>
  <c r="AC214" i="1"/>
  <c r="AC1286" i="1"/>
  <c r="AC745" i="1"/>
  <c r="AC1549" i="1"/>
  <c r="AC1016" i="1"/>
  <c r="AC471" i="1"/>
  <c r="AC1550" i="1"/>
  <c r="AC746" i="1"/>
  <c r="AC215" i="1"/>
  <c r="AC1017" i="1"/>
  <c r="AC472" i="1"/>
  <c r="AC1551" i="1"/>
  <c r="AC1287" i="1"/>
  <c r="AC1552" i="1"/>
  <c r="AC1288" i="1"/>
  <c r="AC1553" i="1"/>
  <c r="AC216" i="1"/>
  <c r="AC1554" i="1"/>
  <c r="AC747" i="1"/>
  <c r="AC748" i="1"/>
  <c r="AC1018" i="1"/>
  <c r="AC473" i="1"/>
  <c r="AC749" i="1"/>
  <c r="AC1019" i="1"/>
  <c r="AC750" i="1"/>
  <c r="AC474" i="1"/>
  <c r="AC217" i="1"/>
  <c r="AC218" i="1"/>
  <c r="AC1289" i="1"/>
  <c r="AC475" i="1"/>
  <c r="AC1020" i="1"/>
  <c r="AC219" i="1"/>
  <c r="AC476" i="1"/>
  <c r="AC220" i="1"/>
  <c r="AC477" i="1"/>
  <c r="AC1555" i="1"/>
  <c r="AC1290" i="1"/>
  <c r="AC221" i="1"/>
  <c r="AC478" i="1"/>
  <c r="AC1021" i="1"/>
  <c r="AC1556" i="1"/>
  <c r="AC1557" i="1"/>
  <c r="AC479" i="1"/>
  <c r="AC222" i="1"/>
  <c r="AC1558" i="1"/>
  <c r="AC223" i="1"/>
  <c r="AC480" i="1"/>
  <c r="AC1291" i="1"/>
  <c r="AC751" i="1"/>
  <c r="AC1292" i="1"/>
  <c r="AC224" i="1"/>
  <c r="AC481" i="1"/>
  <c r="AC1559" i="1"/>
  <c r="AC1293" i="1"/>
  <c r="AC1294" i="1"/>
  <c r="AC1022" i="1"/>
  <c r="AC1295" i="1"/>
  <c r="AC1560" i="1"/>
  <c r="AC482" i="1"/>
  <c r="AC1561" i="1"/>
  <c r="AC1296" i="1"/>
  <c r="AC225" i="1"/>
  <c r="AC483" i="1"/>
  <c r="AC226" i="1"/>
  <c r="AC1562" i="1"/>
  <c r="AC1297" i="1"/>
  <c r="AC1298" i="1"/>
  <c r="AC752" i="1"/>
  <c r="AC484" i="1"/>
  <c r="AC1023" i="1"/>
  <c r="AC227" i="1"/>
  <c r="AC228" i="1"/>
  <c r="AC753" i="1"/>
  <c r="AC229" i="1"/>
  <c r="AC1299" i="1"/>
  <c r="AC230" i="1"/>
  <c r="AC1300" i="1"/>
  <c r="AC1301" i="1"/>
  <c r="AC1024" i="1"/>
  <c r="AC1302" i="1"/>
  <c r="AC1563" i="1"/>
  <c r="AC231" i="1"/>
  <c r="AC1025" i="1"/>
  <c r="AC1303" i="1"/>
  <c r="AC1564" i="1"/>
  <c r="AC485" i="1"/>
  <c r="AC1304" i="1"/>
  <c r="AC1026" i="1"/>
  <c r="AC1565" i="1"/>
  <c r="AC1566" i="1"/>
  <c r="AC486" i="1"/>
  <c r="AC1027" i="1"/>
  <c r="AC1567" i="1"/>
  <c r="AC232" i="1"/>
  <c r="AC1568" i="1"/>
  <c r="AC233" i="1"/>
  <c r="AC1569" i="1"/>
  <c r="AC234" i="1"/>
  <c r="AC1305" i="1"/>
  <c r="AC235" i="1"/>
  <c r="AC1306" i="1"/>
  <c r="AC236" i="1"/>
  <c r="AC1307" i="1"/>
  <c r="AC487" i="1"/>
  <c r="AC1308" i="1"/>
  <c r="AC237" i="1"/>
  <c r="AC1570" i="1"/>
  <c r="AC754" i="1"/>
  <c r="AC1028" i="1"/>
  <c r="AC1309" i="1"/>
  <c r="AC238" i="1"/>
  <c r="AC1029" i="1"/>
  <c r="AC755" i="1"/>
  <c r="AC1030" i="1"/>
  <c r="AC1310" i="1"/>
  <c r="AC239" i="1"/>
  <c r="AC756" i="1"/>
  <c r="AC1031" i="1"/>
  <c r="AC488" i="1"/>
  <c r="AC757" i="1"/>
  <c r="AC758" i="1"/>
  <c r="AC1571" i="1"/>
  <c r="AC489" i="1"/>
  <c r="AC490" i="1"/>
  <c r="AC491" i="1"/>
  <c r="AC492" i="1"/>
  <c r="AC1311" i="1"/>
  <c r="AC1312" i="1"/>
  <c r="AC493" i="1"/>
  <c r="AC759" i="1"/>
  <c r="AC760" i="1"/>
  <c r="AC240" i="1"/>
  <c r="AC761" i="1"/>
  <c r="AC241" i="1"/>
  <c r="AC1313" i="1"/>
  <c r="AC1572" i="1"/>
  <c r="AC1314" i="1"/>
  <c r="AC1573" i="1"/>
  <c r="AC1574" i="1"/>
  <c r="AC762" i="1"/>
  <c r="AC1032" i="1"/>
  <c r="AC494" i="1"/>
  <c r="AC495" i="1"/>
  <c r="AC763" i="1"/>
  <c r="AC496" i="1"/>
  <c r="AC764" i="1"/>
  <c r="AC1033" i="1"/>
  <c r="AC242" i="1"/>
  <c r="AC243" i="1"/>
  <c r="AC1315" i="1"/>
  <c r="AC1575" i="1"/>
  <c r="AC1576" i="1"/>
  <c r="AC1316" i="1"/>
  <c r="AC244" i="1"/>
  <c r="AC1034" i="1"/>
  <c r="AC245" i="1"/>
  <c r="AC1577" i="1"/>
  <c r="AC765" i="1"/>
  <c r="AC766" i="1"/>
  <c r="AC1578" i="1"/>
  <c r="AC767" i="1"/>
  <c r="AC1579" i="1"/>
  <c r="AC1317" i="1"/>
  <c r="AC1035" i="1"/>
  <c r="AC246" i="1"/>
  <c r="AC1580" i="1"/>
  <c r="AC1318" i="1"/>
  <c r="AC247" i="1"/>
  <c r="AC1581" i="1"/>
  <c r="AC1036" i="1"/>
  <c r="AC1319" i="1"/>
  <c r="AC248" i="1"/>
  <c r="AC1037" i="1"/>
  <c r="AC1320" i="1"/>
  <c r="AC1582" i="1"/>
  <c r="AC1583" i="1"/>
  <c r="AC497" i="1"/>
  <c r="AC249" i="1"/>
  <c r="AC1038" i="1"/>
  <c r="AC1584" i="1"/>
  <c r="AC1039" i="1"/>
  <c r="AC768" i="1"/>
  <c r="AC498" i="1"/>
  <c r="AC1040" i="1"/>
  <c r="AC1041" i="1"/>
  <c r="AC1585" i="1"/>
  <c r="AC1586" i="1"/>
  <c r="AC1587" i="1"/>
  <c r="AC250" i="1"/>
  <c r="AC1042" i="1"/>
  <c r="AC769" i="1"/>
  <c r="AC1321" i="1"/>
  <c r="AC499" i="1"/>
  <c r="AC770" i="1"/>
  <c r="AC251" i="1"/>
  <c r="AC771" i="1"/>
  <c r="AC1043" i="1"/>
  <c r="AC772" i="1"/>
  <c r="AC773" i="1"/>
  <c r="AC500" i="1"/>
  <c r="AC501" i="1"/>
  <c r="AC774" i="1"/>
  <c r="AC1588" i="1"/>
  <c r="AC1589" i="1"/>
  <c r="AC1322" i="1"/>
  <c r="AC502" i="1"/>
  <c r="AC775" i="1"/>
  <c r="AC1044" i="1"/>
  <c r="AC503" i="1"/>
  <c r="AC252" i="1"/>
  <c r="AC1045" i="1"/>
  <c r="AC1590" i="1"/>
  <c r="AC1046" i="1"/>
  <c r="AC776" i="1"/>
  <c r="AC1591" i="1"/>
  <c r="AC1592" i="1"/>
  <c r="AC777" i="1"/>
  <c r="AC778" i="1"/>
  <c r="AC253" i="1"/>
  <c r="AC504" i="1"/>
  <c r="AC505" i="1"/>
  <c r="AC779" i="1"/>
  <c r="AC1593" i="1"/>
  <c r="AC1323" i="1"/>
  <c r="AC1594" i="1"/>
  <c r="AC254" i="1"/>
  <c r="AC780" i="1"/>
  <c r="AC1324" i="1"/>
  <c r="AC506" i="1"/>
  <c r="AC1047" i="1"/>
  <c r="AC1048" i="1"/>
  <c r="AC255" i="1"/>
  <c r="AC1325" i="1"/>
  <c r="AC1595" i="1"/>
  <c r="AC1049" i="1"/>
  <c r="AC1326" i="1"/>
  <c r="AC507" i="1"/>
  <c r="AC1327" i="1"/>
  <c r="AC781" i="1"/>
  <c r="AC1050" i="1"/>
  <c r="AC1328" i="1"/>
  <c r="AC256" i="1"/>
  <c r="AC1329" i="1"/>
  <c r="AC782" i="1"/>
  <c r="AC1596" i="1"/>
  <c r="AC1051" i="1"/>
  <c r="AC257" i="1"/>
  <c r="AC1330" i="1"/>
  <c r="AC1052" i="1"/>
  <c r="AC508" i="1"/>
  <c r="AC1597" i="1"/>
  <c r="AC509" i="1"/>
  <c r="AC1331" i="1"/>
  <c r="AC783" i="1"/>
  <c r="AC258" i="1"/>
  <c r="AC510" i="1"/>
  <c r="AC1053" i="1"/>
  <c r="AC1598" i="1"/>
  <c r="AC1332" i="1"/>
  <c r="AC1599" i="1"/>
  <c r="AC1333" i="1"/>
  <c r="AC1054" i="1"/>
  <c r="AC1600" i="1"/>
  <c r="AC784" i="1"/>
  <c r="AC1055" i="1"/>
  <c r="AC785" i="1"/>
  <c r="AC511" i="1"/>
  <c r="AC786" i="1"/>
  <c r="AC259" i="1"/>
  <c r="AC512" i="1"/>
  <c r="AC787" i="1"/>
  <c r="AC260" i="1"/>
  <c r="AC788" i="1"/>
  <c r="AC1056" i="1"/>
  <c r="AC261" i="1"/>
  <c r="AC789" i="1"/>
  <c r="AC1601" i="1"/>
  <c r="AC262" i="1"/>
  <c r="AC1334" i="1"/>
  <c r="AC513" i="1"/>
  <c r="AC1335" i="1"/>
  <c r="AC1602" i="1"/>
  <c r="AC1336" i="1"/>
  <c r="AC790" i="1"/>
  <c r="AC263" i="1"/>
  <c r="AC1057" i="1"/>
  <c r="AC791" i="1"/>
  <c r="AC264" i="1"/>
  <c r="AC792" i="1"/>
  <c r="AC1337" i="1"/>
  <c r="AC1603" i="1"/>
  <c r="AC793" i="1"/>
  <c r="AC265" i="1"/>
  <c r="AC514" i="1"/>
  <c r="AC1338" i="1"/>
  <c r="C11" i="7"/>
  <c r="C12" i="7"/>
  <c r="C16" i="7"/>
  <c r="H8" i="7"/>
  <c r="H7" i="7"/>
  <c r="C13" i="7"/>
  <c r="H5" i="7"/>
  <c r="H9" i="7"/>
  <c r="C15" i="7"/>
  <c r="H11" i="7"/>
  <c r="C14" i="7"/>
  <c r="H6" i="7"/>
  <c r="H10" i="7"/>
  <c r="D14" i="7" l="1"/>
  <c r="D13" i="7"/>
  <c r="E12" i="7"/>
  <c r="D11" i="7"/>
  <c r="E14" i="7"/>
  <c r="E13" i="7"/>
  <c r="D12" i="7"/>
  <c r="D16" i="7"/>
  <c r="D15" i="7"/>
  <c r="E16" i="7"/>
  <c r="E11" i="7"/>
  <c r="E15" i="7"/>
</calcChain>
</file>

<file path=xl/sharedStrings.xml><?xml version="1.0" encoding="utf-8"?>
<sst xmlns="http://schemas.openxmlformats.org/spreadsheetml/2006/main" count="22622" uniqueCount="5696">
  <si>
    <t>Student Name</t>
  </si>
  <si>
    <t>Student ID</t>
  </si>
  <si>
    <t>Enrollment Number</t>
  </si>
  <si>
    <t>Year</t>
  </si>
  <si>
    <t>Course Name</t>
  </si>
  <si>
    <t>Duration (Years)</t>
  </si>
  <si>
    <t>Branch</t>
  </si>
  <si>
    <t>Specialization</t>
  </si>
  <si>
    <t>Total Fees (Per Annum)</t>
  </si>
  <si>
    <t>Yearly Fees</t>
  </si>
  <si>
    <t>Exam Fees</t>
  </si>
  <si>
    <t>Extra Fees</t>
  </si>
  <si>
    <t>Hostel Accommodation</t>
  </si>
  <si>
    <t>Occupancy</t>
  </si>
  <si>
    <t>City</t>
  </si>
  <si>
    <t>State</t>
  </si>
  <si>
    <t>Country</t>
  </si>
  <si>
    <t>Email</t>
  </si>
  <si>
    <t>Phone</t>
  </si>
  <si>
    <t>Payment Mode</t>
  </si>
  <si>
    <t>12th Percentage</t>
  </si>
  <si>
    <t>10th Percentage</t>
  </si>
  <si>
    <t>Hostel Room Type</t>
  </si>
  <si>
    <t>Annual Income</t>
  </si>
  <si>
    <t>Date of Birth</t>
  </si>
  <si>
    <t>mean_marks_distances</t>
  </si>
  <si>
    <t>Age</t>
  </si>
  <si>
    <t>total_fees</t>
  </si>
  <si>
    <t>Shalv Ramaswamy</t>
  </si>
  <si>
    <t>STU001</t>
  </si>
  <si>
    <t>ENR001</t>
  </si>
  <si>
    <t>B.Tech in Computer Science and Engineering</t>
  </si>
  <si>
    <t>Computer Science and Engineering</t>
  </si>
  <si>
    <t>Artificial Intelligence &amp; Machine Learning</t>
  </si>
  <si>
    <t>Yes</t>
  </si>
  <si>
    <t>Double Occupancy</t>
  </si>
  <si>
    <t>Hyderabad</t>
  </si>
  <si>
    <t>Telangana</t>
  </si>
  <si>
    <t>India</t>
  </si>
  <si>
    <t>xsule@example.org</t>
  </si>
  <si>
    <t>RTGS</t>
  </si>
  <si>
    <t>Non-AC</t>
  </si>
  <si>
    <t>Neelofar Comar</t>
  </si>
  <si>
    <t>STU281</t>
  </si>
  <si>
    <t>ENR281</t>
  </si>
  <si>
    <t>M.Tech in Computer Science Engineering</t>
  </si>
  <si>
    <t>Computer Science Engineering</t>
  </si>
  <si>
    <t>Business Analytics &amp; Optimization</t>
  </si>
  <si>
    <t>Ahmedabad</t>
  </si>
  <si>
    <t>Gujarat</t>
  </si>
  <si>
    <t>darshit58@example.org</t>
  </si>
  <si>
    <t>Cash</t>
  </si>
  <si>
    <t>AC</t>
  </si>
  <si>
    <t>Hansh Manda</t>
  </si>
  <si>
    <t>STU173</t>
  </si>
  <si>
    <t>ENR173</t>
  </si>
  <si>
    <t>Cyber Security and Digital Forensic</t>
  </si>
  <si>
    <t>Delhi</t>
  </si>
  <si>
    <t>nayantara27@example.org</t>
  </si>
  <si>
    <t>Priyansh Ravel</t>
  </si>
  <si>
    <t>STU176</t>
  </si>
  <si>
    <t>ENR176</t>
  </si>
  <si>
    <t>Data Analytics</t>
  </si>
  <si>
    <t>Triple Occupancy</t>
  </si>
  <si>
    <t>Pune</t>
  </si>
  <si>
    <t>Maharashtra</t>
  </si>
  <si>
    <t>talwarindranil@example.com</t>
  </si>
  <si>
    <t>Shayak Shah</t>
  </si>
  <si>
    <t>STU177</t>
  </si>
  <si>
    <t>ENR177</t>
  </si>
  <si>
    <t>Single Occupancy</t>
  </si>
  <si>
    <t>Kolkata</t>
  </si>
  <si>
    <t>West Bengal</t>
  </si>
  <si>
    <t>hridaanmallick@example.net</t>
  </si>
  <si>
    <t>Cheque</t>
  </si>
  <si>
    <t>Yuvaan Sankaran</t>
  </si>
  <si>
    <t>STU854</t>
  </si>
  <si>
    <t>ENR854</t>
  </si>
  <si>
    <t>Bengaluru</t>
  </si>
  <si>
    <t>Karnataka</t>
  </si>
  <si>
    <t>agarwalazad@example.net</t>
  </si>
  <si>
    <t>Fateh Buch</t>
  </si>
  <si>
    <t>STU452</t>
  </si>
  <si>
    <t>ENR452</t>
  </si>
  <si>
    <t>Mumbai</t>
  </si>
  <si>
    <t>nchahal@example.com</t>
  </si>
  <si>
    <t>DD</t>
  </si>
  <si>
    <t>Pari Chaudhary</t>
  </si>
  <si>
    <t>STU687</t>
  </si>
  <si>
    <t>ENR687</t>
  </si>
  <si>
    <t>Data Science</t>
  </si>
  <si>
    <t>Chennai</t>
  </si>
  <si>
    <t>Tamil Nadu</t>
  </si>
  <si>
    <t>pkeer@example.org</t>
  </si>
  <si>
    <t>Samar Dewan</t>
  </si>
  <si>
    <t>STU872</t>
  </si>
  <si>
    <t>ENR872</t>
  </si>
  <si>
    <t>eshanijaggi@example.net</t>
  </si>
  <si>
    <t>UPI</t>
  </si>
  <si>
    <t>Sahil Handa</t>
  </si>
  <si>
    <t>STU184</t>
  </si>
  <si>
    <t>ENR184</t>
  </si>
  <si>
    <t>Cloud Computing &amp; Virtualization</t>
  </si>
  <si>
    <t>Lucknow</t>
  </si>
  <si>
    <t>Uttar Pradesh</t>
  </si>
  <si>
    <t>ykalita@example.org</t>
  </si>
  <si>
    <t>Heer Keer</t>
  </si>
  <si>
    <t>STU053</t>
  </si>
  <si>
    <t>ENR053</t>
  </si>
  <si>
    <t>mehul50@example.net</t>
  </si>
  <si>
    <t>Mehul Kapoor</t>
  </si>
  <si>
    <t>STU887</t>
  </si>
  <si>
    <t>ENR887</t>
  </si>
  <si>
    <t>Internet of Things &amp; Cyber Security Including Blockchain Technology</t>
  </si>
  <si>
    <t>advikaupadhyay@example.net</t>
  </si>
  <si>
    <t>Mamooty Chada</t>
  </si>
  <si>
    <t>STU1120</t>
  </si>
  <si>
    <t>ENR1120</t>
  </si>
  <si>
    <t>chadafarhan@example.com</t>
  </si>
  <si>
    <t>Devansh Sarin</t>
  </si>
  <si>
    <t>STU916</t>
  </si>
  <si>
    <t>ENR916</t>
  </si>
  <si>
    <t>Geographical Information Systems and Remote Sensing</t>
  </si>
  <si>
    <t>sumerdevi@example.net</t>
  </si>
  <si>
    <t>Anya Shankar</t>
  </si>
  <si>
    <t>STU1103</t>
  </si>
  <si>
    <t>ENR1103</t>
  </si>
  <si>
    <t>chahalmahika@example.net</t>
  </si>
  <si>
    <t>Shanaya Balakrishnan</t>
  </si>
  <si>
    <t>STU416</t>
  </si>
  <si>
    <t>ENR416</t>
  </si>
  <si>
    <t>ayesha17@example.org</t>
  </si>
  <si>
    <t>Gokul Ganguly</t>
  </si>
  <si>
    <t>STU937</t>
  </si>
  <si>
    <t>ENR937</t>
  </si>
  <si>
    <t>manjarichoudhury@example.com</t>
  </si>
  <si>
    <t>Ayesha Shankar</t>
  </si>
  <si>
    <t>STU442</t>
  </si>
  <si>
    <t>ENR442</t>
  </si>
  <si>
    <t>chakrabortyela@example.com</t>
  </si>
  <si>
    <t>Elakshi Varughese</t>
  </si>
  <si>
    <t>STU489</t>
  </si>
  <si>
    <t>ENR489</t>
  </si>
  <si>
    <t>chanderyuvaan@example.com</t>
  </si>
  <si>
    <t>Anvi Bhagat</t>
  </si>
  <si>
    <t>STU396</t>
  </si>
  <si>
    <t>ENR396</t>
  </si>
  <si>
    <t>gdhillon@example.com</t>
  </si>
  <si>
    <t>Hiran Rattan</t>
  </si>
  <si>
    <t>STU506</t>
  </si>
  <si>
    <t>ENR506</t>
  </si>
  <si>
    <t>Gaming Technology</t>
  </si>
  <si>
    <t>veergill@example.com</t>
  </si>
  <si>
    <t>Rasha Tella</t>
  </si>
  <si>
    <t>STU459</t>
  </si>
  <si>
    <t>ENR459</t>
  </si>
  <si>
    <t>khushi66@example.net</t>
  </si>
  <si>
    <t>Purab Kalita</t>
  </si>
  <si>
    <t>STU175</t>
  </si>
  <si>
    <t>ENR175</t>
  </si>
  <si>
    <t>jhanviaggarwal@example.com</t>
  </si>
  <si>
    <t>Baiju Gokhale</t>
  </si>
  <si>
    <t>STU194</t>
  </si>
  <si>
    <t>ENR194</t>
  </si>
  <si>
    <t>aryaeshani@example.org</t>
  </si>
  <si>
    <t>Neysa Anne</t>
  </si>
  <si>
    <t>STU715</t>
  </si>
  <si>
    <t>ENR715</t>
  </si>
  <si>
    <t>lakshay92@example.com</t>
  </si>
  <si>
    <t>Akarsh Jha</t>
  </si>
  <si>
    <t>STU720</t>
  </si>
  <si>
    <t>ENR720</t>
  </si>
  <si>
    <t>myrahora@example.net</t>
  </si>
  <si>
    <t>Charvi Dora</t>
  </si>
  <si>
    <t>STU166</t>
  </si>
  <si>
    <t>ENR166</t>
  </si>
  <si>
    <t>kademyra@example.com</t>
  </si>
  <si>
    <t>Anaya Dugal</t>
  </si>
  <si>
    <t>STU734</t>
  </si>
  <si>
    <t>ENR734</t>
  </si>
  <si>
    <t>desaiadira@example.net</t>
  </si>
  <si>
    <t>Aradhya Kunda</t>
  </si>
  <si>
    <t>STU737</t>
  </si>
  <si>
    <t>ENR737</t>
  </si>
  <si>
    <t>baiju50@example.com</t>
  </si>
  <si>
    <t>Taran Deol</t>
  </si>
  <si>
    <t>STU601</t>
  </si>
  <si>
    <t>ENR601</t>
  </si>
  <si>
    <t>Jaipur</t>
  </si>
  <si>
    <t>Rajasthan</t>
  </si>
  <si>
    <t>brarsamaira@example.net</t>
  </si>
  <si>
    <t>Arhaan Tella</t>
  </si>
  <si>
    <t>STU747</t>
  </si>
  <si>
    <t>ENR747</t>
  </si>
  <si>
    <t>suranirvi@example.org</t>
  </si>
  <si>
    <t>Hansh Raju</t>
  </si>
  <si>
    <t>STU544</t>
  </si>
  <si>
    <t>ENR544</t>
  </si>
  <si>
    <t>raghavsaxena@example.net</t>
  </si>
  <si>
    <t>Aniruddh Bali</t>
  </si>
  <si>
    <t>STU250</t>
  </si>
  <si>
    <t>ENR250</t>
  </si>
  <si>
    <t>jsani@example.org</t>
  </si>
  <si>
    <t>Yasmin Bansal</t>
  </si>
  <si>
    <t>STU518</t>
  </si>
  <si>
    <t>ENR518</t>
  </si>
  <si>
    <t>ladanvi@example.net</t>
  </si>
  <si>
    <t>Alia Trivedi</t>
  </si>
  <si>
    <t>STU514</t>
  </si>
  <si>
    <t>ENR514</t>
  </si>
  <si>
    <t>Full Stack Development</t>
  </si>
  <si>
    <t>chackoneysa@example.org</t>
  </si>
  <si>
    <t>Arnav Sama</t>
  </si>
  <si>
    <t>STU476</t>
  </si>
  <si>
    <t>ENR476</t>
  </si>
  <si>
    <t>dharmajanmani@example.org</t>
  </si>
  <si>
    <t>Indrajit Brahmbhatt</t>
  </si>
  <si>
    <t>STU956</t>
  </si>
  <si>
    <t>ENR956</t>
  </si>
  <si>
    <t>ivan26@example.com</t>
  </si>
  <si>
    <t>Vihaan Bains</t>
  </si>
  <si>
    <t>STU685</t>
  </si>
  <si>
    <t>ENR685</t>
  </si>
  <si>
    <t>ihari@example.org</t>
  </si>
  <si>
    <t>Kiara Ben</t>
  </si>
  <si>
    <t>STU266</t>
  </si>
  <si>
    <t>ENR266</t>
  </si>
  <si>
    <t>gardeaaryahi@example.net</t>
  </si>
  <si>
    <t>Yakshit Shah</t>
  </si>
  <si>
    <t>STU1043</t>
  </si>
  <si>
    <t>ENR1043</t>
  </si>
  <si>
    <t>navyaray@example.org</t>
  </si>
  <si>
    <t>Anahi Gour</t>
  </si>
  <si>
    <t>STU341</t>
  </si>
  <si>
    <t>ENR341</t>
  </si>
  <si>
    <t>parinaazsood@example.org</t>
  </si>
  <si>
    <t>Darshit Gaba</t>
  </si>
  <si>
    <t>STU367</t>
  </si>
  <si>
    <t>ENR367</t>
  </si>
  <si>
    <t>frajagopal@example.org</t>
  </si>
  <si>
    <t>Dhanush Seth</t>
  </si>
  <si>
    <t>STU280</t>
  </si>
  <si>
    <t>ENR280</t>
  </si>
  <si>
    <t>bhaminikibe@example.net</t>
  </si>
  <si>
    <t>Nehmat Gupta</t>
  </si>
  <si>
    <t>STU348</t>
  </si>
  <si>
    <t>ENR348</t>
  </si>
  <si>
    <t>lalavedika@example.net</t>
  </si>
  <si>
    <t>Hiran Mani</t>
  </si>
  <si>
    <t>STU1026</t>
  </si>
  <si>
    <t>ENR1026</t>
  </si>
  <si>
    <t>basaksumer@example.com</t>
  </si>
  <si>
    <t>Raghav Hayer</t>
  </si>
  <si>
    <t>STU256</t>
  </si>
  <si>
    <t>ENR256</t>
  </si>
  <si>
    <t>tkhurana@example.net</t>
  </si>
  <si>
    <t>Ojas Sunder</t>
  </si>
  <si>
    <t>STU986</t>
  </si>
  <si>
    <t>ENR986</t>
  </si>
  <si>
    <t>nakul89@example.net</t>
  </si>
  <si>
    <t>Sumer Thakur</t>
  </si>
  <si>
    <t>STU350</t>
  </si>
  <si>
    <t>ENR350</t>
  </si>
  <si>
    <t>farhan78@example.com</t>
  </si>
  <si>
    <t>Misha Andra</t>
  </si>
  <si>
    <t>STU1044</t>
  </si>
  <si>
    <t>ENR1044</t>
  </si>
  <si>
    <t>arnavbarad@example.net</t>
  </si>
  <si>
    <t>Lakshit Rana</t>
  </si>
  <si>
    <t>STU322</t>
  </si>
  <si>
    <t>ENR322</t>
  </si>
  <si>
    <t>rohan25@example.com</t>
  </si>
  <si>
    <t>Anahita Deshmukh</t>
  </si>
  <si>
    <t>STU017</t>
  </si>
  <si>
    <t>ENR017</t>
  </si>
  <si>
    <t>goelaradhya@example.com</t>
  </si>
  <si>
    <t>Kiara Ramanathan</t>
  </si>
  <si>
    <t>STU359</t>
  </si>
  <si>
    <t>ENR359</t>
  </si>
  <si>
    <t>tanya87@example.com</t>
  </si>
  <si>
    <t>Nehmat Divan</t>
  </si>
  <si>
    <t>STU315</t>
  </si>
  <si>
    <t>ENR315</t>
  </si>
  <si>
    <t>kavyadevan@example.com</t>
  </si>
  <si>
    <t>Ryan Thakur</t>
  </si>
  <si>
    <t>STU1055</t>
  </si>
  <si>
    <t>ENR1055</t>
  </si>
  <si>
    <t>zsrinivasan@example.com</t>
  </si>
  <si>
    <t>Kaira Bhargava</t>
  </si>
  <si>
    <t>STU774</t>
  </si>
  <si>
    <t>ENR774</t>
  </si>
  <si>
    <t>kabirsubramanian@example.net</t>
  </si>
  <si>
    <t>Myra Sinha</t>
  </si>
  <si>
    <t>STU303</t>
  </si>
  <si>
    <t>ENR303</t>
  </si>
  <si>
    <t>uchandra@example.org</t>
  </si>
  <si>
    <t>Samar Borra</t>
  </si>
  <si>
    <t>STU563</t>
  </si>
  <si>
    <t>ENR563</t>
  </si>
  <si>
    <t>adiralata@example.org</t>
  </si>
  <si>
    <t>Navya Bahl</t>
  </si>
  <si>
    <t>STU268</t>
  </si>
  <si>
    <t>ENR268</t>
  </si>
  <si>
    <t>wallacharvi@example.org</t>
  </si>
  <si>
    <t>Anika Ratti</t>
  </si>
  <si>
    <t>STU475</t>
  </si>
  <si>
    <t>ENR475</t>
  </si>
  <si>
    <t>onkar37@example.net</t>
  </si>
  <si>
    <t>Aarav Sawhney</t>
  </si>
  <si>
    <t>STU253</t>
  </si>
  <si>
    <t>ENR253</t>
  </si>
  <si>
    <t>sandhuaarna@example.net</t>
  </si>
  <si>
    <t>Dhanush Chopra</t>
  </si>
  <si>
    <t>STU234</t>
  </si>
  <si>
    <t>ENR234</t>
  </si>
  <si>
    <t>fatehaurora@example.com</t>
  </si>
  <si>
    <t>Madhup Johal</t>
  </si>
  <si>
    <t>STU551</t>
  </si>
  <si>
    <t>ENR551</t>
  </si>
  <si>
    <t>zachariahyakshit@example.com</t>
  </si>
  <si>
    <t>Navya Sachdev</t>
  </si>
  <si>
    <t>STU957</t>
  </si>
  <si>
    <t>ENR957</t>
  </si>
  <si>
    <t>mamootyandra@example.org</t>
  </si>
  <si>
    <t>Nirvaan Vaidya</t>
  </si>
  <si>
    <t>STU469</t>
  </si>
  <si>
    <t>ENR469</t>
  </si>
  <si>
    <t>myravarkey@example.net</t>
  </si>
  <si>
    <t>Samaira Cherian</t>
  </si>
  <si>
    <t>STU1034</t>
  </si>
  <si>
    <t>ENR1034</t>
  </si>
  <si>
    <t>shayakkoshy@example.net</t>
  </si>
  <si>
    <t>Divyansh Mann</t>
  </si>
  <si>
    <t>STU467</t>
  </si>
  <si>
    <t>ENR467</t>
  </si>
  <si>
    <t>bhavinsen@example.com</t>
  </si>
  <si>
    <t>Adah Rama</t>
  </si>
  <si>
    <t>STU727</t>
  </si>
  <si>
    <t>ENR727</t>
  </si>
  <si>
    <t>kadakiayashvi@example.com</t>
  </si>
  <si>
    <t>Neysa Gade</t>
  </si>
  <si>
    <t>STU1041</t>
  </si>
  <si>
    <t>ENR1041</t>
  </si>
  <si>
    <t>sharafindranil@example.org</t>
  </si>
  <si>
    <t>Navya Acharya</t>
  </si>
  <si>
    <t>STU110</t>
  </si>
  <si>
    <t>ENR110</t>
  </si>
  <si>
    <t>pmanne@example.net</t>
  </si>
  <si>
    <t>Yasmin Arora</t>
  </si>
  <si>
    <t>STU196</t>
  </si>
  <si>
    <t>ENR196</t>
  </si>
  <si>
    <t>shayak04@example.com</t>
  </si>
  <si>
    <t>Tanya Chaudhari</t>
  </si>
  <si>
    <t>STU112</t>
  </si>
  <si>
    <t>ENR112</t>
  </si>
  <si>
    <t>riya41@example.net</t>
  </si>
  <si>
    <t>Myra Din</t>
  </si>
  <si>
    <t>STU1049</t>
  </si>
  <si>
    <t>ENR1049</t>
  </si>
  <si>
    <t>arhaandugar@example.com</t>
  </si>
  <si>
    <t>Kabir Kothari</t>
  </si>
  <si>
    <t>STU698</t>
  </si>
  <si>
    <t>ENR698</t>
  </si>
  <si>
    <t>hridaan25@example.net</t>
  </si>
  <si>
    <t>Inaaya  Dash</t>
  </si>
  <si>
    <t>STU663</t>
  </si>
  <si>
    <t>ENR663</t>
  </si>
  <si>
    <t>korpalgokul@example.net</t>
  </si>
  <si>
    <t>Devansh Kala</t>
  </si>
  <si>
    <t>STU670</t>
  </si>
  <si>
    <t>ENR670</t>
  </si>
  <si>
    <t>advikasrinivas@example.com</t>
  </si>
  <si>
    <t>Faiyaz Thakkar</t>
  </si>
  <si>
    <t>STU678</t>
  </si>
  <si>
    <t>ENR678</t>
  </si>
  <si>
    <t>twalla@example.com</t>
  </si>
  <si>
    <t>Kabir Tiwari</t>
  </si>
  <si>
    <t>STU1016</t>
  </si>
  <si>
    <t>ENR1016</t>
  </si>
  <si>
    <t>lakshit76@example.org</t>
  </si>
  <si>
    <t>Aaina Balan</t>
  </si>
  <si>
    <t>STU787</t>
  </si>
  <si>
    <t>ENR787</t>
  </si>
  <si>
    <t>barmanmisha@example.org</t>
  </si>
  <si>
    <t>Anahi Thaman</t>
  </si>
  <si>
    <t>STU865</t>
  </si>
  <si>
    <t>ENR865</t>
  </si>
  <si>
    <t>borasaanvi@example.net</t>
  </si>
  <si>
    <t>Kiaan Garg</t>
  </si>
  <si>
    <t>STU448</t>
  </si>
  <si>
    <t>ENR448</t>
  </si>
  <si>
    <t>zachariahrenee@example.net</t>
  </si>
  <si>
    <t>Kimaya Sen</t>
  </si>
  <si>
    <t>STU202</t>
  </si>
  <si>
    <t>ENR202</t>
  </si>
  <si>
    <t>vedikachaudhuri@example.com</t>
  </si>
  <si>
    <t>Himmat Arya</t>
  </si>
  <si>
    <t>STU1078</t>
  </si>
  <si>
    <t>ENR1078</t>
  </si>
  <si>
    <t>vedika42@example.com</t>
  </si>
  <si>
    <t>Urvi Iyer</t>
  </si>
  <si>
    <t>STU420</t>
  </si>
  <si>
    <t>ENR420</t>
  </si>
  <si>
    <t>yakshitwagle@example.org</t>
  </si>
  <si>
    <t>Hridaan Boase</t>
  </si>
  <si>
    <t>STU895</t>
  </si>
  <si>
    <t>ENR895</t>
  </si>
  <si>
    <t>farhansarin@example.com</t>
  </si>
  <si>
    <t>Miraya Chauhan</t>
  </si>
  <si>
    <t>STU431</t>
  </si>
  <si>
    <t>ENR431</t>
  </si>
  <si>
    <t>uthkarsh18@example.com</t>
  </si>
  <si>
    <t>Stuvan Sood</t>
  </si>
  <si>
    <t>STU349</t>
  </si>
  <si>
    <t>ENR349</t>
  </si>
  <si>
    <t>jchowdhury@example.org</t>
  </si>
  <si>
    <t>Diya Keer</t>
  </si>
  <si>
    <t>STU1128</t>
  </si>
  <si>
    <t>ENR1128</t>
  </si>
  <si>
    <t>mandaldivij@example.net</t>
  </si>
  <si>
    <t>Aniruddh Lal</t>
  </si>
  <si>
    <t>STU873</t>
  </si>
  <si>
    <t>ENR873</t>
  </si>
  <si>
    <t>dbrahmbhatt@example.org</t>
  </si>
  <si>
    <t>Shalv Sastry</t>
  </si>
  <si>
    <t>STU345</t>
  </si>
  <si>
    <t>ENR345</t>
  </si>
  <si>
    <t>bhagatdevansh@example.com</t>
  </si>
  <si>
    <t>Yasmin Swaminathan</t>
  </si>
  <si>
    <t>STU1135</t>
  </si>
  <si>
    <t>ENR1135</t>
  </si>
  <si>
    <t>imadan@example.com</t>
  </si>
  <si>
    <t>Zaina Thakur</t>
  </si>
  <si>
    <t>STU439</t>
  </si>
  <si>
    <t>ENR439</t>
  </si>
  <si>
    <t>bhaminikaul@example.com</t>
  </si>
  <si>
    <t>Oorja Dayal</t>
  </si>
  <si>
    <t>STU299</t>
  </si>
  <si>
    <t>ENR299</t>
  </si>
  <si>
    <t>akarsh10@example.net</t>
  </si>
  <si>
    <t>Mehul Shroff</t>
  </si>
  <si>
    <t>STU1170</t>
  </si>
  <si>
    <t>ENR1170</t>
  </si>
  <si>
    <t>bhatnagarrhea@example.net</t>
  </si>
  <si>
    <t>Adah Sheth</t>
  </si>
  <si>
    <t>STU1184</t>
  </si>
  <si>
    <t>ENR1184</t>
  </si>
  <si>
    <t>tbali@example.com</t>
  </si>
  <si>
    <t>Shray Sunder</t>
  </si>
  <si>
    <t>STU217</t>
  </si>
  <si>
    <t>ENR217</t>
  </si>
  <si>
    <t>arhaanray@example.net</t>
  </si>
  <si>
    <t>Indrans Mander</t>
  </si>
  <si>
    <t>STU454</t>
  </si>
  <si>
    <t>ENR454</t>
  </si>
  <si>
    <t>kapoorzara@example.org</t>
  </si>
  <si>
    <t>Rhea Sarin</t>
  </si>
  <si>
    <t>STU803</t>
  </si>
  <si>
    <t>ENR803</t>
  </si>
  <si>
    <t>aarnatripathi@example.net</t>
  </si>
  <si>
    <t>Vanya Chad</t>
  </si>
  <si>
    <t>STU807</t>
  </si>
  <si>
    <t>ENR807</t>
  </si>
  <si>
    <t>sharafvihaan@example.org</t>
  </si>
  <si>
    <t>Uthkarsh Kamdar</t>
  </si>
  <si>
    <t>STU810</t>
  </si>
  <si>
    <t>ENR810</t>
  </si>
  <si>
    <t>qsunder@example.net</t>
  </si>
  <si>
    <t>Prerak Comar</t>
  </si>
  <si>
    <t>STU393</t>
  </si>
  <si>
    <t>ENR393</t>
  </si>
  <si>
    <t>amira09@example.com</t>
  </si>
  <si>
    <t>Vardaniya Karan</t>
  </si>
  <si>
    <t>STU402</t>
  </si>
  <si>
    <t>ENR402</t>
  </si>
  <si>
    <t>dorahimmat@example.org</t>
  </si>
  <si>
    <t>Mohanlal Kibe</t>
  </si>
  <si>
    <t>STU403</t>
  </si>
  <si>
    <t>ENR403</t>
  </si>
  <si>
    <t>saxenaaniruddh@example.com</t>
  </si>
  <si>
    <t>Baiju Ramachandran</t>
  </si>
  <si>
    <t>STU189</t>
  </si>
  <si>
    <t>ENR189</t>
  </si>
  <si>
    <t>vivaankashyap@example.org</t>
  </si>
  <si>
    <t>Indranil Tara</t>
  </si>
  <si>
    <t>STU505</t>
  </si>
  <si>
    <t>ENR505</t>
  </si>
  <si>
    <t>lavanya34@example.net</t>
  </si>
  <si>
    <t>Sahil Gole</t>
  </si>
  <si>
    <t>STU203</t>
  </si>
  <si>
    <t>ENR203</t>
  </si>
  <si>
    <t>raolakshit@example.org</t>
  </si>
  <si>
    <t>Alisha Setty</t>
  </si>
  <si>
    <t>STU338</t>
  </si>
  <si>
    <t>ENR338</t>
  </si>
  <si>
    <t>baiju64@example.org</t>
  </si>
  <si>
    <t>Amira Magar</t>
  </si>
  <si>
    <t>STU316</t>
  </si>
  <si>
    <t>ENR316</t>
  </si>
  <si>
    <t>amanikala@example.net</t>
  </si>
  <si>
    <t>Onkar Madan</t>
  </si>
  <si>
    <t>STU340</t>
  </si>
  <si>
    <t>ENR340</t>
  </si>
  <si>
    <t>zmalhotra@example.net</t>
  </si>
  <si>
    <t>Ehsaan Hegde</t>
  </si>
  <si>
    <t>STU337</t>
  </si>
  <si>
    <t>ENR337</t>
  </si>
  <si>
    <t>vihaankeer@example.com</t>
  </si>
  <si>
    <t>Baiju Swamy</t>
  </si>
  <si>
    <t>STU432</t>
  </si>
  <si>
    <t>ENR432</t>
  </si>
  <si>
    <t>mallickjivika@example.com</t>
  </si>
  <si>
    <t>Lavanya Gera</t>
  </si>
  <si>
    <t>xborde@example.com</t>
  </si>
  <si>
    <t>Dhanush Sehgal</t>
  </si>
  <si>
    <t>STU625</t>
  </si>
  <si>
    <t>ENR625</t>
  </si>
  <si>
    <t>guptaanahita@example.com</t>
  </si>
  <si>
    <t>Vanya Badami</t>
  </si>
  <si>
    <t>STU451</t>
  </si>
  <si>
    <t>ENR451</t>
  </si>
  <si>
    <t>raunak25@example.com</t>
  </si>
  <si>
    <t>Lavanya Viswanathan</t>
  </si>
  <si>
    <t>STU334</t>
  </si>
  <si>
    <t>ENR334</t>
  </si>
  <si>
    <t>koshydivit@example.org</t>
  </si>
  <si>
    <t>Ritvik Cherian</t>
  </si>
  <si>
    <t>STU436</t>
  </si>
  <si>
    <t>ENR436</t>
  </si>
  <si>
    <t>aniruddh73@example.net</t>
  </si>
  <si>
    <t>Shray Kanda</t>
  </si>
  <si>
    <t>STU215</t>
  </si>
  <si>
    <t>ENR215</t>
  </si>
  <si>
    <t>samaira15@example.net</t>
  </si>
  <si>
    <t>Zara Kothari</t>
  </si>
  <si>
    <t>STU224</t>
  </si>
  <si>
    <t>ENR224</t>
  </si>
  <si>
    <t>zkapoor@example.net</t>
  </si>
  <si>
    <t>Aarav Singhal</t>
  </si>
  <si>
    <t>STU277</t>
  </si>
  <si>
    <t>ENR277</t>
  </si>
  <si>
    <t>srandhawa@example.org</t>
  </si>
  <si>
    <t>Mahika Loyal</t>
  </si>
  <si>
    <t>STU585</t>
  </si>
  <si>
    <t>ENR585</t>
  </si>
  <si>
    <t>fsengupta@example.net</t>
  </si>
  <si>
    <t>Bhamini Bali</t>
  </si>
  <si>
    <t>STU574</t>
  </si>
  <si>
    <t>ENR574</t>
  </si>
  <si>
    <t>wchad@example.org</t>
  </si>
  <si>
    <t>Badal Wadhwa</t>
  </si>
  <si>
    <t>STU498</t>
  </si>
  <si>
    <t>ENR498</t>
  </si>
  <si>
    <t>chanderdrishya@example.org</t>
  </si>
  <si>
    <t>Aarush Balakrishnan</t>
  </si>
  <si>
    <t>STU244</t>
  </si>
  <si>
    <t>ENR244</t>
  </si>
  <si>
    <t>hridaanbalay@example.com</t>
  </si>
  <si>
    <t>Zain Kalita</t>
  </si>
  <si>
    <t>STU987</t>
  </si>
  <si>
    <t>ENR987</t>
  </si>
  <si>
    <t>csoni@example.org</t>
  </si>
  <si>
    <t>Shray Saraf</t>
  </si>
  <si>
    <t>STU784</t>
  </si>
  <si>
    <t>ENR784</t>
  </si>
  <si>
    <t>gatikbhatt@example.org</t>
  </si>
  <si>
    <t>Mamooty Sachdev</t>
  </si>
  <si>
    <t>STU763</t>
  </si>
  <si>
    <t>ENR763</t>
  </si>
  <si>
    <t>chauhanshlok@example.net</t>
  </si>
  <si>
    <t>Jayesh Jaggi</t>
  </si>
  <si>
    <t>STU930</t>
  </si>
  <si>
    <t>ENR930</t>
  </si>
  <si>
    <t>himmat73@example.org</t>
  </si>
  <si>
    <t>Dhruv Korpal</t>
  </si>
  <si>
    <t>STU901</t>
  </si>
  <si>
    <t>ENR901</t>
  </si>
  <si>
    <t>neelofar03@example.com</t>
  </si>
  <si>
    <t>Sumer Dhillon</t>
  </si>
  <si>
    <t>STU992</t>
  </si>
  <si>
    <t>ENR992</t>
  </si>
  <si>
    <t>nirvi50@example.net</t>
  </si>
  <si>
    <t>Siya Balasubramanian</t>
  </si>
  <si>
    <t>STU742</t>
  </si>
  <si>
    <t>ENR742</t>
  </si>
  <si>
    <t>rohanrajagopal@example.net</t>
  </si>
  <si>
    <t>Keya Ravi</t>
  </si>
  <si>
    <t>STU1068</t>
  </si>
  <si>
    <t>ENR1068</t>
  </si>
  <si>
    <t>lkeer@example.com</t>
  </si>
  <si>
    <t>Nitara Sen</t>
  </si>
  <si>
    <t>STU1006</t>
  </si>
  <si>
    <t>ENR1006</t>
  </si>
  <si>
    <t>jivika96@example.com</t>
  </si>
  <si>
    <t>Renee Varughese</t>
  </si>
  <si>
    <t>STU1199</t>
  </si>
  <si>
    <t>ENR1199</t>
  </si>
  <si>
    <t>fgrewal@example.net</t>
  </si>
  <si>
    <t>Pari Deshpande</t>
  </si>
  <si>
    <t>STU1198</t>
  </si>
  <si>
    <t>ENR1198</t>
  </si>
  <si>
    <t>ahana-84@example.com</t>
  </si>
  <si>
    <t>Ela Kashyap</t>
  </si>
  <si>
    <t>STU1062</t>
  </si>
  <si>
    <t>ENR1062</t>
  </si>
  <si>
    <t>nitya82@example.org</t>
  </si>
  <si>
    <t>Renee Sen</t>
  </si>
  <si>
    <t>STU960</t>
  </si>
  <si>
    <t>ENR960</t>
  </si>
  <si>
    <t>ivenkatesh@example.org</t>
  </si>
  <si>
    <t>Heer Ganesh</t>
  </si>
  <si>
    <t>STU1137</t>
  </si>
  <si>
    <t>ENR1137</t>
  </si>
  <si>
    <t>krishdubey@example.net</t>
  </si>
  <si>
    <t>Charvi Vaidya</t>
  </si>
  <si>
    <t>STU696</t>
  </si>
  <si>
    <t>ENR696</t>
  </si>
  <si>
    <t>kiararavel@example.net</t>
  </si>
  <si>
    <t>Veer Arora</t>
  </si>
  <si>
    <t>STU079</t>
  </si>
  <si>
    <t>ENR079</t>
  </si>
  <si>
    <t>kannanneysa@example.net</t>
  </si>
  <si>
    <t>Hrishita Bhargava</t>
  </si>
  <si>
    <t>STU706</t>
  </si>
  <si>
    <t>ENR706</t>
  </si>
  <si>
    <t>kismat08@example.net</t>
  </si>
  <si>
    <t>Anahita Varkey</t>
  </si>
  <si>
    <t>STU703</t>
  </si>
  <si>
    <t>ENR703</t>
  </si>
  <si>
    <t>fupadhyay@example.net</t>
  </si>
  <si>
    <t>Ivan Das</t>
  </si>
  <si>
    <t>STU1030</t>
  </si>
  <si>
    <t>ENR1030</t>
  </si>
  <si>
    <t>vasarenee@example.org</t>
  </si>
  <si>
    <t>Ishita Randhawa</t>
  </si>
  <si>
    <t>STU1022</t>
  </si>
  <si>
    <t>ENR1022</t>
  </si>
  <si>
    <t>emirshetty@example.org</t>
  </si>
  <si>
    <t>Ritvik Madan</t>
  </si>
  <si>
    <t>manjariwali@example.com</t>
  </si>
  <si>
    <t>Himmat Goswami</t>
  </si>
  <si>
    <t>STU693</t>
  </si>
  <si>
    <t>ENR693</t>
  </si>
  <si>
    <t>xsem@example.org</t>
  </si>
  <si>
    <t>Zeeshan Tara</t>
  </si>
  <si>
    <t>STU942</t>
  </si>
  <si>
    <t>ENR942</t>
  </si>
  <si>
    <t>mamootygoel@example.org</t>
  </si>
  <si>
    <t>Drishya Gole</t>
  </si>
  <si>
    <t>STU067</t>
  </si>
  <si>
    <t>ENR067</t>
  </si>
  <si>
    <t>aarav93@example.net</t>
  </si>
  <si>
    <t>Kartik Som</t>
  </si>
  <si>
    <t>STU060</t>
  </si>
  <si>
    <t>ENR060</t>
  </si>
  <si>
    <t>deshmukhgatik@example.org</t>
  </si>
  <si>
    <t>Ehsaan Dutta</t>
  </si>
  <si>
    <t>STU314</t>
  </si>
  <si>
    <t>ENR314</t>
  </si>
  <si>
    <t>azadandra@example.com</t>
  </si>
  <si>
    <t>Vivaan Kothari</t>
  </si>
  <si>
    <t>STU829</t>
  </si>
  <si>
    <t>ENR829</t>
  </si>
  <si>
    <t>saranindrajit@example.net</t>
  </si>
  <si>
    <t>Rhea Loyal</t>
  </si>
  <si>
    <t>STU1118</t>
  </si>
  <si>
    <t>ENR1118</t>
  </si>
  <si>
    <t>kairabhardwaj@example.net</t>
  </si>
  <si>
    <t>Nakul Kaul</t>
  </si>
  <si>
    <t>STU387</t>
  </si>
  <si>
    <t>ENR387</t>
  </si>
  <si>
    <t>kabir12@example.net</t>
  </si>
  <si>
    <t>Sana Ganguly</t>
  </si>
  <si>
    <t>STU056</t>
  </si>
  <si>
    <t>ENR056</t>
  </si>
  <si>
    <t>miraankashyap@example.net</t>
  </si>
  <si>
    <t>Vaibhav Sule</t>
  </si>
  <si>
    <t>STU242</t>
  </si>
  <si>
    <t>ENR242</t>
  </si>
  <si>
    <t>dasaaryahi@example.com</t>
  </si>
  <si>
    <t>Siya Tata</t>
  </si>
  <si>
    <t>STU199</t>
  </si>
  <si>
    <t>ENR199</t>
  </si>
  <si>
    <t>amaniamble@example.net</t>
  </si>
  <si>
    <t>Ivana Bava</t>
  </si>
  <si>
    <t>STU1014</t>
  </si>
  <si>
    <t>ENR1014</t>
  </si>
  <si>
    <t>sarkaryuvraj@example.com</t>
  </si>
  <si>
    <t>Arhaan Kara</t>
  </si>
  <si>
    <t>STU523</t>
  </si>
  <si>
    <t>ENR523</t>
  </si>
  <si>
    <t>indranschaudhuri@example.net</t>
  </si>
  <si>
    <t>Tanya Sangha</t>
  </si>
  <si>
    <t>STU1054</t>
  </si>
  <si>
    <t>ENR1054</t>
  </si>
  <si>
    <t>hunarchoudhary@example.com</t>
  </si>
  <si>
    <t>Mannat Konda</t>
  </si>
  <si>
    <t>STU269</t>
  </si>
  <si>
    <t>ENR269</t>
  </si>
  <si>
    <t>arnav76@example.org</t>
  </si>
  <si>
    <t>Kabir Barad</t>
  </si>
  <si>
    <t>STU273</t>
  </si>
  <si>
    <t>ENR273</t>
  </si>
  <si>
    <t>gargreyansh@example.net</t>
  </si>
  <si>
    <t>Jayesh Golla</t>
  </si>
  <si>
    <t>STU302</t>
  </si>
  <si>
    <t>ENR302</t>
  </si>
  <si>
    <t>zachariaakarsh@example.com</t>
  </si>
  <si>
    <t>Charvi Sahni</t>
  </si>
  <si>
    <t>STU227</t>
  </si>
  <si>
    <t>ENR227</t>
  </si>
  <si>
    <t>hunarcheema@example.com</t>
  </si>
  <si>
    <t>Vaibhav Gandhi</t>
  </si>
  <si>
    <t>STU1015</t>
  </si>
  <si>
    <t>ENR1015</t>
  </si>
  <si>
    <t>bthaker@example.com</t>
  </si>
  <si>
    <t>Hansh Karnik</t>
  </si>
  <si>
    <t>STU355</t>
  </si>
  <si>
    <t>ENR355</t>
  </si>
  <si>
    <t>cbarman@example.com</t>
  </si>
  <si>
    <t>Miraan Bera</t>
  </si>
  <si>
    <t>zdash@example.net</t>
  </si>
  <si>
    <t>Amira Srinivasan</t>
  </si>
  <si>
    <t>STU417</t>
  </si>
  <si>
    <t>ENR417</t>
  </si>
  <si>
    <t>sbarad@example.org</t>
  </si>
  <si>
    <t>Kimaya Aggarwal</t>
  </si>
  <si>
    <t>STU216</t>
  </si>
  <si>
    <t>ENR216</t>
  </si>
  <si>
    <t>fzachariah@example.com</t>
  </si>
  <si>
    <t>Badal Sant</t>
  </si>
  <si>
    <t>STU988</t>
  </si>
  <si>
    <t>ENR988</t>
  </si>
  <si>
    <t>mannatvyas@example.org</t>
  </si>
  <si>
    <t>Gatik Banerjee</t>
  </si>
  <si>
    <t>STU804</t>
  </si>
  <si>
    <t>ENR804</t>
  </si>
  <si>
    <t>nayantararout@example.net</t>
  </si>
  <si>
    <t>Shamik Kala</t>
  </si>
  <si>
    <t>STU983</t>
  </si>
  <si>
    <t>ENR983</t>
  </si>
  <si>
    <t>bahrisahil@example.net</t>
  </si>
  <si>
    <t>Diya Golla</t>
  </si>
  <si>
    <t>STU1073</t>
  </si>
  <si>
    <t>ENR1073</t>
  </si>
  <si>
    <t>heeredwin@example.com</t>
  </si>
  <si>
    <t>Eshani Chadha</t>
  </si>
  <si>
    <t>STU965</t>
  </si>
  <si>
    <t>ENR965</t>
  </si>
  <si>
    <t>anvibarman@example.org</t>
  </si>
  <si>
    <t>Dhanuk Srinivasan</t>
  </si>
  <si>
    <t>STU825</t>
  </si>
  <si>
    <t>ENR825</t>
  </si>
  <si>
    <t>bdesai@example.com</t>
  </si>
  <si>
    <t>Nakul Bal</t>
  </si>
  <si>
    <t>STU435</t>
  </si>
  <si>
    <t>ENR435</t>
  </si>
  <si>
    <t>bbawa@example.com</t>
  </si>
  <si>
    <t>Kimaya Sarma</t>
  </si>
  <si>
    <t>STU146</t>
  </si>
  <si>
    <t>ENR146</t>
  </si>
  <si>
    <t>mishti95@example.com</t>
  </si>
  <si>
    <t>Jiya Bala</t>
  </si>
  <si>
    <t>STU133</t>
  </si>
  <si>
    <t>ENR133</t>
  </si>
  <si>
    <t>wsampath@example.org</t>
  </si>
  <si>
    <t>Kiara Bakshi</t>
  </si>
  <si>
    <t>STU474</t>
  </si>
  <si>
    <t>ENR474</t>
  </si>
  <si>
    <t>yuvraj-30@example.com</t>
  </si>
  <si>
    <t>Kashvi Wali</t>
  </si>
  <si>
    <t>STU557</t>
  </si>
  <si>
    <t>ENR557</t>
  </si>
  <si>
    <t>devanshtiwari@example.org</t>
  </si>
  <si>
    <t>Kimaya Bumb</t>
  </si>
  <si>
    <t>STU642</t>
  </si>
  <si>
    <t>ENR642</t>
  </si>
  <si>
    <t>wkonda@example.org</t>
  </si>
  <si>
    <t>Suhana Bandi</t>
  </si>
  <si>
    <t>STU468</t>
  </si>
  <si>
    <t>ENR468</t>
  </si>
  <si>
    <t>ibatta@example.com</t>
  </si>
  <si>
    <t>Elakshi Chopra</t>
  </si>
  <si>
    <t>STU105</t>
  </si>
  <si>
    <t>ENR105</t>
  </si>
  <si>
    <t>rsarin@example.com</t>
  </si>
  <si>
    <t>Nitara Sharaf</t>
  </si>
  <si>
    <t>STU623</t>
  </si>
  <si>
    <t>ENR623</t>
  </si>
  <si>
    <t>mahikasridhar@example.net</t>
  </si>
  <si>
    <t>Madhav Banerjee</t>
  </si>
  <si>
    <t>STU236</t>
  </si>
  <si>
    <t>ENR236</t>
  </si>
  <si>
    <t>hansh99@example.net</t>
  </si>
  <si>
    <t>Ritvik Acharya</t>
  </si>
  <si>
    <t>STU148</t>
  </si>
  <si>
    <t>ENR148</t>
  </si>
  <si>
    <t>zbhandari@example.org</t>
  </si>
  <si>
    <t>Romil Acharya</t>
  </si>
  <si>
    <t>STU089</t>
  </si>
  <si>
    <t>ENR089</t>
  </si>
  <si>
    <t>suhana12@example.com</t>
  </si>
  <si>
    <t>Aarush Sama</t>
  </si>
  <si>
    <t>STU082</t>
  </si>
  <si>
    <t>ENR082</t>
  </si>
  <si>
    <t>vkrishnamurthy@example.net</t>
  </si>
  <si>
    <t>Vidur Contractor</t>
  </si>
  <si>
    <t>STU455</t>
  </si>
  <si>
    <t>ENR455</t>
  </si>
  <si>
    <t>gillehsaan@example.net</t>
  </si>
  <si>
    <t>Jivin Dhingra</t>
  </si>
  <si>
    <t>STU465</t>
  </si>
  <si>
    <t>ENR465</t>
  </si>
  <si>
    <t>pwagle@example.com</t>
  </si>
  <si>
    <t>Vihaan Balay</t>
  </si>
  <si>
    <t>STU600</t>
  </si>
  <si>
    <t>ENR600</t>
  </si>
  <si>
    <t>shethdhanush@example.net</t>
  </si>
  <si>
    <t>Anay Talwar</t>
  </si>
  <si>
    <t>STU494</t>
  </si>
  <si>
    <t>ENR494</t>
  </si>
  <si>
    <t>svasa@example.net</t>
  </si>
  <si>
    <t>Nehmat Sengupta</t>
  </si>
  <si>
    <t>STU461</t>
  </si>
  <si>
    <t>ENR461</t>
  </si>
  <si>
    <t>cbhatnagar@example.net</t>
  </si>
  <si>
    <t>Shalv Desai</t>
  </si>
  <si>
    <t>STU796</t>
  </si>
  <si>
    <t>ENR796</t>
  </si>
  <si>
    <t>lkara@example.org</t>
  </si>
  <si>
    <t>Inaaya  Suri</t>
  </si>
  <si>
    <t>STU297</t>
  </si>
  <si>
    <t>ENR297</t>
  </si>
  <si>
    <t>aainakade@example.com</t>
  </si>
  <si>
    <t>Nishith Ramesh</t>
  </si>
  <si>
    <t>STU609</t>
  </si>
  <si>
    <t>ENR609</t>
  </si>
  <si>
    <t>kaira99@example.org</t>
  </si>
  <si>
    <t>Seher Varughese</t>
  </si>
  <si>
    <t>STU201</t>
  </si>
  <si>
    <t>ENR201</t>
  </si>
  <si>
    <t>ybahri@example.net</t>
  </si>
  <si>
    <t>Rania Kade</t>
  </si>
  <si>
    <t>STU614</t>
  </si>
  <si>
    <t>ENR614</t>
  </si>
  <si>
    <t>tiyabrar@example.net</t>
  </si>
  <si>
    <t>Jivin Balan</t>
  </si>
  <si>
    <t>STU620</t>
  </si>
  <si>
    <t>ENR620</t>
  </si>
  <si>
    <t>shanaya97@example.net</t>
  </si>
  <si>
    <t>Sana Gola</t>
  </si>
  <si>
    <t>STU332</t>
  </si>
  <si>
    <t>ENR332</t>
  </si>
  <si>
    <t>aradhyagala@example.net</t>
  </si>
  <si>
    <t>Gatik Buch</t>
  </si>
  <si>
    <t>STU1063</t>
  </si>
  <si>
    <t>ENR1063</t>
  </si>
  <si>
    <t>badamishaan@example.org</t>
  </si>
  <si>
    <t>Aarush Khanna</t>
  </si>
  <si>
    <t>STU158</t>
  </si>
  <si>
    <t>ENR158</t>
  </si>
  <si>
    <t>vboase@example.org</t>
  </si>
  <si>
    <t>Devansh Bhalla</t>
  </si>
  <si>
    <t>STU626</t>
  </si>
  <si>
    <t>ENR626</t>
  </si>
  <si>
    <t>zchada@example.org</t>
  </si>
  <si>
    <t>Sara Kulkarni</t>
  </si>
  <si>
    <t>STU1164</t>
  </si>
  <si>
    <t>ENR1164</t>
  </si>
  <si>
    <t>taimurkrishnamurthy@example.net</t>
  </si>
  <si>
    <t>Adira Sunder</t>
  </si>
  <si>
    <t>STU309</t>
  </si>
  <si>
    <t>ENR309</t>
  </si>
  <si>
    <t>bbhasin@example.net</t>
  </si>
  <si>
    <t>Siya Goyal</t>
  </si>
  <si>
    <t>STU306</t>
  </si>
  <si>
    <t>ENR306</t>
  </si>
  <si>
    <t>nirvisethi@example.org</t>
  </si>
  <si>
    <t>Anaya Acharya</t>
  </si>
  <si>
    <t>STU633</t>
  </si>
  <si>
    <t>ENR633</t>
  </si>
  <si>
    <t>ishaan17@example.net</t>
  </si>
  <si>
    <t>Aarav Deshpande</t>
  </si>
  <si>
    <t>STU296</t>
  </si>
  <si>
    <t>ENR296</t>
  </si>
  <si>
    <t>chirag88@example.com</t>
  </si>
  <si>
    <t>Suhana Sama</t>
  </si>
  <si>
    <t>STU292</t>
  </si>
  <si>
    <t>ENR292</t>
  </si>
  <si>
    <t>nakulkrishna@example.net</t>
  </si>
  <si>
    <t>Tejas Sridhar</t>
  </si>
  <si>
    <t>STU376</t>
  </si>
  <si>
    <t>ENR376</t>
  </si>
  <si>
    <t>shethayesha@example.com</t>
  </si>
  <si>
    <t>Samarth Saxena</t>
  </si>
  <si>
    <t>STU1056</t>
  </si>
  <si>
    <t>ENR1056</t>
  </si>
  <si>
    <t>divyansh80@example.com</t>
  </si>
  <si>
    <t>Madhav Hora</t>
  </si>
  <si>
    <t>STU1029</t>
  </si>
  <si>
    <t>ENR1029</t>
  </si>
  <si>
    <t>zeeshan07@example.com</t>
  </si>
  <si>
    <t>Kavya Balay</t>
  </si>
  <si>
    <t>STU652</t>
  </si>
  <si>
    <t>ENR652</t>
  </si>
  <si>
    <t>khareriya@example.org</t>
  </si>
  <si>
    <t>Pihu Ben</t>
  </si>
  <si>
    <t>STU654</t>
  </si>
  <si>
    <t>ENR654</t>
  </si>
  <si>
    <t>tarabhardwaj@example.net</t>
  </si>
  <si>
    <t>Vihaan Bhattacharyya</t>
  </si>
  <si>
    <t>STU1050</t>
  </si>
  <si>
    <t>ENR1050</t>
  </si>
  <si>
    <t>renee15@example.org</t>
  </si>
  <si>
    <t>Armaan Dhar</t>
  </si>
  <si>
    <t>STU1067</t>
  </si>
  <si>
    <t>ENR1067</t>
  </si>
  <si>
    <t>nirvaan44@example.net</t>
  </si>
  <si>
    <t>Shray Bhakta</t>
  </si>
  <si>
    <t>STU229</t>
  </si>
  <si>
    <t>ENR229</t>
  </si>
  <si>
    <t>kashvi41@example.com</t>
  </si>
  <si>
    <t>Divij Ramakrishnan</t>
  </si>
  <si>
    <t>STU993</t>
  </si>
  <si>
    <t>ENR993</t>
  </si>
  <si>
    <t>devanshkeer@example.com</t>
  </si>
  <si>
    <t>Miraya Shanker</t>
  </si>
  <si>
    <t>STU397</t>
  </si>
  <si>
    <t>ENR397</t>
  </si>
  <si>
    <t>chanderriya@example.com</t>
  </si>
  <si>
    <t>Trisha Doshi</t>
  </si>
  <si>
    <t>STU1188</t>
  </si>
  <si>
    <t>ENR1188</t>
  </si>
  <si>
    <t>xkant@example.org</t>
  </si>
  <si>
    <t>Mehul Sood</t>
  </si>
  <si>
    <t>STU864</t>
  </si>
  <si>
    <t>ENR864</t>
  </si>
  <si>
    <t>wjoshi@example.org</t>
  </si>
  <si>
    <t>Zain Vora</t>
  </si>
  <si>
    <t>STU504</t>
  </si>
  <si>
    <t>ENR504</t>
  </si>
  <si>
    <t>sahilsinha@example.org</t>
  </si>
  <si>
    <t>Ryan Chatterjee</t>
  </si>
  <si>
    <t>STU182</t>
  </si>
  <si>
    <t>ENR182</t>
  </si>
  <si>
    <t>aaravbalakrishnan@example.net</t>
  </si>
  <si>
    <t>Tarini Vasa</t>
  </si>
  <si>
    <t>STU1129</t>
  </si>
  <si>
    <t>ENR1129</t>
  </si>
  <si>
    <t>barmanpihu@example.org</t>
  </si>
  <si>
    <t>Eshani Srivastava</t>
  </si>
  <si>
    <t>STU537</t>
  </si>
  <si>
    <t>ENR537</t>
  </si>
  <si>
    <t>ragarwal@example.org</t>
  </si>
  <si>
    <t>Purab Krishna</t>
  </si>
  <si>
    <t>STU1115</t>
  </si>
  <si>
    <t>ENR1115</t>
  </si>
  <si>
    <t>madhup99@example.com</t>
  </si>
  <si>
    <t>Tanya Shere</t>
  </si>
  <si>
    <t>STU769</t>
  </si>
  <si>
    <t>ENR769</t>
  </si>
  <si>
    <t>miraya85@example.net</t>
  </si>
  <si>
    <t>Nakul Taneja</t>
  </si>
  <si>
    <t>STU415</t>
  </si>
  <si>
    <t>ENR415</t>
  </si>
  <si>
    <t>charvi87@example.net</t>
  </si>
  <si>
    <t>Bhavin Bali</t>
  </si>
  <si>
    <t>STU941</t>
  </si>
  <si>
    <t>ENR941</t>
  </si>
  <si>
    <t>krish55@example.org</t>
  </si>
  <si>
    <t>Jayant Singh</t>
  </si>
  <si>
    <t>STU548</t>
  </si>
  <si>
    <t>ENR548</t>
  </si>
  <si>
    <t>dadakismat@example.net</t>
  </si>
  <si>
    <t>Indrans Raju</t>
  </si>
  <si>
    <t>STU329</t>
  </si>
  <si>
    <t>ENR329</t>
  </si>
  <si>
    <t>anyamander@example.com</t>
  </si>
  <si>
    <t>Jayesh Grewal</t>
  </si>
  <si>
    <t>STU991</t>
  </si>
  <si>
    <t>ENR991</t>
  </si>
  <si>
    <t>eshani30@example.org</t>
  </si>
  <si>
    <t>Baiju Choudhury</t>
  </si>
  <si>
    <t>STU383</t>
  </si>
  <si>
    <t>ENR383</t>
  </si>
  <si>
    <t>bakshistuvan@example.net</t>
  </si>
  <si>
    <t>Aayush Varma</t>
  </si>
  <si>
    <t>STU381</t>
  </si>
  <si>
    <t>ENR381</t>
  </si>
  <si>
    <t>gyogi@example.net</t>
  </si>
  <si>
    <t>Kanav Vyas</t>
  </si>
  <si>
    <t>STU238</t>
  </si>
  <si>
    <t>ENR238</t>
  </si>
  <si>
    <t>lsami@example.org</t>
  </si>
  <si>
    <t>Hansh Gala</t>
  </si>
  <si>
    <t>STU375</t>
  </si>
  <si>
    <t>ENR375</t>
  </si>
  <si>
    <t>qdugar@example.com</t>
  </si>
  <si>
    <t>Mohanlal Jani</t>
  </si>
  <si>
    <t>STU750</t>
  </si>
  <si>
    <t>ENR750</t>
  </si>
  <si>
    <t>kavyakohli@example.net</t>
  </si>
  <si>
    <t>Divyansh Kari</t>
  </si>
  <si>
    <t>STU967</t>
  </si>
  <si>
    <t>ENR967</t>
  </si>
  <si>
    <t>saanvigoda@example.com</t>
  </si>
  <si>
    <t>Miraya Lall</t>
  </si>
  <si>
    <t>STU372</t>
  </si>
  <si>
    <t>ENR372</t>
  </si>
  <si>
    <t>bshetty@example.org</t>
  </si>
  <si>
    <t>Anay Sule</t>
  </si>
  <si>
    <t>STU370</t>
  </si>
  <si>
    <t>ENR370</t>
  </si>
  <si>
    <t>zbasu@example.org</t>
  </si>
  <si>
    <t>Saanvi Shere</t>
  </si>
  <si>
    <t>STU343</t>
  </si>
  <si>
    <t>ENR343</t>
  </si>
  <si>
    <t>ksetty@example.net</t>
  </si>
  <si>
    <t>Raunak Khurana</t>
  </si>
  <si>
    <t>STU802</t>
  </si>
  <si>
    <t>ENR802</t>
  </si>
  <si>
    <t>samargokhale@example.com</t>
  </si>
  <si>
    <t>Kiara Sant</t>
  </si>
  <si>
    <t>STU748</t>
  </si>
  <si>
    <t>ENR748</t>
  </si>
  <si>
    <t>sara90@example.net</t>
  </si>
  <si>
    <t>Rania Dass</t>
  </si>
  <si>
    <t>STU179</t>
  </si>
  <si>
    <t>ENR179</t>
  </si>
  <si>
    <t>indrajit27@example.net</t>
  </si>
  <si>
    <t>Nishith Tailor</t>
  </si>
  <si>
    <t>STU524</t>
  </si>
  <si>
    <t>ENR524</t>
  </si>
  <si>
    <t>cgoyal@example.com</t>
  </si>
  <si>
    <t>Aradhya Dara</t>
  </si>
  <si>
    <t>STU424</t>
  </si>
  <si>
    <t>ENR424</t>
  </si>
  <si>
    <t>rheadubey@example.net</t>
  </si>
  <si>
    <t>Indrajit Sastry</t>
  </si>
  <si>
    <t>STU419</t>
  </si>
  <si>
    <t>ENR419</t>
  </si>
  <si>
    <t>vtak@example.net</t>
  </si>
  <si>
    <t>Kismat Venkatesh</t>
  </si>
  <si>
    <t>STU100</t>
  </si>
  <si>
    <t>ENR100</t>
  </si>
  <si>
    <t>faiyazchandra@example.com</t>
  </si>
  <si>
    <t>Zaina Dugal</t>
  </si>
  <si>
    <t>STU228</t>
  </si>
  <si>
    <t>ENR228</t>
  </si>
  <si>
    <t>vedika34@example.com</t>
  </si>
  <si>
    <t>Gokul Randhawa</t>
  </si>
  <si>
    <t>STU114</t>
  </si>
  <si>
    <t>ENR114</t>
  </si>
  <si>
    <t>mmani@example.net</t>
  </si>
  <si>
    <t>Armaan Dora</t>
  </si>
  <si>
    <t>STU122</t>
  </si>
  <si>
    <t>ENR122</t>
  </si>
  <si>
    <t>shamikdevi@example.com</t>
  </si>
  <si>
    <t>Ishaan Dugar</t>
  </si>
  <si>
    <t>STU088</t>
  </si>
  <si>
    <t>ENR088</t>
  </si>
  <si>
    <t>srinivasandivij@example.net</t>
  </si>
  <si>
    <t>Onkar Babu</t>
  </si>
  <si>
    <t>damini24@example.org</t>
  </si>
  <si>
    <t>Kiara Bera</t>
  </si>
  <si>
    <t>STU513</t>
  </si>
  <si>
    <t>ENR513</t>
  </si>
  <si>
    <t>somanabram@example.net</t>
  </si>
  <si>
    <t>Ranbir Kurian</t>
  </si>
  <si>
    <t>STU510</t>
  </si>
  <si>
    <t>ENR510</t>
  </si>
  <si>
    <t>balmannat@example.org</t>
  </si>
  <si>
    <t>Samarth Wable</t>
  </si>
  <si>
    <t>STU168</t>
  </si>
  <si>
    <t>ENR168</t>
  </si>
  <si>
    <t>hsachdev@example.net</t>
  </si>
  <si>
    <t>Kashvi Bhat</t>
  </si>
  <si>
    <t>STU231</t>
  </si>
  <si>
    <t>ENR231</t>
  </si>
  <si>
    <t>ukadakia@example.com</t>
  </si>
  <si>
    <t>Ayesha Talwar</t>
  </si>
  <si>
    <t>agrawalkashvi@example.net</t>
  </si>
  <si>
    <t>Hridaan Sathe</t>
  </si>
  <si>
    <t>STU418</t>
  </si>
  <si>
    <t>ENR418</t>
  </si>
  <si>
    <t>hayerivana@example.net</t>
  </si>
  <si>
    <t>Mannat Sagar</t>
  </si>
  <si>
    <t>STU487</t>
  </si>
  <si>
    <t>ENR487</t>
  </si>
  <si>
    <t>tarini84@example.org</t>
  </si>
  <si>
    <t>Lakshit Uppal</t>
  </si>
  <si>
    <t>STU445</t>
  </si>
  <si>
    <t>ENR445</t>
  </si>
  <si>
    <t>taranarora@example.org</t>
  </si>
  <si>
    <t>Adah Soman</t>
  </si>
  <si>
    <t>STU210</t>
  </si>
  <si>
    <t>ENR210</t>
  </si>
  <si>
    <t>nitya86@example.org</t>
  </si>
  <si>
    <t>Nirvi Chander</t>
  </si>
  <si>
    <t>STU208</t>
  </si>
  <si>
    <t>ENR208</t>
  </si>
  <si>
    <t>gokhalenirvi@example.com</t>
  </si>
  <si>
    <t>Mishti Dara</t>
  </si>
  <si>
    <t>STU495</t>
  </si>
  <si>
    <t>ENR495</t>
  </si>
  <si>
    <t>purab90@example.org</t>
  </si>
  <si>
    <t>Onkar Rajagopal</t>
  </si>
  <si>
    <t>damini16@example.org</t>
  </si>
  <si>
    <t>Parinaaz Baria</t>
  </si>
  <si>
    <t>STU135</t>
  </si>
  <si>
    <t>ENR135</t>
  </si>
  <si>
    <t>boasezoya@example.net</t>
  </si>
  <si>
    <t>Advika Contractor</t>
  </si>
  <si>
    <t>STU1048</t>
  </si>
  <si>
    <t>ENR1048</t>
  </si>
  <si>
    <t>aissac@example.org</t>
  </si>
  <si>
    <t>Jayant Balan</t>
  </si>
  <si>
    <t>STU883</t>
  </si>
  <si>
    <t>ENR883</t>
  </si>
  <si>
    <t>nityabaral@example.com</t>
  </si>
  <si>
    <t>Bhavin Bora</t>
  </si>
  <si>
    <t>STU768</t>
  </si>
  <si>
    <t>ENR768</t>
  </si>
  <si>
    <t>qbalasubramanian@example.com</t>
  </si>
  <si>
    <t>Arnav Dass</t>
  </si>
  <si>
    <t>STU395</t>
  </si>
  <si>
    <t>ENR395</t>
  </si>
  <si>
    <t>indrajitsandal@example.org</t>
  </si>
  <si>
    <t>Amani Dash</t>
  </si>
  <si>
    <t>STU765</t>
  </si>
  <si>
    <t>ENR765</t>
  </si>
  <si>
    <t>nayantara05@example.com</t>
  </si>
  <si>
    <t>Ranbir Gour</t>
  </si>
  <si>
    <t>STU440</t>
  </si>
  <si>
    <t>ENR440</t>
  </si>
  <si>
    <t>dcherian@example.net</t>
  </si>
  <si>
    <t>Indrans Dada</t>
  </si>
  <si>
    <t>STU366</t>
  </si>
  <si>
    <t>ENR366</t>
  </si>
  <si>
    <t>kiara11@example.net</t>
  </si>
  <si>
    <t>Dhanuk Vig</t>
  </si>
  <si>
    <t>STU526</t>
  </si>
  <si>
    <t>ENR526</t>
  </si>
  <si>
    <t>sundarambhamini@example.net</t>
  </si>
  <si>
    <t>Nitara Kalita</t>
  </si>
  <si>
    <t>STU423</t>
  </si>
  <si>
    <t>ENR423</t>
  </si>
  <si>
    <t>dubeypiya@example.com</t>
  </si>
  <si>
    <t>Arnav Chaudhari</t>
  </si>
  <si>
    <t>STU101</t>
  </si>
  <si>
    <t>ENR101</t>
  </si>
  <si>
    <t>rati69@example.com</t>
  </si>
  <si>
    <t>Keya Jaggi</t>
  </si>
  <si>
    <t>STU294</t>
  </si>
  <si>
    <t>ENR294</t>
  </si>
  <si>
    <t>arnav75@example.net</t>
  </si>
  <si>
    <t>Yakshit Kala</t>
  </si>
  <si>
    <t>STU138</t>
  </si>
  <si>
    <t>ENR138</t>
  </si>
  <si>
    <t>faiyazrout@example.org</t>
  </si>
  <si>
    <t>Purab Jain</t>
  </si>
  <si>
    <t>fateh79@example.com</t>
  </si>
  <si>
    <t>Eshani Raval</t>
  </si>
  <si>
    <t>STU384</t>
  </si>
  <si>
    <t>ENR384</t>
  </si>
  <si>
    <t>eshanirao@example.com</t>
  </si>
  <si>
    <t>Prisha Lad</t>
  </si>
  <si>
    <t>STU509</t>
  </si>
  <si>
    <t>ENR509</t>
  </si>
  <si>
    <t>aggarwalryan@example.com</t>
  </si>
  <si>
    <t>Divij Wable</t>
  </si>
  <si>
    <t>STU798</t>
  </si>
  <si>
    <t>ENR798</t>
  </si>
  <si>
    <t>aaryahithaker@example.com</t>
  </si>
  <si>
    <t>Lakshay Sood</t>
  </si>
  <si>
    <t>STU1072</t>
  </si>
  <si>
    <t>ENR1072</t>
  </si>
  <si>
    <t>sahninavya@example.net</t>
  </si>
  <si>
    <t>Mannat Bumb</t>
  </si>
  <si>
    <t>bhamini02@example.net</t>
  </si>
  <si>
    <t>Hrishita Bakshi</t>
  </si>
  <si>
    <t>STU1181</t>
  </si>
  <si>
    <t>ENR1181</t>
  </si>
  <si>
    <t>aaryahiraju@example.org</t>
  </si>
  <si>
    <t>Tejas Deep</t>
  </si>
  <si>
    <t>STU485</t>
  </si>
  <si>
    <t>ENR485</t>
  </si>
  <si>
    <t>kalanakul@example.com</t>
  </si>
  <si>
    <t>Inaaya  Gill</t>
  </si>
  <si>
    <t>STU507</t>
  </si>
  <si>
    <t>ENR507</t>
  </si>
  <si>
    <t>hsharma@example.net</t>
  </si>
  <si>
    <t>Miraan Kant</t>
  </si>
  <si>
    <t>STU308</t>
  </si>
  <si>
    <t>ENR308</t>
  </si>
  <si>
    <t>kondavritika@example.net</t>
  </si>
  <si>
    <t>Damini Datta</t>
  </si>
  <si>
    <t>eramanathan@example.net</t>
  </si>
  <si>
    <t>Madhav Bedi</t>
  </si>
  <si>
    <t>STU970</t>
  </si>
  <si>
    <t>ENR970</t>
  </si>
  <si>
    <t>saanvi44@example.org</t>
  </si>
  <si>
    <t>Urvi Gulati</t>
  </si>
  <si>
    <t>STU483</t>
  </si>
  <si>
    <t>ENR483</t>
  </si>
  <si>
    <t>divijkaur@example.org</t>
  </si>
  <si>
    <t>Adira Dutta</t>
  </si>
  <si>
    <t>STU480</t>
  </si>
  <si>
    <t>ENR480</t>
  </si>
  <si>
    <t>riaan26@example.org</t>
  </si>
  <si>
    <t>Veer Sekhon</t>
  </si>
  <si>
    <t>STU477</t>
  </si>
  <si>
    <t>ENR477</t>
  </si>
  <si>
    <t>rohankibe@example.com</t>
  </si>
  <si>
    <t>Priyansh Dora</t>
  </si>
  <si>
    <t>STU488</t>
  </si>
  <si>
    <t>ENR488</t>
  </si>
  <si>
    <t>tsagar@example.org</t>
  </si>
  <si>
    <t>Raghav Tella</t>
  </si>
  <si>
    <t>STU243</t>
  </si>
  <si>
    <t>ENR243</t>
  </si>
  <si>
    <t>piyakrishnamurthy@example.org</t>
  </si>
  <si>
    <t>Misha Sankar</t>
  </si>
  <si>
    <t>STU015</t>
  </si>
  <si>
    <t>ENR015</t>
  </si>
  <si>
    <t>vshetty@example.com</t>
  </si>
  <si>
    <t>Ishaan Wable</t>
  </si>
  <si>
    <t>STU1058</t>
  </si>
  <si>
    <t>ENR1058</t>
  </si>
  <si>
    <t>eshani09@example.net</t>
  </si>
  <si>
    <t>Umang Kant</t>
  </si>
  <si>
    <t>STU521</t>
  </si>
  <si>
    <t>ENR521</t>
  </si>
  <si>
    <t>umang31@example.org</t>
  </si>
  <si>
    <t>Arhaan Sami</t>
  </si>
  <si>
    <t>STU646</t>
  </si>
  <si>
    <t>ENR646</t>
  </si>
  <si>
    <t>nayantara97@example.org</t>
  </si>
  <si>
    <t>Shanaya Cheema</t>
  </si>
  <si>
    <t>STU1053</t>
  </si>
  <si>
    <t>ENR1053</t>
  </si>
  <si>
    <t>joshiindranil@example.net</t>
  </si>
  <si>
    <t>Ivana Gera</t>
  </si>
  <si>
    <t>STU152</t>
  </si>
  <si>
    <t>ENR152</t>
  </si>
  <si>
    <t>kashvi37@example.com</t>
  </si>
  <si>
    <t>Rhea Thakur</t>
  </si>
  <si>
    <t>mehulshenoy@example.com</t>
  </si>
  <si>
    <t>Anaya Vala</t>
  </si>
  <si>
    <t>STU691</t>
  </si>
  <si>
    <t>ENR691</t>
  </si>
  <si>
    <t>vihaansha@example.org</t>
  </si>
  <si>
    <t>Sara Sura</t>
  </si>
  <si>
    <t>STU679</t>
  </si>
  <si>
    <t>ENR679</t>
  </si>
  <si>
    <t>ntoor@example.org</t>
  </si>
  <si>
    <t>Suhana Sibal</t>
  </si>
  <si>
    <t>STU390</t>
  </si>
  <si>
    <t>ENR390</t>
  </si>
  <si>
    <t>faiyaz24@example.org</t>
  </si>
  <si>
    <t>Jhanvi Verma</t>
  </si>
  <si>
    <t>STU147</t>
  </si>
  <si>
    <t>ENR147</t>
  </si>
  <si>
    <t>gatik48@example.net</t>
  </si>
  <si>
    <t>Diya Bhargava</t>
  </si>
  <si>
    <t>riaanjhaveri@example.com</t>
  </si>
  <si>
    <t>Zaina Raman</t>
  </si>
  <si>
    <t>divitgera@example.com</t>
  </si>
  <si>
    <t>Adah Bali</t>
  </si>
  <si>
    <t>STU188</t>
  </si>
  <si>
    <t>ENR188</t>
  </si>
  <si>
    <t>auroradivit@example.com</t>
  </si>
  <si>
    <t>Aarna Hari</t>
  </si>
  <si>
    <t>mahikasodhi@example.net</t>
  </si>
  <si>
    <t>Riya Walla</t>
  </si>
  <si>
    <t>STU638</t>
  </si>
  <si>
    <t>ENR638</t>
  </si>
  <si>
    <t>ssarkar@example.net</t>
  </si>
  <si>
    <t>Ishaan Korpal</t>
  </si>
  <si>
    <t>STU010</t>
  </si>
  <si>
    <t>ENR010</t>
  </si>
  <si>
    <t>bahlsiya@example.org</t>
  </si>
  <si>
    <t>Kimaya Joshi</t>
  </si>
  <si>
    <t>STU1138</t>
  </si>
  <si>
    <t>ENR1138</t>
  </si>
  <si>
    <t>twagle@example.com</t>
  </si>
  <si>
    <t>Farhan Sandal</t>
  </si>
  <si>
    <t>STU247</t>
  </si>
  <si>
    <t>ENR247</t>
  </si>
  <si>
    <t>baildhanush@example.org</t>
  </si>
  <si>
    <t>Baiju Lall</t>
  </si>
  <si>
    <t>STU1158</t>
  </si>
  <si>
    <t>ENR1158</t>
  </si>
  <si>
    <t>akarsh59@example.net</t>
  </si>
  <si>
    <t>Vidur Chand</t>
  </si>
  <si>
    <t>kanavaggarwal@example.org</t>
  </si>
  <si>
    <t>Romil Tara</t>
  </si>
  <si>
    <t>STU226</t>
  </si>
  <si>
    <t>ENR226</t>
  </si>
  <si>
    <t>bsagar@example.com</t>
  </si>
  <si>
    <t>Sahil Ben</t>
  </si>
  <si>
    <t>STU165</t>
  </si>
  <si>
    <t>ENR165</t>
  </si>
  <si>
    <t>johalnirvi@example.net</t>
  </si>
  <si>
    <t>Vardaniya Raman</t>
  </si>
  <si>
    <t>STU059</t>
  </si>
  <si>
    <t>ENR059</t>
  </si>
  <si>
    <t>hazel63@example.net</t>
  </si>
  <si>
    <t>Ishaan Boase</t>
  </si>
  <si>
    <t>STU605</t>
  </si>
  <si>
    <t>ENR605</t>
  </si>
  <si>
    <t>ritvik46@example.org</t>
  </si>
  <si>
    <t>Sara Shan</t>
  </si>
  <si>
    <t>STU1051</t>
  </si>
  <si>
    <t>ENR1051</t>
  </si>
  <si>
    <t>doshikanav@example.net</t>
  </si>
  <si>
    <t>Saksham Sur</t>
  </si>
  <si>
    <t>STU385</t>
  </si>
  <si>
    <t>ENR385</t>
  </si>
  <si>
    <t>zeeshanrege@example.org</t>
  </si>
  <si>
    <t>Urvi Ganguly</t>
  </si>
  <si>
    <t>STU414</t>
  </si>
  <si>
    <t>ENR414</t>
  </si>
  <si>
    <t>riaankalita@example.net</t>
  </si>
  <si>
    <t>Tarini Vyas</t>
  </si>
  <si>
    <t>eluthra@example.com</t>
  </si>
  <si>
    <t>Tarini Balasubramanian</t>
  </si>
  <si>
    <t>STU939</t>
  </si>
  <si>
    <t>ENR939</t>
  </si>
  <si>
    <t>buchtanya@example.com</t>
  </si>
  <si>
    <t>Yuvraj  Tripathi</t>
  </si>
  <si>
    <t>STU938</t>
  </si>
  <si>
    <t>ENR938</t>
  </si>
  <si>
    <t>zainadash@example.com</t>
  </si>
  <si>
    <t>Himmat Badami</t>
  </si>
  <si>
    <t>STU1121</t>
  </si>
  <si>
    <t>ENR1121</t>
  </si>
  <si>
    <t>kviswanathan@example.com</t>
  </si>
  <si>
    <t>Jhanvi Kohli</t>
  </si>
  <si>
    <t>STU890</t>
  </si>
  <si>
    <t>ENR890</t>
  </si>
  <si>
    <t>ivankannan@example.org</t>
  </si>
  <si>
    <t>Saira Roy</t>
  </si>
  <si>
    <t>STU326</t>
  </si>
  <si>
    <t>ENR326</t>
  </si>
  <si>
    <t>myrahari@example.org</t>
  </si>
  <si>
    <t>Saanvi Gokhale</t>
  </si>
  <si>
    <t>STU921</t>
  </si>
  <si>
    <t>ENR921</t>
  </si>
  <si>
    <t>kairabatta@example.org</t>
  </si>
  <si>
    <t>Himmat Devan</t>
  </si>
  <si>
    <t>STU903</t>
  </si>
  <si>
    <t>ENR903</t>
  </si>
  <si>
    <t>dsachar@example.org</t>
  </si>
  <si>
    <t>Samiha Bava</t>
  </si>
  <si>
    <t>STU905</t>
  </si>
  <si>
    <t>ENR905</t>
  </si>
  <si>
    <t>gangulyojas@example.net</t>
  </si>
  <si>
    <t>Onkar Wali</t>
  </si>
  <si>
    <t>STU191</t>
  </si>
  <si>
    <t>ENR191</t>
  </si>
  <si>
    <t>basaksuhana@example.com</t>
  </si>
  <si>
    <t>Anay Singhal</t>
  </si>
  <si>
    <t>STU087</t>
  </si>
  <si>
    <t>ENR087</t>
  </si>
  <si>
    <t>thakerishita@example.com</t>
  </si>
  <si>
    <t>Baiju Chakraborty</t>
  </si>
  <si>
    <t>bwadhwa@example.org</t>
  </si>
  <si>
    <t>Vardaniya Vala</t>
  </si>
  <si>
    <t>STU096</t>
  </si>
  <si>
    <t>ENR096</t>
  </si>
  <si>
    <t>tusharrau@example.net</t>
  </si>
  <si>
    <t>Heer Mall</t>
  </si>
  <si>
    <t>japte@example.org</t>
  </si>
  <si>
    <t>Bhavin Bandi</t>
  </si>
  <si>
    <t>ckar@example.com</t>
  </si>
  <si>
    <t>Amira Dhar</t>
  </si>
  <si>
    <t>STU413</t>
  </si>
  <si>
    <t>ENR413</t>
  </si>
  <si>
    <t>neysa43@example.net</t>
  </si>
  <si>
    <t>Ira Batta</t>
  </si>
  <si>
    <t>STU233</t>
  </si>
  <si>
    <t>ENR233</t>
  </si>
  <si>
    <t>dishani99@example.com</t>
  </si>
  <si>
    <t>Miraya Choudhury</t>
  </si>
  <si>
    <t>divyansh81@example.org</t>
  </si>
  <si>
    <t>Advika Chand</t>
  </si>
  <si>
    <t>STU464</t>
  </si>
  <si>
    <t>ENR464</t>
  </si>
  <si>
    <t>handaaarna@example.org</t>
  </si>
  <si>
    <t>Devansh Sur</t>
  </si>
  <si>
    <t>STU1060</t>
  </si>
  <si>
    <t>ENR1060</t>
  </si>
  <si>
    <t>faiyaz40@example.com</t>
  </si>
  <si>
    <t>Jayan Rajagopal</t>
  </si>
  <si>
    <t>iradesai@example.net</t>
  </si>
  <si>
    <t>Dhanush Keer</t>
  </si>
  <si>
    <t>STU1025</t>
  </si>
  <si>
    <t>ENR1025</t>
  </si>
  <si>
    <t>faiyazbatta@example.com</t>
  </si>
  <si>
    <t>Hunar Khosla</t>
  </si>
  <si>
    <t>STU274</t>
  </si>
  <si>
    <t>ENR274</t>
  </si>
  <si>
    <t>divyanshvarughese@example.com</t>
  </si>
  <si>
    <t>Rati Garg</t>
  </si>
  <si>
    <t>yshankar@example.net</t>
  </si>
  <si>
    <t>Saanvi Bhat</t>
  </si>
  <si>
    <t>STU1185</t>
  </si>
  <si>
    <t>ENR1185</t>
  </si>
  <si>
    <t>mamootydas@example.org</t>
  </si>
  <si>
    <t>Akarsh Deep</t>
  </si>
  <si>
    <t>STU1005</t>
  </si>
  <si>
    <t>ENR1005</t>
  </si>
  <si>
    <t>aggarwaljhanvi@example.net</t>
  </si>
  <si>
    <t>Shanaya Bhatia</t>
  </si>
  <si>
    <t>STU289</t>
  </si>
  <si>
    <t>ENR289</t>
  </si>
  <si>
    <t>renee52@example.net</t>
  </si>
  <si>
    <t>Ivana Biswas</t>
  </si>
  <si>
    <t>STU159</t>
  </si>
  <si>
    <t>ENR159</t>
  </si>
  <si>
    <t>qsawhney@example.net</t>
  </si>
  <si>
    <t>Shray Barman</t>
  </si>
  <si>
    <t>STU325</t>
  </si>
  <si>
    <t>ENR325</t>
  </si>
  <si>
    <t>lavanya04@example.org</t>
  </si>
  <si>
    <t>Nitya Bhardwaj</t>
  </si>
  <si>
    <t>STU533</t>
  </si>
  <si>
    <t>ENR533</t>
  </si>
  <si>
    <t>rajumadhup@example.com</t>
  </si>
  <si>
    <t>Pranay Chaudhry</t>
  </si>
  <si>
    <t>STU900</t>
  </si>
  <si>
    <t>ENR900</t>
  </si>
  <si>
    <t>sheresamarth@example.net</t>
  </si>
  <si>
    <t>Neysa Sheth</t>
  </si>
  <si>
    <t>tiya28@example.net</t>
  </si>
  <si>
    <t>Jiya Korpal</t>
  </si>
  <si>
    <t>STU404</t>
  </si>
  <si>
    <t>ENR404</t>
  </si>
  <si>
    <t>cvyas@example.net</t>
  </si>
  <si>
    <t>Jayan Bahri</t>
  </si>
  <si>
    <t>malhotrarohan@example.net</t>
  </si>
  <si>
    <t>Rasha Sheth</t>
  </si>
  <si>
    <t>STU109</t>
  </si>
  <si>
    <t>ENR109</t>
  </si>
  <si>
    <t>somsana@example.net</t>
  </si>
  <si>
    <t>Dishani Rajagopalan</t>
  </si>
  <si>
    <t>STU683</t>
  </si>
  <si>
    <t>ENR683</t>
  </si>
  <si>
    <t>ugupta@example.org</t>
  </si>
  <si>
    <t>Dharmajan Kumer</t>
  </si>
  <si>
    <t>STU241</t>
  </si>
  <si>
    <t>ENR241</t>
  </si>
  <si>
    <t>sathelagan@example.com</t>
  </si>
  <si>
    <t>Tanya Rastogi</t>
  </si>
  <si>
    <t>STU245</t>
  </si>
  <si>
    <t>ENR245</t>
  </si>
  <si>
    <t>prerak65@example.com</t>
  </si>
  <si>
    <t>Shray Basak</t>
  </si>
  <si>
    <t>STU531</t>
  </si>
  <si>
    <t>ENR531</t>
  </si>
  <si>
    <t>vargheseaarav@example.org</t>
  </si>
  <si>
    <t>Badal Suresh</t>
  </si>
  <si>
    <t>STU104</t>
  </si>
  <si>
    <t>ENR104</t>
  </si>
  <si>
    <t>kismat41@example.net</t>
  </si>
  <si>
    <t>Kismat Rana</t>
  </si>
  <si>
    <t>STU869</t>
  </si>
  <si>
    <t>ENR869</t>
  </si>
  <si>
    <t>gokul85@example.org</t>
  </si>
  <si>
    <t>Arhaan Batta</t>
  </si>
  <si>
    <t>STU1136</t>
  </si>
  <si>
    <t>ENR1136</t>
  </si>
  <si>
    <t>jayantbhardwaj@example.com</t>
  </si>
  <si>
    <t>Anika Bhatia</t>
  </si>
  <si>
    <t>STU447</t>
  </si>
  <si>
    <t>ENR447</t>
  </si>
  <si>
    <t>alishamander@example.net</t>
  </si>
  <si>
    <t>Sara Sibal</t>
  </si>
  <si>
    <t>STU478</t>
  </si>
  <si>
    <t>ENR478</t>
  </si>
  <si>
    <t>vardaniyagupta@example.net</t>
  </si>
  <si>
    <t>Aarna Majumdar</t>
  </si>
  <si>
    <t>STU486</t>
  </si>
  <si>
    <t>ENR486</t>
  </si>
  <si>
    <t>pihu44@example.net</t>
  </si>
  <si>
    <t>Ivana Kumer</t>
  </si>
  <si>
    <t>STU187</t>
  </si>
  <si>
    <t>ENR187</t>
  </si>
  <si>
    <t>ejani@example.org</t>
  </si>
  <si>
    <t>Yuvraj  Bhagat</t>
  </si>
  <si>
    <t>STU282</t>
  </si>
  <si>
    <t>ENR282</t>
  </si>
  <si>
    <t>hayresaira@example.org</t>
  </si>
  <si>
    <t>Gatik Bhatnagar</t>
  </si>
  <si>
    <t>STU660</t>
  </si>
  <si>
    <t>ENR660</t>
  </si>
  <si>
    <t>qroy@example.com</t>
  </si>
  <si>
    <t>Anvi Krishnan</t>
  </si>
  <si>
    <t>STU657</t>
  </si>
  <si>
    <t>ENR657</t>
  </si>
  <si>
    <t>banerjeealisha@example.com</t>
  </si>
  <si>
    <t>Jiya Hegde</t>
  </si>
  <si>
    <t>STU130</t>
  </si>
  <si>
    <t>ENR130</t>
  </si>
  <si>
    <t>akibe@example.com</t>
  </si>
  <si>
    <t>Nitara Soman</t>
  </si>
  <si>
    <t>khannadevansh@example.net</t>
  </si>
  <si>
    <t>Kabir Kannan</t>
  </si>
  <si>
    <t>STU496</t>
  </si>
  <si>
    <t>ENR496</t>
  </si>
  <si>
    <t>ramachandrantrisha@example.com</t>
  </si>
  <si>
    <t>Keya Yogi</t>
  </si>
  <si>
    <t>STU1149</t>
  </si>
  <si>
    <t>ENR1149</t>
  </si>
  <si>
    <t>salvinehmat@example.net</t>
  </si>
  <si>
    <t>Mehul Gaba</t>
  </si>
  <si>
    <t>STU861</t>
  </si>
  <si>
    <t>ENR861</t>
  </si>
  <si>
    <t>udani@example.com</t>
  </si>
  <si>
    <t>Urvi Sur</t>
  </si>
  <si>
    <t>STU602</t>
  </si>
  <si>
    <t>ENR602</t>
  </si>
  <si>
    <t>reyansh18@example.net</t>
  </si>
  <si>
    <t>Anahi Barad</t>
  </si>
  <si>
    <t>STU780</t>
  </si>
  <si>
    <t>ENR780</t>
  </si>
  <si>
    <t>dubeydishani@example.com</t>
  </si>
  <si>
    <t>Divij Dara</t>
  </si>
  <si>
    <t>STU301</t>
  </si>
  <si>
    <t>ENR301</t>
  </si>
  <si>
    <t>tusharmaster@example.com</t>
  </si>
  <si>
    <t>Madhav Kari</t>
  </si>
  <si>
    <t>pshah@example.org</t>
  </si>
  <si>
    <t>Keya Kapur</t>
  </si>
  <si>
    <t>STU856</t>
  </si>
  <si>
    <t>ENR856</t>
  </si>
  <si>
    <t>zbalakrishnan@example.com</t>
  </si>
  <si>
    <t>Tushar Sanghvi</t>
  </si>
  <si>
    <t>STU441</t>
  </si>
  <si>
    <t>ENR441</t>
  </si>
  <si>
    <t>tara99@example.com</t>
  </si>
  <si>
    <t>Ehsaan Contractor</t>
  </si>
  <si>
    <t>STU063</t>
  </si>
  <si>
    <t>ENR063</t>
  </si>
  <si>
    <t>walionkar@example.net</t>
  </si>
  <si>
    <t>Ela Keer</t>
  </si>
  <si>
    <t>STU180</t>
  </si>
  <si>
    <t>ENR180</t>
  </si>
  <si>
    <t>qsrinivasan@example.net</t>
  </si>
  <si>
    <t>Jivin Jayaraman</t>
  </si>
  <si>
    <t>STU1165</t>
  </si>
  <si>
    <t>ENR1165</t>
  </si>
  <si>
    <t>jivinarora@example.net</t>
  </si>
  <si>
    <t>Aradhya Mangal</t>
  </si>
  <si>
    <t>shlok11@example.org</t>
  </si>
  <si>
    <t>Aayush Chaudhari</t>
  </si>
  <si>
    <t>STU382</t>
  </si>
  <si>
    <t>ENR382</t>
  </si>
  <si>
    <t>yuvraj-srinivas@example.com</t>
  </si>
  <si>
    <t>Nitya Bumb</t>
  </si>
  <si>
    <t>STU508</t>
  </si>
  <si>
    <t>ENR508</t>
  </si>
  <si>
    <t>wvenkataraman@example.com</t>
  </si>
  <si>
    <t>Shalv Bhalla</t>
  </si>
  <si>
    <t>vaibhavvarkey@example.net</t>
  </si>
  <si>
    <t>Ishita Bhalla</t>
  </si>
  <si>
    <t>STU287</t>
  </si>
  <si>
    <t>ENR287</t>
  </si>
  <si>
    <t>karnitara@example.com</t>
  </si>
  <si>
    <t>Nakul Sandhu</t>
  </si>
  <si>
    <t>STU380</t>
  </si>
  <si>
    <t>ENR380</t>
  </si>
  <si>
    <t>chahalpihu@example.org</t>
  </si>
  <si>
    <t>Ritvik Tak</t>
  </si>
  <si>
    <t>STU522</t>
  </si>
  <si>
    <t>ENR522</t>
  </si>
  <si>
    <t>nitarawadhwa@example.com</t>
  </si>
  <si>
    <t>Ritvik Keer</t>
  </si>
  <si>
    <t>shroffsamaira@example.com</t>
  </si>
  <si>
    <t>Onkar Saha</t>
  </si>
  <si>
    <t>STU964</t>
  </si>
  <si>
    <t>ENR964</t>
  </si>
  <si>
    <t>pranay82@example.com</t>
  </si>
  <si>
    <t>Alisha Tailor</t>
  </si>
  <si>
    <t>STU1031</t>
  </si>
  <si>
    <t>ENR1031</t>
  </si>
  <si>
    <t>ahana-55@example.net</t>
  </si>
  <si>
    <t>Kartik Cheema</t>
  </si>
  <si>
    <t>STU1024</t>
  </si>
  <si>
    <t>ENR1024</t>
  </si>
  <si>
    <t>varya@example.org</t>
  </si>
  <si>
    <t>Vivaan Gade</t>
  </si>
  <si>
    <t>STU996</t>
  </si>
  <si>
    <t>ENR996</t>
  </si>
  <si>
    <t>lallakavya@example.net</t>
  </si>
  <si>
    <t>Nehmat Vasa</t>
  </si>
  <si>
    <t>STU339</t>
  </si>
  <si>
    <t>ENR339</t>
  </si>
  <si>
    <t>kismatdyal@example.com</t>
  </si>
  <si>
    <t>Parinaaz Rau</t>
  </si>
  <si>
    <t>STU278</t>
  </si>
  <si>
    <t>ENR278</t>
  </si>
  <si>
    <t>lakshit59@example.org</t>
  </si>
  <si>
    <t>Samarth Talwar</t>
  </si>
  <si>
    <t>STU356</t>
  </si>
  <si>
    <t>ENR356</t>
  </si>
  <si>
    <t>khushi99@example.org</t>
  </si>
  <si>
    <t>Madhup Cherian</t>
  </si>
  <si>
    <t>STU866</t>
  </si>
  <si>
    <t>ENR866</t>
  </si>
  <si>
    <t>hansabram@example.org</t>
  </si>
  <si>
    <t>Inaaya  Bath</t>
  </si>
  <si>
    <t>STU239</t>
  </si>
  <si>
    <t>ENR239</t>
  </si>
  <si>
    <t>taran52@example.net</t>
  </si>
  <si>
    <t>Samaira Dalal</t>
  </si>
  <si>
    <t>STU039</t>
  </si>
  <si>
    <t>ENR039</t>
  </si>
  <si>
    <t>urviranganathan@example.com</t>
  </si>
  <si>
    <t>Myra Srinivas</t>
  </si>
  <si>
    <t>STU206</t>
  </si>
  <si>
    <t>ENR206</t>
  </si>
  <si>
    <t>vihaan32@example.net</t>
  </si>
  <si>
    <t>Biju Tandon</t>
  </si>
  <si>
    <t>STU493</t>
  </si>
  <si>
    <t>ENR493</t>
  </si>
  <si>
    <t>sairabhagat@example.com</t>
  </si>
  <si>
    <t>Biju Sahota</t>
  </si>
  <si>
    <t>STU997</t>
  </si>
  <si>
    <t>ENR997</t>
  </si>
  <si>
    <t>earya@example.net</t>
  </si>
  <si>
    <t>Hridaan Vyas</t>
  </si>
  <si>
    <t>STU331</t>
  </si>
  <si>
    <t>ENR331</t>
  </si>
  <si>
    <t>kartik16@example.com</t>
  </si>
  <si>
    <t>Anika Atwal</t>
  </si>
  <si>
    <t>STU312</t>
  </si>
  <si>
    <t>ENR312</t>
  </si>
  <si>
    <t>ahana-26@example.net</t>
  </si>
  <si>
    <t>Anahi Ravi</t>
  </si>
  <si>
    <t>anvi31@example.org</t>
  </si>
  <si>
    <t>Urvi Amble</t>
  </si>
  <si>
    <t>STU644</t>
  </si>
  <si>
    <t>ENR644</t>
  </si>
  <si>
    <t>dbains@example.org</t>
  </si>
  <si>
    <t>Trisha Rattan</t>
  </si>
  <si>
    <t>STU512</t>
  </si>
  <si>
    <t>ENR512</t>
  </si>
  <si>
    <t>pwarrior@example.net</t>
  </si>
  <si>
    <t>Akarsh Kumer</t>
  </si>
  <si>
    <t>STU181</t>
  </si>
  <si>
    <t>ENR181</t>
  </si>
  <si>
    <t>bsagar@example.net</t>
  </si>
  <si>
    <t>Prerak Kala</t>
  </si>
  <si>
    <t>STU1028</t>
  </si>
  <si>
    <t>ENR1028</t>
  </si>
  <si>
    <t>mishadoctor@example.com</t>
  </si>
  <si>
    <t>Onkar Bhatti</t>
  </si>
  <si>
    <t>STU511</t>
  </si>
  <si>
    <t>ENR511</t>
  </si>
  <si>
    <t>uaggarwal@example.org</t>
  </si>
  <si>
    <t>Lavanya Sandal</t>
  </si>
  <si>
    <t>adevi@example.net</t>
  </si>
  <si>
    <t>Eva Reddy</t>
  </si>
  <si>
    <t>STU074</t>
  </si>
  <si>
    <t>ENR074</t>
  </si>
  <si>
    <t>aarna63@example.com</t>
  </si>
  <si>
    <t>Nirvi Wason</t>
  </si>
  <si>
    <t>STU263</t>
  </si>
  <si>
    <t>ENR263</t>
  </si>
  <si>
    <t>zbumb@example.com</t>
  </si>
  <si>
    <t>Dhanuk Dugar</t>
  </si>
  <si>
    <t>STU1070</t>
  </si>
  <si>
    <t>ENR1070</t>
  </si>
  <si>
    <t>skade@example.com</t>
  </si>
  <si>
    <t>Hiran Jain</t>
  </si>
  <si>
    <t>STU065</t>
  </si>
  <si>
    <t>ENR065</t>
  </si>
  <si>
    <t>fmand@example.org</t>
  </si>
  <si>
    <t>Drishya Raval</t>
  </si>
  <si>
    <t>STU014</t>
  </si>
  <si>
    <t>ENR014</t>
  </si>
  <si>
    <t>aaina98@example.com</t>
  </si>
  <si>
    <t>Ryan Keer</t>
  </si>
  <si>
    <t>STU225</t>
  </si>
  <si>
    <t>ENR225</t>
  </si>
  <si>
    <t>madhavshanker@example.net</t>
  </si>
  <si>
    <t>Sahil Chaudhari</t>
  </si>
  <si>
    <t>STU589</t>
  </si>
  <si>
    <t>ENR589</t>
  </si>
  <si>
    <t>dhruvseth@example.com</t>
  </si>
  <si>
    <t>Sumer Anne</t>
  </si>
  <si>
    <t>STU304</t>
  </si>
  <si>
    <t>ENR304</t>
  </si>
  <si>
    <t>veerchar@example.com</t>
  </si>
  <si>
    <t>Zoya Talwar</t>
  </si>
  <si>
    <t>STU170</t>
  </si>
  <si>
    <t>ENR170</t>
  </si>
  <si>
    <t>riyasoman@example.com</t>
  </si>
  <si>
    <t>Ivan Amble</t>
  </si>
  <si>
    <t>STU1109</t>
  </si>
  <si>
    <t>ENR1109</t>
  </si>
  <si>
    <t>nitara29@example.org</t>
  </si>
  <si>
    <t>Nirvi Sarna</t>
  </si>
  <si>
    <t>STU906</t>
  </si>
  <si>
    <t>ENR906</t>
  </si>
  <si>
    <t>chiragchoudhury@example.com</t>
  </si>
  <si>
    <t>Tushar Guha</t>
  </si>
  <si>
    <t>STU665</t>
  </si>
  <si>
    <t>ENR665</t>
  </si>
  <si>
    <t>qchadha@example.net</t>
  </si>
  <si>
    <t>Saanvi Sidhu</t>
  </si>
  <si>
    <t>STU697</t>
  </si>
  <si>
    <t>ENR697</t>
  </si>
  <si>
    <t>advikkakar@example.com</t>
  </si>
  <si>
    <t>Kavya Karnik</t>
  </si>
  <si>
    <t>STU711</t>
  </si>
  <si>
    <t>ENR711</t>
  </si>
  <si>
    <t>anahibadami@example.net</t>
  </si>
  <si>
    <t>Tanya Rattan</t>
  </si>
  <si>
    <t>STU246</t>
  </si>
  <si>
    <t>ENR246</t>
  </si>
  <si>
    <t>sundarammishti@example.net</t>
  </si>
  <si>
    <t>Hridaan Chowdhury</t>
  </si>
  <si>
    <t>STU156</t>
  </si>
  <si>
    <t>ENR156</t>
  </si>
  <si>
    <t>latasuhana@example.org</t>
  </si>
  <si>
    <t>Samaira Balan</t>
  </si>
  <si>
    <t>STU198</t>
  </si>
  <si>
    <t>ENR198</t>
  </si>
  <si>
    <t>vidurmann@example.com</t>
  </si>
  <si>
    <t>Dharmajan Ganesan</t>
  </si>
  <si>
    <t>STU688</t>
  </si>
  <si>
    <t>ENR688</t>
  </si>
  <si>
    <t>usuresh@example.org</t>
  </si>
  <si>
    <t>Miraya Chada</t>
  </si>
  <si>
    <t>STU214</t>
  </si>
  <si>
    <t>ENR214</t>
  </si>
  <si>
    <t>bverma@example.com</t>
  </si>
  <si>
    <t>Ela Rana</t>
  </si>
  <si>
    <t>STU1081</t>
  </si>
  <si>
    <t>ENR1081</t>
  </si>
  <si>
    <t>fateh43@example.net</t>
  </si>
  <si>
    <t>Pihu Ramaswamy</t>
  </si>
  <si>
    <t>STU818</t>
  </si>
  <si>
    <t>ENR818</t>
  </si>
  <si>
    <t>ladjivin@example.net</t>
  </si>
  <si>
    <t>Pihu Singh</t>
  </si>
  <si>
    <t>bhattaran@example.com</t>
  </si>
  <si>
    <t>Kartik Borah</t>
  </si>
  <si>
    <t>STU411</t>
  </si>
  <si>
    <t>ENR411</t>
  </si>
  <si>
    <t>soodvidur@example.org</t>
  </si>
  <si>
    <t>Kiara Gill</t>
  </si>
  <si>
    <t>STU317</t>
  </si>
  <si>
    <t>ENR317</t>
  </si>
  <si>
    <t>basakanvi@example.net</t>
  </si>
  <si>
    <t>Mannat Varughese</t>
  </si>
  <si>
    <t>STU251</t>
  </si>
  <si>
    <t>ENR251</t>
  </si>
  <si>
    <t>skapadia@example.org</t>
  </si>
  <si>
    <t>Yuvaan Vohra</t>
  </si>
  <si>
    <t>STU745</t>
  </si>
  <si>
    <t>ENR745</t>
  </si>
  <si>
    <t>divyanshshah@example.com</t>
  </si>
  <si>
    <t>Sahil Majumdar</t>
  </si>
  <si>
    <t>STU319</t>
  </si>
  <si>
    <t>ENR319</t>
  </si>
  <si>
    <t>ratiranganathan@example.com</t>
  </si>
  <si>
    <t>Kiaan Ben</t>
  </si>
  <si>
    <t>STU041</t>
  </si>
  <si>
    <t>ENR041</t>
  </si>
  <si>
    <t>tjhaveri@example.org</t>
  </si>
  <si>
    <t>Vidur Thakur</t>
  </si>
  <si>
    <t>STU1085</t>
  </si>
  <si>
    <t>ENR1085</t>
  </si>
  <si>
    <t>saranryan@example.net</t>
  </si>
  <si>
    <t>Devansh Ganesh</t>
  </si>
  <si>
    <t>STU571</t>
  </si>
  <si>
    <t>ENR571</t>
  </si>
  <si>
    <t>daminivarty@example.org</t>
  </si>
  <si>
    <t>Tiya Kala</t>
  </si>
  <si>
    <t>STU394</t>
  </si>
  <si>
    <t>ENR394</t>
  </si>
  <si>
    <t>comarjhanvi@example.org</t>
  </si>
  <si>
    <t>Arhaan Badami</t>
  </si>
  <si>
    <t>STU371</t>
  </si>
  <si>
    <t>ENR371</t>
  </si>
  <si>
    <t>lalmadhup@example.com</t>
  </si>
  <si>
    <t>Hrishita Deol</t>
  </si>
  <si>
    <t>STU801</t>
  </si>
  <si>
    <t>ENR801</t>
  </si>
  <si>
    <t>hirankaul@example.com</t>
  </si>
  <si>
    <t>Adira Mane</t>
  </si>
  <si>
    <t>mchhabra@example.net</t>
  </si>
  <si>
    <t>Stuvan Balasubramanian</t>
  </si>
  <si>
    <t>xvarghese@example.org</t>
  </si>
  <si>
    <t>Fateh Bhavsar</t>
  </si>
  <si>
    <t>STU809</t>
  </si>
  <si>
    <t>ENR809</t>
  </si>
  <si>
    <t>warrioranya@example.com</t>
  </si>
  <si>
    <t>Mannat Mani</t>
  </si>
  <si>
    <t>groverbaiju@example.org</t>
  </si>
  <si>
    <t>Piya Goda</t>
  </si>
  <si>
    <t>STU976</t>
  </si>
  <si>
    <t>ENR976</t>
  </si>
  <si>
    <t>daminiraman@example.org</t>
  </si>
  <si>
    <t>STU912</t>
  </si>
  <si>
    <t>ENR912</t>
  </si>
  <si>
    <t>cmaharaj@example.com</t>
  </si>
  <si>
    <t>Veer Sura</t>
  </si>
  <si>
    <t>STU276</t>
  </si>
  <si>
    <t>ENR276</t>
  </si>
  <si>
    <t>tushar43@example.com</t>
  </si>
  <si>
    <t>Hridaan Ghosh</t>
  </si>
  <si>
    <t>STU125</t>
  </si>
  <si>
    <t>ENR125</t>
  </si>
  <si>
    <t>kimayashukla@example.com</t>
  </si>
  <si>
    <t>Khushi Solanki</t>
  </si>
  <si>
    <t>STU704</t>
  </si>
  <si>
    <t>ENR704</t>
  </si>
  <si>
    <t>srinivasgatik@example.org</t>
  </si>
  <si>
    <t>Diya Suri</t>
  </si>
  <si>
    <t>STU553</t>
  </si>
  <si>
    <t>ENR553</t>
  </si>
  <si>
    <t>lagankapadia@example.net</t>
  </si>
  <si>
    <t>Anya Johal</t>
  </si>
  <si>
    <t>STU718</t>
  </si>
  <si>
    <t>ENR718</t>
  </si>
  <si>
    <t>fthaman@example.org</t>
  </si>
  <si>
    <t>Shlok Bassi</t>
  </si>
  <si>
    <t>STU545</t>
  </si>
  <si>
    <t>ENR545</t>
  </si>
  <si>
    <t>rasha84@example.org</t>
  </si>
  <si>
    <t>Dhanuk Rajagopalan</t>
  </si>
  <si>
    <t>STU291</t>
  </si>
  <si>
    <t>ENR291</t>
  </si>
  <si>
    <t>adira26@example.org</t>
  </si>
  <si>
    <t>Aarav Vora</t>
  </si>
  <si>
    <t>STU543</t>
  </si>
  <si>
    <t>ENR543</t>
  </si>
  <si>
    <t>bhattdhanuk@example.net</t>
  </si>
  <si>
    <t>Miraan Singh</t>
  </si>
  <si>
    <t>STU1066</t>
  </si>
  <si>
    <t>ENR1066</t>
  </si>
  <si>
    <t>indranil19@example.org</t>
  </si>
  <si>
    <t>Drishya Aggarwal</t>
  </si>
  <si>
    <t>STU473</t>
  </si>
  <si>
    <t>ENR473</t>
  </si>
  <si>
    <t>nitaradeshmukh@example.com</t>
  </si>
  <si>
    <t>Aayush Tara</t>
  </si>
  <si>
    <t>STU1000</t>
  </si>
  <si>
    <t>ENR1000</t>
  </si>
  <si>
    <t>fdugar@example.com</t>
  </si>
  <si>
    <t>Eshani Dhawan</t>
  </si>
  <si>
    <t>mannatkalita@example.org</t>
  </si>
  <si>
    <t>Trisha Gill</t>
  </si>
  <si>
    <t>nbumb@example.net</t>
  </si>
  <si>
    <t>Zaina Golla</t>
  </si>
  <si>
    <t>STU519</t>
  </si>
  <si>
    <t>ENR519</t>
  </si>
  <si>
    <t>gatikbehl@example.net</t>
  </si>
  <si>
    <t>Onkar Vasa</t>
  </si>
  <si>
    <t>STU409</t>
  </si>
  <si>
    <t>ENR409</t>
  </si>
  <si>
    <t>zainbhavsar@example.net</t>
  </si>
  <si>
    <t>Bhavin Iyer</t>
  </si>
  <si>
    <t>STU776</t>
  </si>
  <si>
    <t>ENR776</t>
  </si>
  <si>
    <t>ymahal@example.net</t>
  </si>
  <si>
    <t>Zeeshan Iyer</t>
  </si>
  <si>
    <t>STU275</t>
  </si>
  <si>
    <t>ENR275</t>
  </si>
  <si>
    <t>amani66@example.com</t>
  </si>
  <si>
    <t>Lavanya Varughese</t>
  </si>
  <si>
    <t>STU164</t>
  </si>
  <si>
    <t>ENR164</t>
  </si>
  <si>
    <t>abram48@example.net</t>
  </si>
  <si>
    <t>Aarav Raman</t>
  </si>
  <si>
    <t>STU401</t>
  </si>
  <si>
    <t>ENR401</t>
  </si>
  <si>
    <t>jayeshmajumdar@example.org</t>
  </si>
  <si>
    <t>Uthkarsh Singhal</t>
  </si>
  <si>
    <t>pranaysuri@example.net</t>
  </si>
  <si>
    <t>Amira Samra</t>
  </si>
  <si>
    <t>vanya70@example.net</t>
  </si>
  <si>
    <t>Madhav Lala</t>
  </si>
  <si>
    <t>STU959</t>
  </si>
  <si>
    <t>ENR959</t>
  </si>
  <si>
    <t>hbrar@example.com</t>
  </si>
  <si>
    <t>Shalv Bera</t>
  </si>
  <si>
    <t>iragulati@example.net</t>
  </si>
  <si>
    <t>Ishita Krish</t>
  </si>
  <si>
    <t>STU859</t>
  </si>
  <si>
    <t>ENR859</t>
  </si>
  <si>
    <t>taimur09@example.com</t>
  </si>
  <si>
    <t>Ojas Jha</t>
  </si>
  <si>
    <t>STU948</t>
  </si>
  <si>
    <t>ENR948</t>
  </si>
  <si>
    <t>seshadriivana@example.org</t>
  </si>
  <si>
    <t>Vidur Kala</t>
  </si>
  <si>
    <t>STU433</t>
  </si>
  <si>
    <t>ENR433</t>
  </si>
  <si>
    <t>adira03@example.com</t>
  </si>
  <si>
    <t>Samar Dora</t>
  </si>
  <si>
    <t>STU1092</t>
  </si>
  <si>
    <t>ENR1092</t>
  </si>
  <si>
    <t>shayak65@example.com</t>
  </si>
  <si>
    <t>Diya Ray</t>
  </si>
  <si>
    <t>STU428</t>
  </si>
  <si>
    <t>ENR428</t>
  </si>
  <si>
    <t>karijayant@example.com</t>
  </si>
  <si>
    <t>Azad Varty</t>
  </si>
  <si>
    <t>STU1094</t>
  </si>
  <si>
    <t>ENR1094</t>
  </si>
  <si>
    <t>ikeer@example.net</t>
  </si>
  <si>
    <t>Yasmin De</t>
  </si>
  <si>
    <t>STU616</t>
  </si>
  <si>
    <t>ENR616</t>
  </si>
  <si>
    <t>sonihazel@example.net</t>
  </si>
  <si>
    <t>Shlok Hayer</t>
  </si>
  <si>
    <t>STU051</t>
  </si>
  <si>
    <t>ENR051</t>
  </si>
  <si>
    <t>nayantara66@example.net</t>
  </si>
  <si>
    <t>Neysa Bansal</t>
  </si>
  <si>
    <t>ttripathi@example.net</t>
  </si>
  <si>
    <t>Sana Yadav</t>
  </si>
  <si>
    <t>lseshadri@example.net</t>
  </si>
  <si>
    <t>Vaibhav Kakar</t>
  </si>
  <si>
    <t>STU422</t>
  </si>
  <si>
    <t>ENR422</t>
  </si>
  <si>
    <t>vkhosla@example.com</t>
  </si>
  <si>
    <t>Vedika Gola</t>
  </si>
  <si>
    <t>STU427</t>
  </si>
  <si>
    <t>ENR427</t>
  </si>
  <si>
    <t>dixitira@example.org</t>
  </si>
  <si>
    <t>Kavya Agarwal</t>
  </si>
  <si>
    <t>STU379</t>
  </si>
  <si>
    <t>ENR379</t>
  </si>
  <si>
    <t>ndatta@example.org</t>
  </si>
  <si>
    <t>Manikya Banik</t>
  </si>
  <si>
    <t>STU327</t>
  </si>
  <si>
    <t>ENR327</t>
  </si>
  <si>
    <t>chadsaanvi@example.com</t>
  </si>
  <si>
    <t>Tushar Tandon</t>
  </si>
  <si>
    <t>kallahunar@example.org</t>
  </si>
  <si>
    <t>Stuvan Sodhi</t>
  </si>
  <si>
    <t>STU855</t>
  </si>
  <si>
    <t>ENR855</t>
  </si>
  <si>
    <t>taimurmani@example.net</t>
  </si>
  <si>
    <t>Shayak Sekhon</t>
  </si>
  <si>
    <t>STU560</t>
  </si>
  <si>
    <t>ENR560</t>
  </si>
  <si>
    <t>desaimiraya@example.com</t>
  </si>
  <si>
    <t>Nayantara Sekhon</t>
  </si>
  <si>
    <t>STU1156</t>
  </si>
  <si>
    <t>ENR1156</t>
  </si>
  <si>
    <t>aradhya36@example.net</t>
  </si>
  <si>
    <t>Vidur Bassi</t>
  </si>
  <si>
    <t>STU1147</t>
  </si>
  <si>
    <t>ENR1147</t>
  </si>
  <si>
    <t>virkkrish@example.net</t>
  </si>
  <si>
    <t>Nirvaan Arora</t>
  </si>
  <si>
    <t>STU073</t>
  </si>
  <si>
    <t>ENR073</t>
  </si>
  <si>
    <t>purabmadan@example.com</t>
  </si>
  <si>
    <t>Shlok Bakshi</t>
  </si>
  <si>
    <t>STU124</t>
  </si>
  <si>
    <t>ENR124</t>
  </si>
  <si>
    <t>ryananne@example.net</t>
  </si>
  <si>
    <t>Vihaan Kadakia</t>
  </si>
  <si>
    <t>STU594</t>
  </si>
  <si>
    <t>ENR594</t>
  </si>
  <si>
    <t>raunakwarrior@example.net</t>
  </si>
  <si>
    <t>Vardaniya Kala</t>
  </si>
  <si>
    <t>utoor@example.com</t>
  </si>
  <si>
    <t>Arnav Mand</t>
  </si>
  <si>
    <t>mehul26@example.org</t>
  </si>
  <si>
    <t>Nayantara Sethi</t>
  </si>
  <si>
    <t>STU324</t>
  </si>
  <si>
    <t>ENR324</t>
  </si>
  <si>
    <t>jayanramanathan@example.net</t>
  </si>
  <si>
    <t>Rasha Dube</t>
  </si>
  <si>
    <t>STU004</t>
  </si>
  <si>
    <t>ENR004</t>
  </si>
  <si>
    <t>xchoudhary@example.org</t>
  </si>
  <si>
    <t>Rania Contractor</t>
  </si>
  <si>
    <t>STU470</t>
  </si>
  <si>
    <t>ENR470</t>
  </si>
  <si>
    <t>isangha@example.net</t>
  </si>
  <si>
    <t>Dharmajan Bains</t>
  </si>
  <si>
    <t>STU154</t>
  </si>
  <si>
    <t>ENR154</t>
  </si>
  <si>
    <t>jdara@example.org</t>
  </si>
  <si>
    <t>Yuvaan Singhal</t>
  </si>
  <si>
    <t>tanya30@example.net</t>
  </si>
  <si>
    <t>Shamik Venkatesh</t>
  </si>
  <si>
    <t>STU1065</t>
  </si>
  <si>
    <t>ENR1065</t>
  </si>
  <si>
    <t>zsachar@example.org</t>
  </si>
  <si>
    <t>Tushar Doshi</t>
  </si>
  <si>
    <t>STU035</t>
  </si>
  <si>
    <t>ENR035</t>
  </si>
  <si>
    <t>rattilakshay@example.com</t>
  </si>
  <si>
    <t>Eshani Yadav</t>
  </si>
  <si>
    <t>STU293</t>
  </si>
  <si>
    <t>ENR293</t>
  </si>
  <si>
    <t>sanne@example.org</t>
  </si>
  <si>
    <t>Shamik Aggarwal</t>
  </si>
  <si>
    <t>neysa97@example.net</t>
  </si>
  <si>
    <t>Abram Mann</t>
  </si>
  <si>
    <t>vupadhyay@example.com</t>
  </si>
  <si>
    <t>Ritvik Sami</t>
  </si>
  <si>
    <t>STU640</t>
  </si>
  <si>
    <t>ENR640</t>
  </si>
  <si>
    <t>lavanyatrivedi@example.com</t>
  </si>
  <si>
    <t>Mannat Wali</t>
  </si>
  <si>
    <t>STU820</t>
  </si>
  <si>
    <t>ENR820</t>
  </si>
  <si>
    <t>varkeyaarna@example.com</t>
  </si>
  <si>
    <t>Nakul Saha</t>
  </si>
  <si>
    <t>STU1159</t>
  </si>
  <si>
    <t>ENR1159</t>
  </si>
  <si>
    <t>gandhiaarav@example.org</t>
  </si>
  <si>
    <t>Ira Hayre</t>
  </si>
  <si>
    <t>xwarrior@example.net</t>
  </si>
  <si>
    <t>Kiaan Samra</t>
  </si>
  <si>
    <t>STU632</t>
  </si>
  <si>
    <t>ENR632</t>
  </si>
  <si>
    <t>ayesha97@example.org</t>
  </si>
  <si>
    <t>Zeeshan Ghosh</t>
  </si>
  <si>
    <t>STU1018</t>
  </si>
  <si>
    <t>ENR1018</t>
  </si>
  <si>
    <t>indranil53@example.com</t>
  </si>
  <si>
    <t>Vihaan Kapur</t>
  </si>
  <si>
    <t>STU1023</t>
  </si>
  <si>
    <t>ENR1023</t>
  </si>
  <si>
    <t>duashamik@example.com</t>
  </si>
  <si>
    <t>Chirag Seth</t>
  </si>
  <si>
    <t>STU377</t>
  </si>
  <si>
    <t>ENR377</t>
  </si>
  <si>
    <t>umangsoni@example.com</t>
  </si>
  <si>
    <t>Veer Kala</t>
  </si>
  <si>
    <t>qtata@example.net</t>
  </si>
  <si>
    <t>Anya Rajagopalan</t>
  </si>
  <si>
    <t>STU111</t>
  </si>
  <si>
    <t>ENR111</t>
  </si>
  <si>
    <t>anvi94@example.com</t>
  </si>
  <si>
    <t>Samar Edwin</t>
  </si>
  <si>
    <t>STU588</t>
  </si>
  <si>
    <t>ENR588</t>
  </si>
  <si>
    <t>emir74@example.net</t>
  </si>
  <si>
    <t>Shray Brar</t>
  </si>
  <si>
    <t>STU174</t>
  </si>
  <si>
    <t>ENR174</t>
  </si>
  <si>
    <t>xsolanki@example.net</t>
  </si>
  <si>
    <t>Mehul Manda</t>
  </si>
  <si>
    <t>deynishith@example.org</t>
  </si>
  <si>
    <t>Mannat Korpal</t>
  </si>
  <si>
    <t>taimur45@example.org</t>
  </si>
  <si>
    <t>Yashvi Tiwari</t>
  </si>
  <si>
    <t>STU877</t>
  </si>
  <si>
    <t>ENR877</t>
  </si>
  <si>
    <t>alisha42@example.com</t>
  </si>
  <si>
    <t>Anahita Sura</t>
  </si>
  <si>
    <t>STU1052</t>
  </si>
  <si>
    <t>ENR1052</t>
  </si>
  <si>
    <t>ranbir37@example.net</t>
  </si>
  <si>
    <t>Piya Deshpande</t>
  </si>
  <si>
    <t>STU209</t>
  </si>
  <si>
    <t>ENR209</t>
  </si>
  <si>
    <t>mamooty84@example.com</t>
  </si>
  <si>
    <t>Misha Ghose</t>
  </si>
  <si>
    <t>STU1183</t>
  </si>
  <si>
    <t>ENR1183</t>
  </si>
  <si>
    <t>darshitlata@example.org</t>
  </si>
  <si>
    <t>Madhav Thaker</t>
  </si>
  <si>
    <t>STU499</t>
  </si>
  <si>
    <t>ENR499</t>
  </si>
  <si>
    <t>bsekhon@example.net</t>
  </si>
  <si>
    <t>Vedika Saran</t>
  </si>
  <si>
    <t>bhaminishanker@example.org</t>
  </si>
  <si>
    <t>Yasmin Aggarwal</t>
  </si>
  <si>
    <t>STU844</t>
  </si>
  <si>
    <t>ENR844</t>
  </si>
  <si>
    <t>lavanyasengupta@example.com</t>
  </si>
  <si>
    <t>Kimaya Shenoy</t>
  </si>
  <si>
    <t>STU593</t>
  </si>
  <si>
    <t>ENR593</t>
  </si>
  <si>
    <t>ravalkiaan@example.org</t>
  </si>
  <si>
    <t>Divij Mahajan</t>
  </si>
  <si>
    <t>STU444</t>
  </si>
  <si>
    <t>ENR444</t>
  </si>
  <si>
    <t>anahi21@example.net</t>
  </si>
  <si>
    <t>Neelofar Bassi</t>
  </si>
  <si>
    <t>STU577</t>
  </si>
  <si>
    <t>ENR577</t>
  </si>
  <si>
    <t>ranbir22@example.net</t>
  </si>
  <si>
    <t>Dishani Salvi</t>
  </si>
  <si>
    <t>STU305</t>
  </si>
  <si>
    <t>ENR305</t>
  </si>
  <si>
    <t>yuvraj-76@example.org</t>
  </si>
  <si>
    <t>Nitara Saha</t>
  </si>
  <si>
    <t>STU667</t>
  </si>
  <si>
    <t>ENR667</t>
  </si>
  <si>
    <t>dhanushkaur@example.com</t>
  </si>
  <si>
    <t>Romil Mandal</t>
  </si>
  <si>
    <t>STU990</t>
  </si>
  <si>
    <t>ENR990</t>
  </si>
  <si>
    <t>aainadugar@example.com</t>
  </si>
  <si>
    <t>Shanaya Kapur</t>
  </si>
  <si>
    <t>STU346</t>
  </si>
  <si>
    <t>ENR346</t>
  </si>
  <si>
    <t>ghoseraunak@example.org</t>
  </si>
  <si>
    <t>Nakul Bora</t>
  </si>
  <si>
    <t>STU680</t>
  </si>
  <si>
    <t>ENR680</t>
  </si>
  <si>
    <t>subramaniamyakshit@example.org</t>
  </si>
  <si>
    <t>Lavanya Solanki</t>
  </si>
  <si>
    <t>STU947</t>
  </si>
  <si>
    <t>ENR947</t>
  </si>
  <si>
    <t>vbhalla@example.org</t>
  </si>
  <si>
    <t>Divyansh Chokshi</t>
  </si>
  <si>
    <t>STU262</t>
  </si>
  <si>
    <t>ENR262</t>
  </si>
  <si>
    <t>romil71@example.org</t>
  </si>
  <si>
    <t>Damini Gaba</t>
  </si>
  <si>
    <t>STU434</t>
  </si>
  <si>
    <t>ENR434</t>
  </si>
  <si>
    <t>vlal@example.org</t>
  </si>
  <si>
    <t>Rohan Rama</t>
  </si>
  <si>
    <t>STU310</t>
  </si>
  <si>
    <t>ENR310</t>
  </si>
  <si>
    <t>kbhatnagar@example.org</t>
  </si>
  <si>
    <t>Ela Varughese</t>
  </si>
  <si>
    <t>icherian@example.org</t>
  </si>
  <si>
    <t>Shamik Vyas</t>
  </si>
  <si>
    <t>STU161</t>
  </si>
  <si>
    <t>ENR161</t>
  </si>
  <si>
    <t>nbhakta@example.net</t>
  </si>
  <si>
    <t>Saira Bhandari</t>
  </si>
  <si>
    <t>STU492</t>
  </si>
  <si>
    <t>ENR492</t>
  </si>
  <si>
    <t>ravaluthkarsh@example.org</t>
  </si>
  <si>
    <t>Purab Manda</t>
  </si>
  <si>
    <t>STU162</t>
  </si>
  <si>
    <t>ENR162</t>
  </si>
  <si>
    <t>shroffmehul@example.net</t>
  </si>
  <si>
    <t>Taran Aurora</t>
  </si>
  <si>
    <t>STU131</t>
  </si>
  <si>
    <t>ENR131</t>
  </si>
  <si>
    <t>tarasundaram@example.org</t>
  </si>
  <si>
    <t>Yakshit Mani</t>
  </si>
  <si>
    <t>STU265</t>
  </si>
  <si>
    <t>ENR265</t>
  </si>
  <si>
    <t>anya92@example.org</t>
  </si>
  <si>
    <t>Ira Wali</t>
  </si>
  <si>
    <t>STU662</t>
  </si>
  <si>
    <t>ENR662</t>
  </si>
  <si>
    <t>kravel@example.net</t>
  </si>
  <si>
    <t>Adira Manne</t>
  </si>
  <si>
    <t>STU659</t>
  </si>
  <si>
    <t>ENR659</t>
  </si>
  <si>
    <t>nayantaramanne@example.com</t>
  </si>
  <si>
    <t>Ojas Kala</t>
  </si>
  <si>
    <t>STU630</t>
  </si>
  <si>
    <t>ENR630</t>
  </si>
  <si>
    <t>jhanvi68@example.com</t>
  </si>
  <si>
    <t>Azad Talwar</t>
  </si>
  <si>
    <t>STU449</t>
  </si>
  <si>
    <t>ENR449</t>
  </si>
  <si>
    <t>osubramanian@example.org</t>
  </si>
  <si>
    <t>Rohan Ramaswamy</t>
  </si>
  <si>
    <t>STU615</t>
  </si>
  <si>
    <t>ENR615</t>
  </si>
  <si>
    <t>anvijaggi@example.org</t>
  </si>
  <si>
    <t>Samarth Madan</t>
  </si>
  <si>
    <t>STU655</t>
  </si>
  <si>
    <t>ENR655</t>
  </si>
  <si>
    <t>bhataniruddh@example.net</t>
  </si>
  <si>
    <t>Taimur Bal</t>
  </si>
  <si>
    <t>devanshsom@example.com</t>
  </si>
  <si>
    <t>Divyansh Bora</t>
  </si>
  <si>
    <t>STU237</t>
  </si>
  <si>
    <t>ENR237</t>
  </si>
  <si>
    <t>nakul75@example.com</t>
  </si>
  <si>
    <t>Ivana Kant</t>
  </si>
  <si>
    <t>STU197</t>
  </si>
  <si>
    <t>ENR197</t>
  </si>
  <si>
    <t>atwalivan@example.net</t>
  </si>
  <si>
    <t>Shamik Lalla</t>
  </si>
  <si>
    <t>STU608</t>
  </si>
  <si>
    <t>ENR608</t>
  </si>
  <si>
    <t>saira41@example.net</t>
  </si>
  <si>
    <t>Ryan Dalal</t>
  </si>
  <si>
    <t>STU145</t>
  </si>
  <si>
    <t>ENR145</t>
  </si>
  <si>
    <t>rati37@example.org</t>
  </si>
  <si>
    <t>Yuvraj  Khanna</t>
  </si>
  <si>
    <t>STU192</t>
  </si>
  <si>
    <t>ENR192</t>
  </si>
  <si>
    <t>misha82@example.org</t>
  </si>
  <si>
    <t>Devansh Rajagopalan</t>
  </si>
  <si>
    <t>STU061</t>
  </si>
  <si>
    <t>ENR061</t>
  </si>
  <si>
    <t>mallickaaryahi@example.net</t>
  </si>
  <si>
    <t>Bhavin Dâ€™Alia</t>
  </si>
  <si>
    <t>STU458</t>
  </si>
  <si>
    <t>ENR458</t>
  </si>
  <si>
    <t>ramachandransaira@example.org</t>
  </si>
  <si>
    <t>Darshit Ranganathan</t>
  </si>
  <si>
    <t>STU1134</t>
  </si>
  <si>
    <t>ENR1134</t>
  </si>
  <si>
    <t>ldoshi@example.net</t>
  </si>
  <si>
    <t>Fateh Dhingra</t>
  </si>
  <si>
    <t>aayushgolla@example.org</t>
  </si>
  <si>
    <t>Drishya Kar</t>
  </si>
  <si>
    <t>STU822</t>
  </si>
  <si>
    <t>ENR822</t>
  </si>
  <si>
    <t>shraykhatri@example.net</t>
  </si>
  <si>
    <t>Krish Sridhar</t>
  </si>
  <si>
    <t>misha98@example.com</t>
  </si>
  <si>
    <t>Tiya Gera</t>
  </si>
  <si>
    <t>STU1122</t>
  </si>
  <si>
    <t>ENR1122</t>
  </si>
  <si>
    <t>ngarde@example.org</t>
  </si>
  <si>
    <t>Mohanlal Salvi</t>
  </si>
  <si>
    <t>aptevardaniya@example.net</t>
  </si>
  <si>
    <t>Mahika Tiwari</t>
  </si>
  <si>
    <t>STU884</t>
  </si>
  <si>
    <t>ENR884</t>
  </si>
  <si>
    <t>hridaantaneja@example.com</t>
  </si>
  <si>
    <t>Suhana Taneja</t>
  </si>
  <si>
    <t>STU344</t>
  </si>
  <si>
    <t>ENR344</t>
  </si>
  <si>
    <t>varughesecharvi@example.com</t>
  </si>
  <si>
    <t>Drishya Char</t>
  </si>
  <si>
    <t>STU054</t>
  </si>
  <si>
    <t>ENR054</t>
  </si>
  <si>
    <t>farhan58@example.net</t>
  </si>
  <si>
    <t>Ryan Dash</t>
  </si>
  <si>
    <t>STU879</t>
  </si>
  <si>
    <t>ENR879</t>
  </si>
  <si>
    <t>uthkarshyohannan@example.net</t>
  </si>
  <si>
    <t>Jhanvi Handa</t>
  </si>
  <si>
    <t>STU846</t>
  </si>
  <si>
    <t>ENR846</t>
  </si>
  <si>
    <t>anikachokshi@example.net</t>
  </si>
  <si>
    <t>Sara Kale</t>
  </si>
  <si>
    <t>STU878</t>
  </si>
  <si>
    <t>ENR878</t>
  </si>
  <si>
    <t>tchander@example.net</t>
  </si>
  <si>
    <t>Baiju Kanda</t>
  </si>
  <si>
    <t>STU347</t>
  </si>
  <si>
    <t>ENR347</t>
  </si>
  <si>
    <t>sdoshi@example.org</t>
  </si>
  <si>
    <t>Charvi Bassi</t>
  </si>
  <si>
    <t>STU300</t>
  </si>
  <si>
    <t>ENR300</t>
  </si>
  <si>
    <t>shamik18@example.org</t>
  </si>
  <si>
    <t>Mannat Sarma</t>
  </si>
  <si>
    <t>elakshi75@example.com</t>
  </si>
  <si>
    <t>Faiyaz Madan</t>
  </si>
  <si>
    <t>STU950</t>
  </si>
  <si>
    <t>ENR950</t>
  </si>
  <si>
    <t>dzachariah@example.org</t>
  </si>
  <si>
    <t>Nitya Thaman</t>
  </si>
  <si>
    <t>STU354</t>
  </si>
  <si>
    <t>ENR354</t>
  </si>
  <si>
    <t>himmatchana@example.org</t>
  </si>
  <si>
    <t>Shaan Samra</t>
  </si>
  <si>
    <t>STU207</t>
  </si>
  <si>
    <t>ENR207</t>
  </si>
  <si>
    <t>samarth06@example.org</t>
  </si>
  <si>
    <t>Rati Yohannan</t>
  </si>
  <si>
    <t>STU936</t>
  </si>
  <si>
    <t>ENR936</t>
  </si>
  <si>
    <t>sarkarlagan@example.org</t>
  </si>
  <si>
    <t>Tejas Vig</t>
  </si>
  <si>
    <t>STU1075</t>
  </si>
  <si>
    <t>ENR1075</t>
  </si>
  <si>
    <t>dhruv27@example.org</t>
  </si>
  <si>
    <t>Arhaan Kapur</t>
  </si>
  <si>
    <t>STU257</t>
  </si>
  <si>
    <t>ENR257</t>
  </si>
  <si>
    <t>zara50@example.com</t>
  </si>
  <si>
    <t>Nitya Borra</t>
  </si>
  <si>
    <t>qchoudhury@example.com</t>
  </si>
  <si>
    <t>Siya Ghose</t>
  </si>
  <si>
    <t>STU556</t>
  </si>
  <si>
    <t>ENR556</t>
  </si>
  <si>
    <t>wdesai@example.net</t>
  </si>
  <si>
    <t>Azad Bava</t>
  </si>
  <si>
    <t>STU1114</t>
  </si>
  <si>
    <t>ENR1114</t>
  </si>
  <si>
    <t>krishnaadah@example.org</t>
  </si>
  <si>
    <t>Anika Bhardwaj</t>
  </si>
  <si>
    <t>STU716</t>
  </si>
  <si>
    <t>ENR716</t>
  </si>
  <si>
    <t>soodlavanya@example.net</t>
  </si>
  <si>
    <t>Arnav Arora</t>
  </si>
  <si>
    <t>STU924</t>
  </si>
  <si>
    <t>ENR924</t>
  </si>
  <si>
    <t>sheredhanush@example.com</t>
  </si>
  <si>
    <t>Romil Barman</t>
  </si>
  <si>
    <t>STU1117</t>
  </si>
  <si>
    <t>ENR1117</t>
  </si>
  <si>
    <t>aaryahi32@example.org</t>
  </si>
  <si>
    <t>Renee Chaudhari</t>
  </si>
  <si>
    <t>STU534</t>
  </si>
  <si>
    <t>ENR534</t>
  </si>
  <si>
    <t>tejas53@example.net</t>
  </si>
  <si>
    <t>Aniruddh Solanki</t>
  </si>
  <si>
    <t>STU097</t>
  </si>
  <si>
    <t>ENR097</t>
  </si>
  <si>
    <t>gardeindrans@example.com</t>
  </si>
  <si>
    <t>Anaya Bora</t>
  </si>
  <si>
    <t>STU1001</t>
  </si>
  <si>
    <t>ENR1001</t>
  </si>
  <si>
    <t>nehmatrama@example.com</t>
  </si>
  <si>
    <t>Biju Dhawan</t>
  </si>
  <si>
    <t>veerbadal@example.org</t>
  </si>
  <si>
    <t>Emir Roy</t>
  </si>
  <si>
    <t>STU998</t>
  </si>
  <si>
    <t>ENR998</t>
  </si>
  <si>
    <t>aggarwalishita@example.org</t>
  </si>
  <si>
    <t>Jivika Som</t>
  </si>
  <si>
    <t>wadhwasaira@example.net</t>
  </si>
  <si>
    <t>Ira Sharaf</t>
  </si>
  <si>
    <t>STU1196</t>
  </si>
  <si>
    <t>ENR1196</t>
  </si>
  <si>
    <t>pihu68@example.com</t>
  </si>
  <si>
    <t>Himmat Ray</t>
  </si>
  <si>
    <t>STU891</t>
  </si>
  <si>
    <t>ENR891</t>
  </si>
  <si>
    <t>btoor@example.net</t>
  </si>
  <si>
    <t>Navya Sane</t>
  </si>
  <si>
    <t>STU320</t>
  </si>
  <si>
    <t>ENR320</t>
  </si>
  <si>
    <t>dhargokul@example.net</t>
  </si>
  <si>
    <t>Faiyaz Shan</t>
  </si>
  <si>
    <t>STU931</t>
  </si>
  <si>
    <t>ENR931</t>
  </si>
  <si>
    <t>bahrimisha@example.com</t>
  </si>
  <si>
    <t>Hridaan Dube</t>
  </si>
  <si>
    <t>STU897</t>
  </si>
  <si>
    <t>ENR897</t>
  </si>
  <si>
    <t>keya88@example.org</t>
  </si>
  <si>
    <t>Alia Chanda</t>
  </si>
  <si>
    <t>STU006</t>
  </si>
  <si>
    <t>ENR006</t>
  </si>
  <si>
    <t>hridaan15@example.com</t>
  </si>
  <si>
    <t>Samaira Thaman</t>
  </si>
  <si>
    <t>STU503</t>
  </si>
  <si>
    <t>ENR503</t>
  </si>
  <si>
    <t>ahluwaliadhanuk@example.org</t>
  </si>
  <si>
    <t>Mehul Jain</t>
  </si>
  <si>
    <t>STU932</t>
  </si>
  <si>
    <t>ENR932</t>
  </si>
  <si>
    <t>nitaravig@example.net</t>
  </si>
  <si>
    <t>Indranil Dugar</t>
  </si>
  <si>
    <t>STU113</t>
  </si>
  <si>
    <t>ENR113</t>
  </si>
  <si>
    <t>chaudharyrohan@example.com</t>
  </si>
  <si>
    <t>Ritvik Goyal</t>
  </si>
  <si>
    <t>STU648</t>
  </si>
  <si>
    <t>ENR648</t>
  </si>
  <si>
    <t>settyeva@example.net</t>
  </si>
  <si>
    <t>Diya Basu</t>
  </si>
  <si>
    <t>STU812</t>
  </si>
  <si>
    <t>ENR812</t>
  </si>
  <si>
    <t>vritikasengupta@example.org</t>
  </si>
  <si>
    <t>Onkar Garg</t>
  </si>
  <si>
    <t>STU713</t>
  </si>
  <si>
    <t>ENR713</t>
  </si>
  <si>
    <t>nehmat39@example.com</t>
  </si>
  <si>
    <t>Badal Doshi</t>
  </si>
  <si>
    <t>STU020</t>
  </si>
  <si>
    <t>ENR020</t>
  </si>
  <si>
    <t>trivedijayesh@example.net</t>
  </si>
  <si>
    <t>Mahika Goswami</t>
  </si>
  <si>
    <t>STU1064</t>
  </si>
  <si>
    <t>ENR1064</t>
  </si>
  <si>
    <t>inaaya-88@example.com</t>
  </si>
  <si>
    <t>Kartik Dugal</t>
  </si>
  <si>
    <t>STU995</t>
  </si>
  <si>
    <t>ENR995</t>
  </si>
  <si>
    <t>vritikachoudhry@example.org</t>
  </si>
  <si>
    <t>Kanav Sengupta</t>
  </si>
  <si>
    <t>STU789</t>
  </si>
  <si>
    <t>ENR789</t>
  </si>
  <si>
    <t>hrishita77@example.org</t>
  </si>
  <si>
    <t>Vaibhav Bail</t>
  </si>
  <si>
    <t>STU1113</t>
  </si>
  <si>
    <t>ENR1113</t>
  </si>
  <si>
    <t>choudhuryhimmat@example.org</t>
  </si>
  <si>
    <t>Ishita Chander</t>
  </si>
  <si>
    <t>STU032</t>
  </si>
  <si>
    <t>ENR032</t>
  </si>
  <si>
    <t>hegdepranay@example.com</t>
  </si>
  <si>
    <t>Rasha Bora</t>
  </si>
  <si>
    <t>STU1079</t>
  </si>
  <si>
    <t>ENR1079</t>
  </si>
  <si>
    <t>igoel@example.org</t>
  </si>
  <si>
    <t>Dharmajan Sankaran</t>
  </si>
  <si>
    <t>STU1087</t>
  </si>
  <si>
    <t>ENR1087</t>
  </si>
  <si>
    <t>miraya54@example.com</t>
  </si>
  <si>
    <t>Dishani Walla</t>
  </si>
  <si>
    <t>STU038</t>
  </si>
  <si>
    <t>ENR038</t>
  </si>
  <si>
    <t>mehul27@example.com</t>
  </si>
  <si>
    <t>Samaira Gour</t>
  </si>
  <si>
    <t>STU1161</t>
  </si>
  <si>
    <t>ENR1161</t>
  </si>
  <si>
    <t>walidivij@example.org</t>
  </si>
  <si>
    <t>Reyansh Sem</t>
  </si>
  <si>
    <t>STU1155</t>
  </si>
  <si>
    <t>ENR1155</t>
  </si>
  <si>
    <t>kbansal@example.com</t>
  </si>
  <si>
    <t>Urvi Bava</t>
  </si>
  <si>
    <t>STU839</t>
  </si>
  <si>
    <t>ENR839</t>
  </si>
  <si>
    <t>adira49@example.net</t>
  </si>
  <si>
    <t>Shlok Dixit</t>
  </si>
  <si>
    <t>STU016</t>
  </si>
  <si>
    <t>ENR016</t>
  </si>
  <si>
    <t>ukant@example.net</t>
  </si>
  <si>
    <t>Samarth Thakkar</t>
  </si>
  <si>
    <t>STU851</t>
  </si>
  <si>
    <t>ENR851</t>
  </si>
  <si>
    <t>dtalwar@example.net</t>
  </si>
  <si>
    <t>Madhav Ghose</t>
  </si>
  <si>
    <t>STU012</t>
  </si>
  <si>
    <t>ENR012</t>
  </si>
  <si>
    <t>deshmukhrania@example.com</t>
  </si>
  <si>
    <t>Oorja Balay</t>
  </si>
  <si>
    <t>STU1192</t>
  </si>
  <si>
    <t>ENR1192</t>
  </si>
  <si>
    <t>barmankeya@example.net</t>
  </si>
  <si>
    <t>Urvi Sane</t>
  </si>
  <si>
    <t>indrajitsawhney@example.org</t>
  </si>
  <si>
    <t>Madhup Ramachandran</t>
  </si>
  <si>
    <t>STU252</t>
  </si>
  <si>
    <t>ENR252</t>
  </si>
  <si>
    <t>edugal@example.com</t>
  </si>
  <si>
    <t>Shaan Srivastava</t>
  </si>
  <si>
    <t>STU218</t>
  </si>
  <si>
    <t>ENR218</t>
  </si>
  <si>
    <t>manikya25@example.net</t>
  </si>
  <si>
    <t>Alia Bhandari</t>
  </si>
  <si>
    <t>tiyabassi@example.net</t>
  </si>
  <si>
    <t>Aayush Chaudhary</t>
  </si>
  <si>
    <t>shayakloyal@example.com</t>
  </si>
  <si>
    <t>Nishith Soni</t>
  </si>
  <si>
    <t>STU230</t>
  </si>
  <si>
    <t>ENR230</t>
  </si>
  <si>
    <t>kaulnishith@example.com</t>
  </si>
  <si>
    <t>Ayesha Chokshi</t>
  </si>
  <si>
    <t>STU374</t>
  </si>
  <si>
    <t>ENR374</t>
  </si>
  <si>
    <t>dhanushsathe@example.net</t>
  </si>
  <si>
    <t>Ivan Mangal</t>
  </si>
  <si>
    <t>STU204</t>
  </si>
  <si>
    <t>ENR204</t>
  </si>
  <si>
    <t>isharaf@example.org</t>
  </si>
  <si>
    <t>Khushi Subramanian</t>
  </si>
  <si>
    <t>gsridhar@example.net</t>
  </si>
  <si>
    <t>Riya Wali</t>
  </si>
  <si>
    <t>STU502</t>
  </si>
  <si>
    <t>ENR502</t>
  </si>
  <si>
    <t>kchoudhary@example.org</t>
  </si>
  <si>
    <t>Vivaan Ghosh</t>
  </si>
  <si>
    <t>amira82@example.net</t>
  </si>
  <si>
    <t>Navya Batra</t>
  </si>
  <si>
    <t>STU568</t>
  </si>
  <si>
    <t>ENR568</t>
  </si>
  <si>
    <t>mannat86@example.org</t>
  </si>
  <si>
    <t>Saira Gara</t>
  </si>
  <si>
    <t>kataamira@example.com</t>
  </si>
  <si>
    <t>Nehmat Dugal</t>
  </si>
  <si>
    <t>STU311</t>
  </si>
  <si>
    <t>ENR311</t>
  </si>
  <si>
    <t>ndutta@example.net</t>
  </si>
  <si>
    <t>Indrans Gulati</t>
  </si>
  <si>
    <t>trishasarna@example.net</t>
  </si>
  <si>
    <t>Shalv Devi</t>
  </si>
  <si>
    <t>STU212</t>
  </si>
  <si>
    <t>ENR212</t>
  </si>
  <si>
    <t>senkismat@example.net</t>
  </si>
  <si>
    <t>Azad Sagar</t>
  </si>
  <si>
    <t>STU272</t>
  </si>
  <si>
    <t>ENR272</t>
  </si>
  <si>
    <t>lcontractor@example.org</t>
  </si>
  <si>
    <t>Stuvan Sama</t>
  </si>
  <si>
    <t>miraanchaudry@example.com</t>
  </si>
  <si>
    <t>Tushar Singh</t>
  </si>
  <si>
    <t>vedika34@example.org</t>
  </si>
  <si>
    <t>Hazel Kunda</t>
  </si>
  <si>
    <t>STU520</t>
  </si>
  <si>
    <t>ENR520</t>
  </si>
  <si>
    <t>stuvansane@example.net</t>
  </si>
  <si>
    <t>Arnav Yogi</t>
  </si>
  <si>
    <t>STU400</t>
  </si>
  <si>
    <t>ENR400</t>
  </si>
  <si>
    <t>sakshamcheema@example.net</t>
  </si>
  <si>
    <t>Gokul Mallick</t>
  </si>
  <si>
    <t>STU389</t>
  </si>
  <si>
    <t>ENR389</t>
  </si>
  <si>
    <t>sairayogi@example.com</t>
  </si>
  <si>
    <t>Dishani Loyal</t>
  </si>
  <si>
    <t>grovershanaya@example.org</t>
  </si>
  <si>
    <t>STU536</t>
  </si>
  <si>
    <t>ENR536</t>
  </si>
  <si>
    <t>jayeshsarma@example.net</t>
  </si>
  <si>
    <t>Riya Dhaliwal</t>
  </si>
  <si>
    <t>STU140</t>
  </si>
  <si>
    <t>ENR140</t>
  </si>
  <si>
    <t>bathtiya@example.org</t>
  </si>
  <si>
    <t>Rania Tripathi</t>
  </si>
  <si>
    <t>STU313</t>
  </si>
  <si>
    <t>ENR313</t>
  </si>
  <si>
    <t>zeeshan57@example.net</t>
  </si>
  <si>
    <t>Fateh Kara</t>
  </si>
  <si>
    <t>STU405</t>
  </si>
  <si>
    <t>ENR405</t>
  </si>
  <si>
    <t>saksham52@example.org</t>
  </si>
  <si>
    <t>Shamik Dixit</t>
  </si>
  <si>
    <t>ranbir88@example.org</t>
  </si>
  <si>
    <t>Akarsh Barad</t>
  </si>
  <si>
    <t>STU335</t>
  </si>
  <si>
    <t>ENR335</t>
  </si>
  <si>
    <t>aaryahiissac@example.org</t>
  </si>
  <si>
    <t>Misha Dutta</t>
  </si>
  <si>
    <t>STU731</t>
  </si>
  <si>
    <t>ENR731</t>
  </si>
  <si>
    <t>zoyadhillon@example.net</t>
  </si>
  <si>
    <t>Sumer Chand</t>
  </si>
  <si>
    <t>STU578</t>
  </si>
  <si>
    <t>ENR578</t>
  </si>
  <si>
    <t>tejas45@example.org</t>
  </si>
  <si>
    <t>Aaryahi Chaudry</t>
  </si>
  <si>
    <t>STU870</t>
  </si>
  <si>
    <t>ENR870</t>
  </si>
  <si>
    <t>echar@example.org</t>
  </si>
  <si>
    <t>Hrishita Raman</t>
  </si>
  <si>
    <t>STU497</t>
  </si>
  <si>
    <t>ENR497</t>
  </si>
  <si>
    <t>tanyasant@example.org</t>
  </si>
  <si>
    <t>Hrishita Kamdar</t>
  </si>
  <si>
    <t>himmat44@example.net</t>
  </si>
  <si>
    <t>Vaibhav Sagar</t>
  </si>
  <si>
    <t>STU368</t>
  </si>
  <si>
    <t>ENR368</t>
  </si>
  <si>
    <t>vdalal@example.org</t>
  </si>
  <si>
    <t>Baiju Andra</t>
  </si>
  <si>
    <t>STU981</t>
  </si>
  <si>
    <t>ENR981</t>
  </si>
  <si>
    <t>jayanbail@example.com</t>
  </si>
  <si>
    <t>Shanaya Apte</t>
  </si>
  <si>
    <t>gatik78@example.net</t>
  </si>
  <si>
    <t>Sahil Chada</t>
  </si>
  <si>
    <t>STU944</t>
  </si>
  <si>
    <t>ENR944</t>
  </si>
  <si>
    <t>sanakarpe@example.org</t>
  </si>
  <si>
    <t>Shlok Varma</t>
  </si>
  <si>
    <t>STU463</t>
  </si>
  <si>
    <t>ENR463</t>
  </si>
  <si>
    <t>hirandeep@example.org</t>
  </si>
  <si>
    <t>Divyansh Wali</t>
  </si>
  <si>
    <t>shloktoor@example.net</t>
  </si>
  <si>
    <t>Anay Yohannan</t>
  </si>
  <si>
    <t>STU565</t>
  </si>
  <si>
    <t>ENR565</t>
  </si>
  <si>
    <t>heer43@example.com</t>
  </si>
  <si>
    <t>Miraya Anand</t>
  </si>
  <si>
    <t>STU1197</t>
  </si>
  <si>
    <t>ENR1197</t>
  </si>
  <si>
    <t>azadyadav@example.com</t>
  </si>
  <si>
    <t>Lagan Chada</t>
  </si>
  <si>
    <t>STU360</t>
  </si>
  <si>
    <t>ENR360</t>
  </si>
  <si>
    <t>renee79@example.com</t>
  </si>
  <si>
    <t>Myra Bal</t>
  </si>
  <si>
    <t>STU126</t>
  </si>
  <si>
    <t>ENR126</t>
  </si>
  <si>
    <t>vchauhan@example.net</t>
  </si>
  <si>
    <t>Dhanuk Karnik</t>
  </si>
  <si>
    <t>STU307</t>
  </si>
  <si>
    <t>ENR307</t>
  </si>
  <si>
    <t>bandibhavin@example.org</t>
  </si>
  <si>
    <t>Shamik Kapoor</t>
  </si>
  <si>
    <t>STU040</t>
  </si>
  <si>
    <t>ENR040</t>
  </si>
  <si>
    <t>bakshiriya@example.org</t>
  </si>
  <si>
    <t>Trisha Kalla</t>
  </si>
  <si>
    <t>STU342</t>
  </si>
  <si>
    <t>ENR342</t>
  </si>
  <si>
    <t>jhaverikabir@example.org</t>
  </si>
  <si>
    <t>Biju Rajagopalan</t>
  </si>
  <si>
    <t>STU408</t>
  </si>
  <si>
    <t>ENR408</t>
  </si>
  <si>
    <t>nbava@example.com</t>
  </si>
  <si>
    <t>Lavanya Ravi</t>
  </si>
  <si>
    <t>STU858</t>
  </si>
  <si>
    <t>ENR858</t>
  </si>
  <si>
    <t>zara37@example.net</t>
  </si>
  <si>
    <t>Advik Krishnamurthy</t>
  </si>
  <si>
    <t>golaseher@example.org</t>
  </si>
  <si>
    <t>Jayant Bhatnagar</t>
  </si>
  <si>
    <t>STU929</t>
  </si>
  <si>
    <t>ENR929</t>
  </si>
  <si>
    <t>jayaramansara@example.com</t>
  </si>
  <si>
    <t>Myra Salvi</t>
  </si>
  <si>
    <t>STU819</t>
  </si>
  <si>
    <t>ENR819</t>
  </si>
  <si>
    <t>achauhan@example.com</t>
  </si>
  <si>
    <t>Fateh Jani</t>
  </si>
  <si>
    <t>STU606</t>
  </si>
  <si>
    <t>ENR606</t>
  </si>
  <si>
    <t>ivana78@example.com</t>
  </si>
  <si>
    <t>Parinaaz Sem</t>
  </si>
  <si>
    <t>indrajitmane@example.net</t>
  </si>
  <si>
    <t>Anahi Varty</t>
  </si>
  <si>
    <t>STU132</t>
  </si>
  <si>
    <t>ENR132</t>
  </si>
  <si>
    <t>iramakrishnan@example.com</t>
  </si>
  <si>
    <t>Zain Upadhyay</t>
  </si>
  <si>
    <t>indrajitbadal@example.net</t>
  </si>
  <si>
    <t>Mehul Saran</t>
  </si>
  <si>
    <t>STU446</t>
  </si>
  <si>
    <t>ENR446</t>
  </si>
  <si>
    <t>kuriansamarth@example.net</t>
  </si>
  <si>
    <t>Eva Krishnamurthy</t>
  </si>
  <si>
    <t>STU330</t>
  </si>
  <si>
    <t>ENR330</t>
  </si>
  <si>
    <t>baradkrish@example.org</t>
  </si>
  <si>
    <t>Mohanlal Soman</t>
  </si>
  <si>
    <t>STU985</t>
  </si>
  <si>
    <t>ENR985</t>
  </si>
  <si>
    <t>chaudryryan@example.com</t>
  </si>
  <si>
    <t>Ira Loyal</t>
  </si>
  <si>
    <t>STU195</t>
  </si>
  <si>
    <t>ENR195</t>
  </si>
  <si>
    <t>borabhamini@example.com</t>
  </si>
  <si>
    <t>Seher Chatterjee</t>
  </si>
  <si>
    <t>STU740</t>
  </si>
  <si>
    <t>ENR740</t>
  </si>
  <si>
    <t>dsengupta@example.net</t>
  </si>
  <si>
    <t>STU352</t>
  </si>
  <si>
    <t>ENR352</t>
  </si>
  <si>
    <t>lakshaydhar@example.net</t>
  </si>
  <si>
    <t>Adira Arora</t>
  </si>
  <si>
    <t>STU907</t>
  </si>
  <si>
    <t>ENR907</t>
  </si>
  <si>
    <t>satheshaan@example.net</t>
  </si>
  <si>
    <t>Umang Bora</t>
  </si>
  <si>
    <t>STU1144</t>
  </si>
  <si>
    <t>ENR1144</t>
  </si>
  <si>
    <t>cdeep@example.com</t>
  </si>
  <si>
    <t>Misha Sule</t>
  </si>
  <si>
    <t>STU286</t>
  </si>
  <si>
    <t>ENR286</t>
  </si>
  <si>
    <t>kundaojas@example.org</t>
  </si>
  <si>
    <t>Jhanvi Sidhu</t>
  </si>
  <si>
    <t>STU171</t>
  </si>
  <si>
    <t>ENR171</t>
  </si>
  <si>
    <t>gdas@example.com</t>
  </si>
  <si>
    <t>Tiya Sankaran</t>
  </si>
  <si>
    <t>STU460</t>
  </si>
  <si>
    <t>ENR460</t>
  </si>
  <si>
    <t>tsarma@example.org</t>
  </si>
  <si>
    <t>Keya Soni</t>
  </si>
  <si>
    <t>STU1148</t>
  </si>
  <si>
    <t>ENR1148</t>
  </si>
  <si>
    <t>yuvaanvora@example.org</t>
  </si>
  <si>
    <t>Aarav Sane</t>
  </si>
  <si>
    <t>STU363</t>
  </si>
  <si>
    <t>ENR363</t>
  </si>
  <si>
    <t>dasguptafarhan@example.com</t>
  </si>
  <si>
    <t>Baiju Ahluwalia</t>
  </si>
  <si>
    <t>STU517</t>
  </si>
  <si>
    <t>ENR517</t>
  </si>
  <si>
    <t>emir22@example.com</t>
  </si>
  <si>
    <t>Tejas Kala</t>
  </si>
  <si>
    <t>STU466</t>
  </si>
  <si>
    <t>ENR466</t>
  </si>
  <si>
    <t>bhalder@example.org</t>
  </si>
  <si>
    <t>Mannat Rastogi</t>
  </si>
  <si>
    <t>STU036</t>
  </si>
  <si>
    <t>ENR036</t>
  </si>
  <si>
    <t>bbir@example.com</t>
  </si>
  <si>
    <t>Anvi Wason</t>
  </si>
  <si>
    <t>bhattioorja@example.org</t>
  </si>
  <si>
    <t>Farhan Goel</t>
  </si>
  <si>
    <t>STU456</t>
  </si>
  <si>
    <t>ENR456</t>
  </si>
  <si>
    <t>aliasastry@example.com</t>
  </si>
  <si>
    <t>Adira Balakrishnan</t>
  </si>
  <si>
    <t>STU1082</t>
  </si>
  <si>
    <t>ENR1082</t>
  </si>
  <si>
    <t>bkurian@example.net</t>
  </si>
  <si>
    <t>Ivan Sura</t>
  </si>
  <si>
    <t>STU1112</t>
  </si>
  <si>
    <t>ENR1112</t>
  </si>
  <si>
    <t>aainaanne@example.com</t>
  </si>
  <si>
    <t>Rasha Ramaswamy</t>
  </si>
  <si>
    <t>STU157</t>
  </si>
  <si>
    <t>ENR157</t>
  </si>
  <si>
    <t>hunarghose@example.org</t>
  </si>
  <si>
    <t>Adira Bawa</t>
  </si>
  <si>
    <t>STU323</t>
  </si>
  <si>
    <t>ENR323</t>
  </si>
  <si>
    <t>cherianyashvi@example.com</t>
  </si>
  <si>
    <t>Himmat Kale</t>
  </si>
  <si>
    <t>STU259</t>
  </si>
  <si>
    <t>ENR259</t>
  </si>
  <si>
    <t>armaankorpal@example.net</t>
  </si>
  <si>
    <t>Onkar Dhaliwal</t>
  </si>
  <si>
    <t>STU134</t>
  </si>
  <si>
    <t>ENR134</t>
  </si>
  <si>
    <t>zaina52@example.com</t>
  </si>
  <si>
    <t>Rasha Bahl</t>
  </si>
  <si>
    <t>STU091</t>
  </si>
  <si>
    <t>ENR091</t>
  </si>
  <si>
    <t>saanvi07@example.net</t>
  </si>
  <si>
    <t>Priyansh Choudhry</t>
  </si>
  <si>
    <t>STU139</t>
  </si>
  <si>
    <t>ENR139</t>
  </si>
  <si>
    <t>agopal@example.org</t>
  </si>
  <si>
    <t>Vihaan Sridhar</t>
  </si>
  <si>
    <t>STU453</t>
  </si>
  <si>
    <t>ENR453</t>
  </si>
  <si>
    <t>jhanvikarnik@example.net</t>
  </si>
  <si>
    <t>Aniruddh Sura</t>
  </si>
  <si>
    <t>STU090</t>
  </si>
  <si>
    <t>ENR090</t>
  </si>
  <si>
    <t>anika07@example.com</t>
  </si>
  <si>
    <t>Urvi Sundaram</t>
  </si>
  <si>
    <t>STU770</t>
  </si>
  <si>
    <t>ENR770</t>
  </si>
  <si>
    <t>bhasindivit@example.com</t>
  </si>
  <si>
    <t>Manjari Ahuja</t>
  </si>
  <si>
    <t>STU421</t>
  </si>
  <si>
    <t>ENR421</t>
  </si>
  <si>
    <t>zsandal@example.net</t>
  </si>
  <si>
    <t>Nitara Karpe</t>
  </si>
  <si>
    <t>STU430</t>
  </si>
  <si>
    <t>ENR430</t>
  </si>
  <si>
    <t>amirakota@example.org</t>
  </si>
  <si>
    <t>Baiju Apte</t>
  </si>
  <si>
    <t>STU1133</t>
  </si>
  <si>
    <t>ENR1133</t>
  </si>
  <si>
    <t>qupadhyay@example.com</t>
  </si>
  <si>
    <t>Kiaan Deshmukh</t>
  </si>
  <si>
    <t>mallickanaya@example.net</t>
  </si>
  <si>
    <t>Kiaan Tata</t>
  </si>
  <si>
    <t>STU490</t>
  </si>
  <si>
    <t>ENR490</t>
  </si>
  <si>
    <t>Abram Kar</t>
  </si>
  <si>
    <t>STU437</t>
  </si>
  <si>
    <t>ENR437</t>
  </si>
  <si>
    <t>divitviswanathan@example.net</t>
  </si>
  <si>
    <t>Vardaniya Sinha</t>
  </si>
  <si>
    <t>llad@example.com</t>
  </si>
  <si>
    <t>Aarna Chowdhury</t>
  </si>
  <si>
    <t>STU852</t>
  </si>
  <si>
    <t>ENR852</t>
  </si>
  <si>
    <t>majumdaralisha@example.org</t>
  </si>
  <si>
    <t>Sumer Malhotra</t>
  </si>
  <si>
    <t>mirayasundaram@example.org</t>
  </si>
  <si>
    <t>Drishya Shanker</t>
  </si>
  <si>
    <t>STU298</t>
  </si>
  <si>
    <t>ENR298</t>
  </si>
  <si>
    <t>dasalisha@example.net</t>
  </si>
  <si>
    <t>Anahi Ben</t>
  </si>
  <si>
    <t>boasesaksham@example.com</t>
  </si>
  <si>
    <t>Zara Srinivas</t>
  </si>
  <si>
    <t>STU911</t>
  </si>
  <si>
    <t>ENR911</t>
  </si>
  <si>
    <t>xdeshpande@example.com</t>
  </si>
  <si>
    <t>Shamik Srinivasan</t>
  </si>
  <si>
    <t>STU046</t>
  </si>
  <si>
    <t>ENR046</t>
  </si>
  <si>
    <t>surzain@example.com</t>
  </si>
  <si>
    <t>Kanav Sood</t>
  </si>
  <si>
    <t>STU1106</t>
  </si>
  <si>
    <t>ENR1106</t>
  </si>
  <si>
    <t>boraromil@example.org</t>
  </si>
  <si>
    <t>Lakshay Gopal</t>
  </si>
  <si>
    <t>mohanlaldalal@example.com</t>
  </si>
  <si>
    <t>Zoya Saraf</t>
  </si>
  <si>
    <t>tratta@example.org</t>
  </si>
  <si>
    <t>Samiha Savant</t>
  </si>
  <si>
    <t>STU043</t>
  </si>
  <si>
    <t>ENR043</t>
  </si>
  <si>
    <t>ojas68@example.org</t>
  </si>
  <si>
    <t>Anahi Chhabra</t>
  </si>
  <si>
    <t>STU1097</t>
  </si>
  <si>
    <t>ENR1097</t>
  </si>
  <si>
    <t>tripathitaimur@example.net</t>
  </si>
  <si>
    <t>Lakshit Garde</t>
  </si>
  <si>
    <t>devandivij@example.com</t>
  </si>
  <si>
    <t>Himmat Lata</t>
  </si>
  <si>
    <t>STU1195</t>
  </si>
  <si>
    <t>ENR1195</t>
  </si>
  <si>
    <t>ela52@example.com</t>
  </si>
  <si>
    <t>Tiya Bhagat</t>
  </si>
  <si>
    <t>rhea56@example.org</t>
  </si>
  <si>
    <t>Inaaya  Sundaram</t>
  </si>
  <si>
    <t>clad@example.net</t>
  </si>
  <si>
    <t>Pranay Vora</t>
  </si>
  <si>
    <t>STU755</t>
  </si>
  <si>
    <t>ENR755</t>
  </si>
  <si>
    <t>shankerjivin@example.org</t>
  </si>
  <si>
    <t>Sumer Mandal</t>
  </si>
  <si>
    <t>STU677</t>
  </si>
  <si>
    <t>ENR677</t>
  </si>
  <si>
    <t>bainsarmaan@example.net</t>
  </si>
  <si>
    <t>Raghav Goyal</t>
  </si>
  <si>
    <t>lvohra@example.org</t>
  </si>
  <si>
    <t>Amani Sant</t>
  </si>
  <si>
    <t>STU024</t>
  </si>
  <si>
    <t>ENR024</t>
  </si>
  <si>
    <t>nayantara20@example.com</t>
  </si>
  <si>
    <t>Eshani Kade</t>
  </si>
  <si>
    <t>STU123</t>
  </si>
  <si>
    <t>ENR123</t>
  </si>
  <si>
    <t>nzacharia@example.org</t>
  </si>
  <si>
    <t>Taimur Saini</t>
  </si>
  <si>
    <t>bchakrabarti@example.net</t>
  </si>
  <si>
    <t>Shalv Shah</t>
  </si>
  <si>
    <t>cchanda@example.org</t>
  </si>
  <si>
    <t>Taimur Comar</t>
  </si>
  <si>
    <t>STU994</t>
  </si>
  <si>
    <t>ENR994</t>
  </si>
  <si>
    <t>sana26@example.com</t>
  </si>
  <si>
    <t>Shaan Sharaf</t>
  </si>
  <si>
    <t>STU555</t>
  </si>
  <si>
    <t>ENR555</t>
  </si>
  <si>
    <t>csundaram@example.net</t>
  </si>
  <si>
    <t>Saanvi Chandran</t>
  </si>
  <si>
    <t>STU573</t>
  </si>
  <si>
    <t>ENR573</t>
  </si>
  <si>
    <t>fsharaf@example.net</t>
  </si>
  <si>
    <t>Madhav Reddy</t>
  </si>
  <si>
    <t>STU295</t>
  </si>
  <si>
    <t>ENR295</t>
  </si>
  <si>
    <t>vardaniyasethi@example.com</t>
  </si>
  <si>
    <t>Manikya Sastry</t>
  </si>
  <si>
    <t>STU155</t>
  </si>
  <si>
    <t>ENR155</t>
  </si>
  <si>
    <t>jiyabalakrishnan@example.org</t>
  </si>
  <si>
    <t>Arnav Choudhury</t>
  </si>
  <si>
    <t>STU406</t>
  </si>
  <si>
    <t>ENR406</t>
  </si>
  <si>
    <t>trivediahana@example.org</t>
  </si>
  <si>
    <t>Ritvik Sanghvi</t>
  </si>
  <si>
    <t>ndhar@example.net</t>
  </si>
  <si>
    <t>Azad Sahota</t>
  </si>
  <si>
    <t>danizara@example.net</t>
  </si>
  <si>
    <t>Tanya Baral</t>
  </si>
  <si>
    <t>STU232</t>
  </si>
  <si>
    <t>ENR232</t>
  </si>
  <si>
    <t>keya90@example.org</t>
  </si>
  <si>
    <t>Nehmat Sagar</t>
  </si>
  <si>
    <t>STU674</t>
  </si>
  <si>
    <t>ENR674</t>
  </si>
  <si>
    <t>gatik47@example.com</t>
  </si>
  <si>
    <t>Armaan Chander</t>
  </si>
  <si>
    <t>STU564</t>
  </si>
  <si>
    <t>ENR564</t>
  </si>
  <si>
    <t>eshani14@example.com</t>
  </si>
  <si>
    <t>Vardaniya Saraf</t>
  </si>
  <si>
    <t>STU595</t>
  </si>
  <si>
    <t>ENR595</t>
  </si>
  <si>
    <t>abali@example.org</t>
  </si>
  <si>
    <t>Amani Kade</t>
  </si>
  <si>
    <t>STU391</t>
  </si>
  <si>
    <t>ENR391</t>
  </si>
  <si>
    <t>pranayshukla@example.net</t>
  </si>
  <si>
    <t>Zaina Bir</t>
  </si>
  <si>
    <t>ramangatik@example.org</t>
  </si>
  <si>
    <t>Kavya Dewan</t>
  </si>
  <si>
    <t>STU284</t>
  </si>
  <si>
    <t>ENR284</t>
  </si>
  <si>
    <t>myra98@example.org</t>
  </si>
  <si>
    <t>Adah Kaur</t>
  </si>
  <si>
    <t>STU200</t>
  </si>
  <si>
    <t>ENR200</t>
  </si>
  <si>
    <t>xchoudhary@example.net</t>
  </si>
  <si>
    <t>Ritvik Hora</t>
  </si>
  <si>
    <t>STU516</t>
  </si>
  <si>
    <t>ENR516</t>
  </si>
  <si>
    <t>inaaya-sant@example.net</t>
  </si>
  <si>
    <t>Umang Subramaniam</t>
  </si>
  <si>
    <t>STU222</t>
  </si>
  <si>
    <t>ENR222</t>
  </si>
  <si>
    <t>dishani28@example.net</t>
  </si>
  <si>
    <t>Dhanuk Sahni</t>
  </si>
  <si>
    <t>xkoshy@example.org</t>
  </si>
  <si>
    <t>Kanav Dubey</t>
  </si>
  <si>
    <t>STU128</t>
  </si>
  <si>
    <t>ENR128</t>
  </si>
  <si>
    <t>rania83@example.org</t>
  </si>
  <si>
    <t>Samiha Jha</t>
  </si>
  <si>
    <t>STU1017</t>
  </si>
  <si>
    <t>ENR1017</t>
  </si>
  <si>
    <t>trishamanne@example.org</t>
  </si>
  <si>
    <t>Drishya Setty</t>
  </si>
  <si>
    <t>STU651</t>
  </si>
  <si>
    <t>ENR651</t>
  </si>
  <si>
    <t>jsura@example.org</t>
  </si>
  <si>
    <t>Jivin Mallick</t>
  </si>
  <si>
    <t>STU149</t>
  </si>
  <si>
    <t>ENR149</t>
  </si>
  <si>
    <t>mishtide@example.net</t>
  </si>
  <si>
    <t>Rati Ahluwalia</t>
  </si>
  <si>
    <t>STU399</t>
  </si>
  <si>
    <t>ENR399</t>
  </si>
  <si>
    <t>adah01@example.org</t>
  </si>
  <si>
    <t>Sara Raman</t>
  </si>
  <si>
    <t>STU915</t>
  </si>
  <si>
    <t>ENR915</t>
  </si>
  <si>
    <t>biju72@example.net</t>
  </si>
  <si>
    <t>Indrans Borah</t>
  </si>
  <si>
    <t>gtripathi@example.org</t>
  </si>
  <si>
    <t>Raunak Tara</t>
  </si>
  <si>
    <t>STU786</t>
  </si>
  <si>
    <t>ENR786</t>
  </si>
  <si>
    <t>charvi49@example.net</t>
  </si>
  <si>
    <t>Yakshit Manne</t>
  </si>
  <si>
    <t>ehsaan09@example.org</t>
  </si>
  <si>
    <t>Alia Kala</t>
  </si>
  <si>
    <t>STU824</t>
  </si>
  <si>
    <t>ENR824</t>
  </si>
  <si>
    <t>himmat80@example.com</t>
  </si>
  <si>
    <t>Kartik Dave</t>
  </si>
  <si>
    <t>fateh53@example.net</t>
  </si>
  <si>
    <t>Vidur Deshpande</t>
  </si>
  <si>
    <t>STU1008</t>
  </si>
  <si>
    <t>ENR1008</t>
  </si>
  <si>
    <t>mahika40@example.net</t>
  </si>
  <si>
    <t>Rania Singhal</t>
  </si>
  <si>
    <t>STU1176</t>
  </si>
  <si>
    <t>ENR1176</t>
  </si>
  <si>
    <t>balineelofar@example.org</t>
  </si>
  <si>
    <t>Abram Golla</t>
  </si>
  <si>
    <t>pdani@example.net</t>
  </si>
  <si>
    <t>Nirvaan Krishna</t>
  </si>
  <si>
    <t>aarush63@example.com</t>
  </si>
  <si>
    <t>Rania Bobal</t>
  </si>
  <si>
    <t>STU569</t>
  </si>
  <si>
    <t>ENR569</t>
  </si>
  <si>
    <t>dharmajanray@example.com</t>
  </si>
  <si>
    <t>Seher Choudhury</t>
  </si>
  <si>
    <t>jayan18@example.org</t>
  </si>
  <si>
    <t>Neelofar Ramanathan</t>
  </si>
  <si>
    <t>csagar@example.com</t>
  </si>
  <si>
    <t>Anay Bhatnagar</t>
  </si>
  <si>
    <t>STU1139</t>
  </si>
  <si>
    <t>ENR1139</t>
  </si>
  <si>
    <t>kraval@example.org</t>
  </si>
  <si>
    <t>Stuvan Shukla</t>
  </si>
  <si>
    <t>STU672</t>
  </si>
  <si>
    <t>ENR672</t>
  </si>
  <si>
    <t>dgrover@example.net</t>
  </si>
  <si>
    <t>Kartik Bhat</t>
  </si>
  <si>
    <t>STU729</t>
  </si>
  <si>
    <t>ENR729</t>
  </si>
  <si>
    <t>emir98@example.org</t>
  </si>
  <si>
    <t>Purab Dewan</t>
  </si>
  <si>
    <t>STU288</t>
  </si>
  <si>
    <t>ENR288</t>
  </si>
  <si>
    <t>badalrama@example.net</t>
  </si>
  <si>
    <t>Biju Chaudhuri</t>
  </si>
  <si>
    <t>STU656</t>
  </si>
  <si>
    <t>ENR656</t>
  </si>
  <si>
    <t>keyavasa@example.com</t>
  </si>
  <si>
    <t>Miraya Thakur</t>
  </si>
  <si>
    <t>zsangha@example.com</t>
  </si>
  <si>
    <t>Pihu Bahri</t>
  </si>
  <si>
    <t>STU185</t>
  </si>
  <si>
    <t>ENR185</t>
  </si>
  <si>
    <t>emadan@example.net</t>
  </si>
  <si>
    <t>Ayesha Devi</t>
  </si>
  <si>
    <t>STU918</t>
  </si>
  <si>
    <t>ENR918</t>
  </si>
  <si>
    <t>dhaliwaldhanuk@example.org</t>
  </si>
  <si>
    <t>Samiha Randhawa</t>
  </si>
  <si>
    <t>STU757</t>
  </si>
  <si>
    <t>ENR757</t>
  </si>
  <si>
    <t>amira05@example.org</t>
  </si>
  <si>
    <t>Kashvi Dâ€™Alia</t>
  </si>
  <si>
    <t>STU751</t>
  </si>
  <si>
    <t>ENR751</t>
  </si>
  <si>
    <t>amani28@example.com</t>
  </si>
  <si>
    <t>Tarini Korpal</t>
  </si>
  <si>
    <t>STU894</t>
  </si>
  <si>
    <t>ENR894</t>
  </si>
  <si>
    <t>xbrar@example.org</t>
  </si>
  <si>
    <t>Mohanlal Mandal</t>
  </si>
  <si>
    <t>STU886</t>
  </si>
  <si>
    <t>ENR886</t>
  </si>
  <si>
    <t>sharmasiya@example.net</t>
  </si>
  <si>
    <t>Aarav Sama</t>
  </si>
  <si>
    <t>STU549</t>
  </si>
  <si>
    <t>ENR549</t>
  </si>
  <si>
    <t>zsunder@example.org</t>
  </si>
  <si>
    <t>Kismat Bains</t>
  </si>
  <si>
    <t>STU107</t>
  </si>
  <si>
    <t>ENR107</t>
  </si>
  <si>
    <t>manjarishenoy@example.net</t>
  </si>
  <si>
    <t>Misha De</t>
  </si>
  <si>
    <t>STU550</t>
  </si>
  <si>
    <t>ENR550</t>
  </si>
  <si>
    <t>jayeshkhosla@example.org</t>
  </si>
  <si>
    <t>Faiyaz Ravel</t>
  </si>
  <si>
    <t>ranganathanyuvaan@example.org</t>
  </si>
  <si>
    <t>Mamooty Korpal</t>
  </si>
  <si>
    <t>nayantara22@example.net</t>
  </si>
  <si>
    <t>Seher Manne</t>
  </si>
  <si>
    <t>STU258</t>
  </si>
  <si>
    <t>ENR258</t>
  </si>
  <si>
    <t>sakshambiswas@example.org</t>
  </si>
  <si>
    <t>Aradhya Sunder</t>
  </si>
  <si>
    <t>STU708</t>
  </si>
  <si>
    <t>ENR708</t>
  </si>
  <si>
    <t>vigtushar@example.org</t>
  </si>
  <si>
    <t>Chirag Sane</t>
  </si>
  <si>
    <t>STU1074</t>
  </si>
  <si>
    <t>ENR1074</t>
  </si>
  <si>
    <t>hrishita37@example.com</t>
  </si>
  <si>
    <t>Jiya Wadhwa</t>
  </si>
  <si>
    <t>STU975</t>
  </si>
  <si>
    <t>ENR975</t>
  </si>
  <si>
    <t>myrabaria@example.com</t>
  </si>
  <si>
    <t>Ehsaan Babu</t>
  </si>
  <si>
    <t>bijukala@example.com</t>
  </si>
  <si>
    <t>Myra Sha</t>
  </si>
  <si>
    <t>STU958</t>
  </si>
  <si>
    <t>ENR958</t>
  </si>
  <si>
    <t>tanyabalan@example.org</t>
  </si>
  <si>
    <t>Sumer Dada</t>
  </si>
  <si>
    <t>STU160</t>
  </si>
  <si>
    <t>ENR160</t>
  </si>
  <si>
    <t>bhatiatara@example.com</t>
  </si>
  <si>
    <t>Madhav Sami</t>
  </si>
  <si>
    <t>STU429</t>
  </si>
  <si>
    <t>ENR429</t>
  </si>
  <si>
    <t>psangha@example.com</t>
  </si>
  <si>
    <t>Bhavin Krishnamurthy</t>
  </si>
  <si>
    <t>biju45@example.org</t>
  </si>
  <si>
    <t>Jayant Jain</t>
  </si>
  <si>
    <t>tanksamiha@example.net</t>
  </si>
  <si>
    <t>Taimur Tandon</t>
  </si>
  <si>
    <t>STU641</t>
  </si>
  <si>
    <t>ENR641</t>
  </si>
  <si>
    <t>nityakhare@example.org</t>
  </si>
  <si>
    <t>Indrajit Bala</t>
  </si>
  <si>
    <t>igopal@example.org</t>
  </si>
  <si>
    <t>Keya Badal</t>
  </si>
  <si>
    <t>STU351</t>
  </si>
  <si>
    <t>ENR351</t>
  </si>
  <si>
    <t>ddixit@example.com</t>
  </si>
  <si>
    <t>Shray Dani</t>
  </si>
  <si>
    <t>rdeo@example.com</t>
  </si>
  <si>
    <t>Rania Rastogi</t>
  </si>
  <si>
    <t>STU515</t>
  </si>
  <si>
    <t>ENR515</t>
  </si>
  <si>
    <t>manjariwarrior@example.com</t>
  </si>
  <si>
    <t>Saira Chokshi</t>
  </si>
  <si>
    <t>STU1038</t>
  </si>
  <si>
    <t>ENR1038</t>
  </si>
  <si>
    <t>kiaanrao@example.org</t>
  </si>
  <si>
    <t>Dhruv Balakrishnan</t>
  </si>
  <si>
    <t>STU021</t>
  </si>
  <si>
    <t>ENR021</t>
  </si>
  <si>
    <t>setheshani@example.com</t>
  </si>
  <si>
    <t>Umang Bir</t>
  </si>
  <si>
    <t>kimayaswamy@example.org</t>
  </si>
  <si>
    <t>Samaira Viswanathan</t>
  </si>
  <si>
    <t>STU1130</t>
  </si>
  <si>
    <t>ENR1130</t>
  </si>
  <si>
    <t>seher85@example.org</t>
  </si>
  <si>
    <t>Mehul Sen</t>
  </si>
  <si>
    <t>STU127</t>
  </si>
  <si>
    <t>ENR127</t>
  </si>
  <si>
    <t>mishtiyogi@example.org</t>
  </si>
  <si>
    <t>Pranay Viswanathan</t>
  </si>
  <si>
    <t>STU908</t>
  </si>
  <si>
    <t>ENR908</t>
  </si>
  <si>
    <t>qkale@example.com</t>
  </si>
  <si>
    <t>Chirag Mani</t>
  </si>
  <si>
    <t>STU581</t>
  </si>
  <si>
    <t>ENR581</t>
  </si>
  <si>
    <t>eshanisinghal@example.net</t>
  </si>
  <si>
    <t>Samarth Bakshi</t>
  </si>
  <si>
    <t>STU186</t>
  </si>
  <si>
    <t>ENR186</t>
  </si>
  <si>
    <t>igokhale@example.com</t>
  </si>
  <si>
    <t>Khushi Issac</t>
  </si>
  <si>
    <t>kiararavel@example.com</t>
  </si>
  <si>
    <t>Parinaaz Varma</t>
  </si>
  <si>
    <t>mehulchakrabarti@example.com</t>
  </si>
  <si>
    <t>Mehul Reddy</t>
  </si>
  <si>
    <t>STU009</t>
  </si>
  <si>
    <t>ENR009</t>
  </si>
  <si>
    <t>viswanathanjayant@example.com</t>
  </si>
  <si>
    <t>Krish Dyal</t>
  </si>
  <si>
    <t>STU386</t>
  </si>
  <si>
    <t>ENR386</t>
  </si>
  <si>
    <t>jayantwalla@example.net</t>
  </si>
  <si>
    <t>Samaira Doctor</t>
  </si>
  <si>
    <t>STU425</t>
  </si>
  <si>
    <t>ENR425</t>
  </si>
  <si>
    <t>inaaya-20@example.net</t>
  </si>
  <si>
    <t>Yakshit Deol</t>
  </si>
  <si>
    <t>STU392</t>
  </si>
  <si>
    <t>ENR392</t>
  </si>
  <si>
    <t>zeeshanramakrishnan@example.org</t>
  </si>
  <si>
    <t>Stuvan Saraf</t>
  </si>
  <si>
    <t>STU850</t>
  </si>
  <si>
    <t>ENR850</t>
  </si>
  <si>
    <t>kallamadhup@example.net</t>
  </si>
  <si>
    <t>Samiha Jani</t>
  </si>
  <si>
    <t>STU653</t>
  </si>
  <si>
    <t>ENR653</t>
  </si>
  <si>
    <t>dharmajan09@example.net</t>
  </si>
  <si>
    <t>Ishaan Hegde</t>
  </si>
  <si>
    <t>hazelsamra@example.net</t>
  </si>
  <si>
    <t>Indrajit Raval</t>
  </si>
  <si>
    <t>azad93@example.org</t>
  </si>
  <si>
    <t>Ahana  Mann</t>
  </si>
  <si>
    <t>aarna08@example.com</t>
  </si>
  <si>
    <t>Ishita Lalla</t>
  </si>
  <si>
    <t>STU500</t>
  </si>
  <si>
    <t>ENR500</t>
  </si>
  <si>
    <t>ahana-76@example.com</t>
  </si>
  <si>
    <t>Heer Shah</t>
  </si>
  <si>
    <t>nehmattalwar@example.org</t>
  </si>
  <si>
    <t>Prisha Wagle</t>
  </si>
  <si>
    <t>STU1116</t>
  </si>
  <si>
    <t>ENR1116</t>
  </si>
  <si>
    <t>hunarchaudhuri@example.org</t>
  </si>
  <si>
    <t>Faiyaz Krishna</t>
  </si>
  <si>
    <t>sahil14@example.org</t>
  </si>
  <si>
    <t>Zaina Wadhwa</t>
  </si>
  <si>
    <t>STU1162</t>
  </si>
  <si>
    <t>ENR1162</t>
  </si>
  <si>
    <t>kartik11@example.net</t>
  </si>
  <si>
    <t>Kavya Kothari</t>
  </si>
  <si>
    <t>STU788</t>
  </si>
  <si>
    <t>ENR788</t>
  </si>
  <si>
    <t>bavatara@example.com</t>
  </si>
  <si>
    <t>Reyansh Ganesan</t>
  </si>
  <si>
    <t>STU1003</t>
  </si>
  <si>
    <t>ENR1003</t>
  </si>
  <si>
    <t>qsaxena@example.com</t>
  </si>
  <si>
    <t>Adah Chauhan</t>
  </si>
  <si>
    <t>STU1002</t>
  </si>
  <si>
    <t>ENR1002</t>
  </si>
  <si>
    <t>kundaindrajit@example.com</t>
  </si>
  <si>
    <t>Shanaya Seth</t>
  </si>
  <si>
    <t>idugar@example.org</t>
  </si>
  <si>
    <t>Nehmat Joshi</t>
  </si>
  <si>
    <t>STU1084</t>
  </si>
  <si>
    <t>ENR1084</t>
  </si>
  <si>
    <t>vritikaissac@example.com</t>
  </si>
  <si>
    <t>Mahika Shanker</t>
  </si>
  <si>
    <t>STU773</t>
  </si>
  <si>
    <t>ENR773</t>
  </si>
  <si>
    <t>lbadami@example.net</t>
  </si>
  <si>
    <t>Vaibhav Chowdhury</t>
  </si>
  <si>
    <t>banerjeesiya@example.org</t>
  </si>
  <si>
    <t>Suhana Barad</t>
  </si>
  <si>
    <t>STU707</t>
  </si>
  <si>
    <t>ENR707</t>
  </si>
  <si>
    <t>rsaini@example.org</t>
  </si>
  <si>
    <t>Eshani Dugal</t>
  </si>
  <si>
    <t>STU172</t>
  </si>
  <si>
    <t>ENR172</t>
  </si>
  <si>
    <t>madhav52@example.com</t>
  </si>
  <si>
    <t>Rohan Taneja</t>
  </si>
  <si>
    <t>STU137</t>
  </si>
  <si>
    <t>ENR137</t>
  </si>
  <si>
    <t>somanshlok@example.org</t>
  </si>
  <si>
    <t>Jhanvi Dash</t>
  </si>
  <si>
    <t>STU989</t>
  </si>
  <si>
    <t>ENR989</t>
  </si>
  <si>
    <t>krishnankiara@example.net</t>
  </si>
  <si>
    <t>Amani Sodhi</t>
  </si>
  <si>
    <t>STU144</t>
  </si>
  <si>
    <t>ENR144</t>
  </si>
  <si>
    <t>kvirk@example.org</t>
  </si>
  <si>
    <t>Divit Swaminathan</t>
  </si>
  <si>
    <t>dishani60@example.org</t>
  </si>
  <si>
    <t>Seher Bhargava</t>
  </si>
  <si>
    <t>STU527</t>
  </si>
  <si>
    <t>ENR527</t>
  </si>
  <si>
    <t>pihu95@example.com</t>
  </si>
  <si>
    <t>Bhamini Subramaniam</t>
  </si>
  <si>
    <t>STU108</t>
  </si>
  <si>
    <t>ENR108</t>
  </si>
  <si>
    <t>kandachirag@example.net</t>
  </si>
  <si>
    <t>Lavanya Venkatesh</t>
  </si>
  <si>
    <t>STU528</t>
  </si>
  <si>
    <t>ENR528</t>
  </si>
  <si>
    <t>vanyadube@example.net</t>
  </si>
  <si>
    <t>Bhamini Bose</t>
  </si>
  <si>
    <t>neelofardutta@example.net</t>
  </si>
  <si>
    <t>Lagan Bhardwaj</t>
  </si>
  <si>
    <t>STU535</t>
  </si>
  <si>
    <t>ENR535</t>
  </si>
  <si>
    <t>lloyal@example.org</t>
  </si>
  <si>
    <t>Divyansh Ghose</t>
  </si>
  <si>
    <t>shlok82@example.org</t>
  </si>
  <si>
    <t>Miraya Goel</t>
  </si>
  <si>
    <t>STU728</t>
  </si>
  <si>
    <t>ENR728</t>
  </si>
  <si>
    <t>xtara@example.org</t>
  </si>
  <si>
    <t>Darshit Mani</t>
  </si>
  <si>
    <t>STU979</t>
  </si>
  <si>
    <t>ENR979</t>
  </si>
  <si>
    <t>hmani@example.org</t>
  </si>
  <si>
    <t>Anay Ramanathan</t>
  </si>
  <si>
    <t>STU539</t>
  </si>
  <si>
    <t>ENR539</t>
  </si>
  <si>
    <t>madhav19@example.com</t>
  </si>
  <si>
    <t>Purab Behl</t>
  </si>
  <si>
    <t>STU1163</t>
  </si>
  <si>
    <t>ENR1163</t>
  </si>
  <si>
    <t>mallickonkar@example.com</t>
  </si>
  <si>
    <t>Zara Viswanathan</t>
  </si>
  <si>
    <t>STU690</t>
  </si>
  <si>
    <t>ENR690</t>
  </si>
  <si>
    <t>ambleemir@example.org</t>
  </si>
  <si>
    <t>Nitara Garg</t>
  </si>
  <si>
    <t>STU169</t>
  </si>
  <si>
    <t>ENR169</t>
  </si>
  <si>
    <t>rdate@example.org</t>
  </si>
  <si>
    <t>Jivika Raj</t>
  </si>
  <si>
    <t>ryan47@example.com</t>
  </si>
  <si>
    <t>Biju Sastry</t>
  </si>
  <si>
    <t>ykaran@example.net</t>
  </si>
  <si>
    <t>Farhan Mand</t>
  </si>
  <si>
    <t>STU285</t>
  </si>
  <si>
    <t>ENR285</t>
  </si>
  <si>
    <t>myra18@example.org</t>
  </si>
  <si>
    <t>Saksham Ram</t>
  </si>
  <si>
    <t>STU816</t>
  </si>
  <si>
    <t>ENR816</t>
  </si>
  <si>
    <t>Uthkarsh Chand</t>
  </si>
  <si>
    <t>cdivan@example.net</t>
  </si>
  <si>
    <t>Seher Choudhry</t>
  </si>
  <si>
    <t>STU1101</t>
  </si>
  <si>
    <t>ENR1101</t>
  </si>
  <si>
    <t>sanakari@example.org</t>
  </si>
  <si>
    <t>Khushi Sampath</t>
  </si>
  <si>
    <t>STU279</t>
  </si>
  <si>
    <t>ENR279</t>
  </si>
  <si>
    <t>vcomar@example.net</t>
  </si>
  <si>
    <t>Ryan Kashyap</t>
  </si>
  <si>
    <t>STU673</t>
  </si>
  <si>
    <t>ENR673</t>
  </si>
  <si>
    <t>duadivij@example.org</t>
  </si>
  <si>
    <t>Kavya Andra</t>
  </si>
  <si>
    <t>STU805</t>
  </si>
  <si>
    <t>ENR805</t>
  </si>
  <si>
    <t>tsinghal@example.com</t>
  </si>
  <si>
    <t>Keya Rajagopal</t>
  </si>
  <si>
    <t>STU1105</t>
  </si>
  <si>
    <t>ENR1105</t>
  </si>
  <si>
    <t>sumerganesh@example.org</t>
  </si>
  <si>
    <t>Ivan Ahluwalia</t>
  </si>
  <si>
    <t>STU481</t>
  </si>
  <si>
    <t>ENR481</t>
  </si>
  <si>
    <t>qkurian@example.org</t>
  </si>
  <si>
    <t>Shayak Kohli</t>
  </si>
  <si>
    <t>STU933</t>
  </si>
  <si>
    <t>ENR933</t>
  </si>
  <si>
    <t>qsaini@example.com</t>
  </si>
  <si>
    <t>Nitara Kamdar</t>
  </si>
  <si>
    <t>STU826</t>
  </si>
  <si>
    <t>ENR826</t>
  </si>
  <si>
    <t>madanvidur@example.org</t>
  </si>
  <si>
    <t>Lakshit Banerjee</t>
  </si>
  <si>
    <t>STU935</t>
  </si>
  <si>
    <t>ENR935</t>
  </si>
  <si>
    <t>zeeshanbhardwaj@example.org</t>
  </si>
  <si>
    <t>Jivika Varkey</t>
  </si>
  <si>
    <t>STU336</t>
  </si>
  <si>
    <t>ENR336</t>
  </si>
  <si>
    <t>indrajitkeer@example.net</t>
  </si>
  <si>
    <t>Saanvi Ghose</t>
  </si>
  <si>
    <t>STU077</t>
  </si>
  <si>
    <t>ENR077</t>
  </si>
  <si>
    <t>hanscharvi@example.com</t>
  </si>
  <si>
    <t>Hunar Dara</t>
  </si>
  <si>
    <t>samrajayesh@example.com</t>
  </si>
  <si>
    <t>Trisha Chokshi</t>
  </si>
  <si>
    <t>joshielakshi@example.com</t>
  </si>
  <si>
    <t>Ishaan Baria</t>
  </si>
  <si>
    <t>oorja23@example.net</t>
  </si>
  <si>
    <t>Charvi Wali</t>
  </si>
  <si>
    <t>STU378</t>
  </si>
  <si>
    <t>ENR378</t>
  </si>
  <si>
    <t>bhatiasaira@example.net</t>
  </si>
  <si>
    <t>Samarth Cheema</t>
  </si>
  <si>
    <t>STU1096</t>
  </si>
  <si>
    <t>ENR1096</t>
  </si>
  <si>
    <t>behleshani@example.net</t>
  </si>
  <si>
    <t>Ivana Saraf</t>
  </si>
  <si>
    <t>STU968</t>
  </si>
  <si>
    <t>ENR968</t>
  </si>
  <si>
    <t>dadashlok@example.org</t>
  </si>
  <si>
    <t>Shray Ahluwalia</t>
  </si>
  <si>
    <t>STU923</t>
  </si>
  <si>
    <t>ENR923</t>
  </si>
  <si>
    <t>zvarghese@example.com</t>
  </si>
  <si>
    <t>Kismat Rajagopalan</t>
  </si>
  <si>
    <t>cbhavsar@example.org</t>
  </si>
  <si>
    <t>Kashvi Balay</t>
  </si>
  <si>
    <t>STU896</t>
  </si>
  <si>
    <t>ENR896</t>
  </si>
  <si>
    <t>heer23@example.com</t>
  </si>
  <si>
    <t>Samar Sastry</t>
  </si>
  <si>
    <t>STU260</t>
  </si>
  <si>
    <t>ENR260</t>
  </si>
  <si>
    <t>gollapiya@example.org</t>
  </si>
  <si>
    <t>Kaira Varma</t>
  </si>
  <si>
    <t>STU1098</t>
  </si>
  <si>
    <t>ENR1098</t>
  </si>
  <si>
    <t>onkar25@example.com</t>
  </si>
  <si>
    <t>Kavya Dutt</t>
  </si>
  <si>
    <t>STU364</t>
  </si>
  <si>
    <t>ENR364</t>
  </si>
  <si>
    <t>prerak62@example.org</t>
  </si>
  <si>
    <t>Amani Dyal</t>
  </si>
  <si>
    <t>STU1071</t>
  </si>
  <si>
    <t>ENR1071</t>
  </si>
  <si>
    <t>edas@example.net</t>
  </si>
  <si>
    <t>Hridaan Master</t>
  </si>
  <si>
    <t>lyadav@example.net</t>
  </si>
  <si>
    <t>Vaibhav Gola</t>
  </si>
  <si>
    <t>STU479</t>
  </si>
  <si>
    <t>ENR479</t>
  </si>
  <si>
    <t>chirag02@example.net</t>
  </si>
  <si>
    <t>Azad Vohra</t>
  </si>
  <si>
    <t>mirayayadav@example.net</t>
  </si>
  <si>
    <t>Damini Kala</t>
  </si>
  <si>
    <t>STU831</t>
  </si>
  <si>
    <t>ENR831</t>
  </si>
  <si>
    <t>nirvi73@example.org</t>
  </si>
  <si>
    <t>Riaan Lata</t>
  </si>
  <si>
    <t>STU457</t>
  </si>
  <si>
    <t>ENR457</t>
  </si>
  <si>
    <t>barmannishith@example.com</t>
  </si>
  <si>
    <t>Lagan Goswami</t>
  </si>
  <si>
    <t>inaaya-mane@example.net</t>
  </si>
  <si>
    <t>Tushar Sarna</t>
  </si>
  <si>
    <t>STU772</t>
  </si>
  <si>
    <t>ENR772</t>
  </si>
  <si>
    <t>zbatta@example.com</t>
  </si>
  <si>
    <t>Hansh Sani</t>
  </si>
  <si>
    <t>STU115</t>
  </si>
  <si>
    <t>ENR115</t>
  </si>
  <si>
    <t>veerbala@example.com</t>
  </si>
  <si>
    <t>Aarav Magar</t>
  </si>
  <si>
    <t>STU699</t>
  </si>
  <si>
    <t>ENR699</t>
  </si>
  <si>
    <t>suhanasuresh@example.org</t>
  </si>
  <si>
    <t>Shlok Borah</t>
  </si>
  <si>
    <t>STU558</t>
  </si>
  <si>
    <t>ENR558</t>
  </si>
  <si>
    <t>yakshit58@example.org</t>
  </si>
  <si>
    <t>STU705</t>
  </si>
  <si>
    <t>ENR705</t>
  </si>
  <si>
    <t>anvi45@example.org</t>
  </si>
  <si>
    <t>Miraan Raman</t>
  </si>
  <si>
    <t>STU714</t>
  </si>
  <si>
    <t>ENR714</t>
  </si>
  <si>
    <t>dubeymisha@example.com</t>
  </si>
  <si>
    <t>Vivaan Dua</t>
  </si>
  <si>
    <t>raghavchoudhary@example.net</t>
  </si>
  <si>
    <t>Pranay Iyer</t>
  </si>
  <si>
    <t>zdhawan@example.net</t>
  </si>
  <si>
    <t>Ishita Lall</t>
  </si>
  <si>
    <t>STU797</t>
  </si>
  <si>
    <t>ENR797</t>
  </si>
  <si>
    <t>wasongatik@example.net</t>
  </si>
  <si>
    <t>Reyansh Balakrishnan</t>
  </si>
  <si>
    <t>STU724</t>
  </si>
  <si>
    <t>ENR724</t>
  </si>
  <si>
    <t>aaravbhakta@example.org</t>
  </si>
  <si>
    <t>Akarsh Dalal</t>
  </si>
  <si>
    <t>STU730</t>
  </si>
  <si>
    <t>ENR730</t>
  </si>
  <si>
    <t>yuvraj-43@example.org</t>
  </si>
  <si>
    <t>Dishani Sura</t>
  </si>
  <si>
    <t>dsem@example.org</t>
  </si>
  <si>
    <t>Aaryahi Dash</t>
  </si>
  <si>
    <t>STU443</t>
  </si>
  <si>
    <t>ENR443</t>
  </si>
  <si>
    <t>deshpanderasha@example.org</t>
  </si>
  <si>
    <t>Purab Chand</t>
  </si>
  <si>
    <t>STU1194</t>
  </si>
  <si>
    <t>ENR1194</t>
  </si>
  <si>
    <t>tejas59@example.com</t>
  </si>
  <si>
    <t>Anvi Kashyap</t>
  </si>
  <si>
    <t>bhattikiara@example.net</t>
  </si>
  <si>
    <t>Aarav Korpal</t>
  </si>
  <si>
    <t>STU412</t>
  </si>
  <si>
    <t>ENR412</t>
  </si>
  <si>
    <t>farhan09@example.org</t>
  </si>
  <si>
    <t>STU142</t>
  </si>
  <si>
    <t>ENR142</t>
  </si>
  <si>
    <t>zaina72@example.org</t>
  </si>
  <si>
    <t>Jivin Kamdar</t>
  </si>
  <si>
    <t>STU764</t>
  </si>
  <si>
    <t>ENR764</t>
  </si>
  <si>
    <t>sankarfateh@example.net</t>
  </si>
  <si>
    <t>Umang Rama</t>
  </si>
  <si>
    <t>STU766</t>
  </si>
  <si>
    <t>ENR766</t>
  </si>
  <si>
    <t>anayjoshi@example.net</t>
  </si>
  <si>
    <t>Aniruddh Goswami</t>
  </si>
  <si>
    <t>STU267</t>
  </si>
  <si>
    <t>ENR267</t>
  </si>
  <si>
    <t>pseshadri@example.com</t>
  </si>
  <si>
    <t>Mohanlal Dugar</t>
  </si>
  <si>
    <t>STU832</t>
  </si>
  <si>
    <t>ENR832</t>
  </si>
  <si>
    <t>mahika38@example.net</t>
  </si>
  <si>
    <t>Tara Wadhwa</t>
  </si>
  <si>
    <t>aayush93@example.net</t>
  </si>
  <si>
    <t>Samiha Doshi</t>
  </si>
  <si>
    <t>ldevan@example.org</t>
  </si>
  <si>
    <t>Alisha Bala</t>
  </si>
  <si>
    <t>varughesetanya@example.org</t>
  </si>
  <si>
    <t>Armaan Sharaf</t>
  </si>
  <si>
    <t>STU587</t>
  </si>
  <si>
    <t>ENR587</t>
  </si>
  <si>
    <t>pkrishnamurthy@example.org</t>
  </si>
  <si>
    <t>Indrans Chada</t>
  </si>
  <si>
    <t>STU143</t>
  </si>
  <si>
    <t>ENR143</t>
  </si>
  <si>
    <t>khalsakismat@example.com</t>
  </si>
  <si>
    <t>Nakul Bakshi</t>
  </si>
  <si>
    <t>STU221</t>
  </si>
  <si>
    <t>ENR221</t>
  </si>
  <si>
    <t>aayush91@example.com</t>
  </si>
  <si>
    <t>Tiya Kapoor</t>
  </si>
  <si>
    <t>STU650</t>
  </si>
  <si>
    <t>ENR650</t>
  </si>
  <si>
    <t>usavant@example.org</t>
  </si>
  <si>
    <t>Uthkarsh Bhavsar</t>
  </si>
  <si>
    <t>malhotrahazel@example.net</t>
  </si>
  <si>
    <t>Nayantara Kalita</t>
  </si>
  <si>
    <t>STU599</t>
  </si>
  <si>
    <t>ENR599</t>
  </si>
  <si>
    <t>priyansh86@example.net</t>
  </si>
  <si>
    <t>Ivana Iyengar</t>
  </si>
  <si>
    <t>STU220</t>
  </si>
  <si>
    <t>ENR220</t>
  </si>
  <si>
    <t>vivaanbrar@example.org</t>
  </si>
  <si>
    <t>Samiha Kapadia</t>
  </si>
  <si>
    <t>STU141</t>
  </si>
  <si>
    <t>ENR141</t>
  </si>
  <si>
    <t>ranalavanya@example.net</t>
  </si>
  <si>
    <t>Ahana  Soni</t>
  </si>
  <si>
    <t>STU749</t>
  </si>
  <si>
    <t>ENR749</t>
  </si>
  <si>
    <t>ahayer@example.net</t>
  </si>
  <si>
    <t>Madhav Lad</t>
  </si>
  <si>
    <t>STU1033</t>
  </si>
  <si>
    <t>ENR1033</t>
  </si>
  <si>
    <t>shalvbhatt@example.com</t>
  </si>
  <si>
    <t>Vritika Sahota</t>
  </si>
  <si>
    <t>STU971</t>
  </si>
  <si>
    <t>ENR971</t>
  </si>
  <si>
    <t>aarna65@example.net</t>
  </si>
  <si>
    <t>Eshani Dayal</t>
  </si>
  <si>
    <t>STU639</t>
  </si>
  <si>
    <t>ENR639</t>
  </si>
  <si>
    <t>zsaraf@example.com</t>
  </si>
  <si>
    <t>Nitara Chacko</t>
  </si>
  <si>
    <t>oseshadri@example.com</t>
  </si>
  <si>
    <t>Aarna Sheth</t>
  </si>
  <si>
    <t>STU576</t>
  </si>
  <si>
    <t>ENR576</t>
  </si>
  <si>
    <t>sumersubramanian@example.net</t>
  </si>
  <si>
    <t>Ojas Kara</t>
  </si>
  <si>
    <t>STU635</t>
  </si>
  <si>
    <t>ENR635</t>
  </si>
  <si>
    <t>tiwaritaran@example.org</t>
  </si>
  <si>
    <t>Charvi Bajaj</t>
  </si>
  <si>
    <t>STU618</t>
  </si>
  <si>
    <t>ENR618</t>
  </si>
  <si>
    <t>sekhonpranay@example.com</t>
  </si>
  <si>
    <t>Tanya Ratti</t>
  </si>
  <si>
    <t>ydesai@example.com</t>
  </si>
  <si>
    <t>Mishti Chaudhry</t>
  </si>
  <si>
    <t>nbose@example.com</t>
  </si>
  <si>
    <t>Ela Handa</t>
  </si>
  <si>
    <t>STU762</t>
  </si>
  <si>
    <t>ENR762</t>
  </si>
  <si>
    <t>tushar19@example.net</t>
  </si>
  <si>
    <t>Mahika Mane</t>
  </si>
  <si>
    <t>STU254</t>
  </si>
  <si>
    <t>ENR254</t>
  </si>
  <si>
    <t>tiyaanne@example.com</t>
  </si>
  <si>
    <t>Tiya Kota</t>
  </si>
  <si>
    <t>STU627</t>
  </si>
  <si>
    <t>ENR627</t>
  </si>
  <si>
    <t>nchadha@example.net</t>
  </si>
  <si>
    <t>Trisha Batta</t>
  </si>
  <si>
    <t>miraya48@example.com</t>
  </si>
  <si>
    <t>Ira Khurana</t>
  </si>
  <si>
    <t>STU738</t>
  </si>
  <si>
    <t>ENR738</t>
  </si>
  <si>
    <t>mehul37@example.net</t>
  </si>
  <si>
    <t>Ryan Ramaswamy</t>
  </si>
  <si>
    <t>STU722</t>
  </si>
  <si>
    <t>ENR722</t>
  </si>
  <si>
    <t>bsamra@example.net</t>
  </si>
  <si>
    <t>Yuvraj  Raju</t>
  </si>
  <si>
    <t>STU321</t>
  </si>
  <si>
    <t>ENR321</t>
  </si>
  <si>
    <t>kjaggi@example.com</t>
  </si>
  <si>
    <t>Yuvaan Tata</t>
  </si>
  <si>
    <t>samar92@example.com</t>
  </si>
  <si>
    <t>Arhaan Mandal</t>
  </si>
  <si>
    <t>rattadivit@example.net</t>
  </si>
  <si>
    <t>Kismat Bhatnagar</t>
  </si>
  <si>
    <t>STU223</t>
  </si>
  <si>
    <t>ENR223</t>
  </si>
  <si>
    <t>dhaliwalmishti@example.org</t>
  </si>
  <si>
    <t>Eva Lata</t>
  </si>
  <si>
    <t>STU661</t>
  </si>
  <si>
    <t>ENR661</t>
  </si>
  <si>
    <t>bdhar@example.net</t>
  </si>
  <si>
    <t>Jayan Loyal</t>
  </si>
  <si>
    <t>STU694</t>
  </si>
  <si>
    <t>ENR694</t>
  </si>
  <si>
    <t>seherviswanathan@example.com</t>
  </si>
  <si>
    <t>Pari Vyas</t>
  </si>
  <si>
    <t>STU695</t>
  </si>
  <si>
    <t>ENR695</t>
  </si>
  <si>
    <t>tbarad@example.net</t>
  </si>
  <si>
    <t>Sahil Randhawa</t>
  </si>
  <si>
    <t>sloke@example.org</t>
  </si>
  <si>
    <t>Trisha Sawhney</t>
  </si>
  <si>
    <t>aainakapoor@example.com</t>
  </si>
  <si>
    <t>Indrans Gill</t>
  </si>
  <si>
    <t>myragrewal@example.com</t>
  </si>
  <si>
    <t>Dhanush Gopal</t>
  </si>
  <si>
    <t>STU271</t>
  </si>
  <si>
    <t>ENR271</t>
  </si>
  <si>
    <t>rramanathan@example.com</t>
  </si>
  <si>
    <t>Yasmin Vasa</t>
  </si>
  <si>
    <t>STU554</t>
  </si>
  <si>
    <t>ENR554</t>
  </si>
  <si>
    <t>rlall@example.net</t>
  </si>
  <si>
    <t>Indrans Majumdar</t>
  </si>
  <si>
    <t>STU712</t>
  </si>
  <si>
    <t>ENR712</t>
  </si>
  <si>
    <t>balakashvi@example.org</t>
  </si>
  <si>
    <t>Tarini Gandhi</t>
  </si>
  <si>
    <t>STU607</t>
  </si>
  <si>
    <t>ENR607</t>
  </si>
  <si>
    <t>myradani@example.net</t>
  </si>
  <si>
    <t>Veer Chawla</t>
  </si>
  <si>
    <t>STU1011</t>
  </si>
  <si>
    <t>ENR1011</t>
  </si>
  <si>
    <t>alal@example.net</t>
  </si>
  <si>
    <t>Charvi Jani</t>
  </si>
  <si>
    <t>darshitkar@example.org</t>
  </si>
  <si>
    <t>Lagan Acharya</t>
  </si>
  <si>
    <t>STU092</t>
  </si>
  <si>
    <t>ENR092</t>
  </si>
  <si>
    <t>balayaarush@example.org</t>
  </si>
  <si>
    <t>Riaan Acharya</t>
  </si>
  <si>
    <t>STU1046</t>
  </si>
  <si>
    <t>ENR1046</t>
  </si>
  <si>
    <t>abramdubey@example.com</t>
  </si>
  <si>
    <t>Shayak Atwal</t>
  </si>
  <si>
    <t>etalwar@example.com</t>
  </si>
  <si>
    <t>Misha Ramakrishnan</t>
  </si>
  <si>
    <t>STU167</t>
  </si>
  <si>
    <t>ENR167</t>
  </si>
  <si>
    <t>dhruvchand@example.org</t>
  </si>
  <si>
    <t>Emir Barad</t>
  </si>
  <si>
    <t>STU857</t>
  </si>
  <si>
    <t>ENR857</t>
  </si>
  <si>
    <t>arhaanravi@example.net</t>
  </si>
  <si>
    <t>Nitya Magar</t>
  </si>
  <si>
    <t>STU849</t>
  </si>
  <si>
    <t>ENR849</t>
  </si>
  <si>
    <t>Aniruddh Agate</t>
  </si>
  <si>
    <t>lkala@example.net</t>
  </si>
  <si>
    <t>Kiara Banik</t>
  </si>
  <si>
    <t>STU845</t>
  </si>
  <si>
    <t>ENR845</t>
  </si>
  <si>
    <t>hegdefateh@example.org</t>
  </si>
  <si>
    <t>Manjari Wason</t>
  </si>
  <si>
    <t>rati40@example.net</t>
  </si>
  <si>
    <t>Kartik Rajagopalan</t>
  </si>
  <si>
    <t>sreddy@example.net</t>
  </si>
  <si>
    <t>Taran Suresh</t>
  </si>
  <si>
    <t>STU484</t>
  </si>
  <si>
    <t>ENR484</t>
  </si>
  <si>
    <t>hjoshi@example.org</t>
  </si>
  <si>
    <t>Prerak Solanki</t>
  </si>
  <si>
    <t>STU868</t>
  </si>
  <si>
    <t>ENR868</t>
  </si>
  <si>
    <t>seshadriishaan@example.org</t>
  </si>
  <si>
    <t>Anay Acharya</t>
  </si>
  <si>
    <t>STU1179</t>
  </si>
  <si>
    <t>ENR1179</t>
  </si>
  <si>
    <t>shalv86@example.net</t>
  </si>
  <si>
    <t>Shalv Bhavsar</t>
  </si>
  <si>
    <t>STU1100</t>
  </si>
  <si>
    <t>ENR1100</t>
  </si>
  <si>
    <t>aayushtandon@example.com</t>
  </si>
  <si>
    <t>Misha Gandhi</t>
  </si>
  <si>
    <t>STU813</t>
  </si>
  <si>
    <t>ENR813</t>
  </si>
  <si>
    <t>qsankar@example.org</t>
  </si>
  <si>
    <t>Ivana Kapadia</t>
  </si>
  <si>
    <t>STU1141</t>
  </si>
  <si>
    <t>ENR1141</t>
  </si>
  <si>
    <t>ehsaanmangat@example.net</t>
  </si>
  <si>
    <t>Rania Aurora</t>
  </si>
  <si>
    <t>STU1102</t>
  </si>
  <si>
    <t>ENR1102</t>
  </si>
  <si>
    <t>ndeol@example.org</t>
  </si>
  <si>
    <t>Kartik Aurora</t>
  </si>
  <si>
    <t>riaan96@example.com</t>
  </si>
  <si>
    <t>Hrishita Taneja</t>
  </si>
  <si>
    <t>STU867</t>
  </si>
  <si>
    <t>ENR867</t>
  </si>
  <si>
    <t>shalvchaudhari@example.net</t>
  </si>
  <si>
    <t>Jayesh Goda</t>
  </si>
  <si>
    <t>STU848</t>
  </si>
  <si>
    <t>ENR848</t>
  </si>
  <si>
    <t>boaseinaaya@example.org</t>
  </si>
  <si>
    <t>Ranbir Raju</t>
  </si>
  <si>
    <t>STU914</t>
  </si>
  <si>
    <t>ENR914</t>
  </si>
  <si>
    <t>agarwalpihu@example.org</t>
  </si>
  <si>
    <t>Vivaan Madan</t>
  </si>
  <si>
    <t>buchkashvi@example.org</t>
  </si>
  <si>
    <t>Seher Saraf</t>
  </si>
  <si>
    <t>STU049</t>
  </si>
  <si>
    <t>ENR049</t>
  </si>
  <si>
    <t>dugardivit@example.net</t>
  </si>
  <si>
    <t>Hiran Dass</t>
  </si>
  <si>
    <t>STU085</t>
  </si>
  <si>
    <t>ENR085</t>
  </si>
  <si>
    <t>aradhyagara@example.org</t>
  </si>
  <si>
    <t>Bhamini Venkatesh</t>
  </si>
  <si>
    <t>dishani57@example.net</t>
  </si>
  <si>
    <t>Adira Varkey</t>
  </si>
  <si>
    <t>STU1088</t>
  </si>
  <si>
    <t>ENR1088</t>
  </si>
  <si>
    <t>bijudesai@example.net</t>
  </si>
  <si>
    <t>Umang Chauhan</t>
  </si>
  <si>
    <t>STU778</t>
  </si>
  <si>
    <t>ENR778</t>
  </si>
  <si>
    <t>oorjawason@example.net</t>
  </si>
  <si>
    <t>Mannat Chacko</t>
  </si>
  <si>
    <t>charvi92@example.org</t>
  </si>
  <si>
    <t>Nitya Randhawa</t>
  </si>
  <si>
    <t>STU893</t>
  </si>
  <si>
    <t>ENR893</t>
  </si>
  <si>
    <t>kaira21@example.org</t>
  </si>
  <si>
    <t>Miraan Uppal</t>
  </si>
  <si>
    <t>inaaya-98@example.org</t>
  </si>
  <si>
    <t>Charvi Talwar</t>
  </si>
  <si>
    <t>STU190</t>
  </si>
  <si>
    <t>ENR190</t>
  </si>
  <si>
    <t>kuppal@example.net</t>
  </si>
  <si>
    <t>Yakshit Yohannan</t>
  </si>
  <si>
    <t>rania77@example.org</t>
  </si>
  <si>
    <t>kjohal@example.org</t>
  </si>
  <si>
    <t>Anika Ganesan</t>
  </si>
  <si>
    <t>lchokshi@example.net</t>
  </si>
  <si>
    <t>Nirvi Golla</t>
  </si>
  <si>
    <t>ramakrishnanstuvan@example.org</t>
  </si>
  <si>
    <t>Advika Das</t>
  </si>
  <si>
    <t>STU1125</t>
  </si>
  <si>
    <t>ENR1125</t>
  </si>
  <si>
    <t>indrans37@example.org</t>
  </si>
  <si>
    <t>Rania Batra</t>
  </si>
  <si>
    <t>STU596</t>
  </si>
  <si>
    <t>ENR596</t>
  </si>
  <si>
    <t>amiraamble@example.com</t>
  </si>
  <si>
    <t>Reyansh Lall</t>
  </si>
  <si>
    <t>STU018</t>
  </si>
  <si>
    <t>ENR018</t>
  </si>
  <si>
    <t>hanshkoshy@example.com</t>
  </si>
  <si>
    <t>Aniruddh Som</t>
  </si>
  <si>
    <t>kashvi62@example.net</t>
  </si>
  <si>
    <t>Heer Saxena</t>
  </si>
  <si>
    <t>STU1040</t>
  </si>
  <si>
    <t>ENR1040</t>
  </si>
  <si>
    <t>surakanav@example.com</t>
  </si>
  <si>
    <t>Arnav Luthra</t>
  </si>
  <si>
    <t>STU843</t>
  </si>
  <si>
    <t>ENR843</t>
  </si>
  <si>
    <t>khushi35@example.org</t>
  </si>
  <si>
    <t>Samarth Mahajan</t>
  </si>
  <si>
    <t>sara53@example.org</t>
  </si>
  <si>
    <t>Kabir Krishnan</t>
  </si>
  <si>
    <t>STU658</t>
  </si>
  <si>
    <t>ENR658</t>
  </si>
  <si>
    <t>lakshitdasgupta@example.net</t>
  </si>
  <si>
    <t>Ahana  Gala</t>
  </si>
  <si>
    <t>STU136</t>
  </si>
  <si>
    <t>ENR136</t>
  </si>
  <si>
    <t>duayuvraj@example.net</t>
  </si>
  <si>
    <t>Chirag Kapur</t>
  </si>
  <si>
    <t>STU634</t>
  </si>
  <si>
    <t>ENR634</t>
  </si>
  <si>
    <t>umangramesh@example.com</t>
  </si>
  <si>
    <t>Rasha Srinivasan</t>
  </si>
  <si>
    <t>STU598</t>
  </si>
  <si>
    <t>ENR598</t>
  </si>
  <si>
    <t>bhavinsura@example.org</t>
  </si>
  <si>
    <t>Pranay Mannan</t>
  </si>
  <si>
    <t>STU023</t>
  </si>
  <si>
    <t>ENR023</t>
  </si>
  <si>
    <t>anayabanerjee@example.com</t>
  </si>
  <si>
    <t>Ivana Sha</t>
  </si>
  <si>
    <t>vedikadalal@example.com</t>
  </si>
  <si>
    <t>Mahika Krishnan</t>
  </si>
  <si>
    <t>STU1131</t>
  </si>
  <si>
    <t>ENR1131</t>
  </si>
  <si>
    <t>chayer@example.com</t>
  </si>
  <si>
    <t>Ivan Chaudhary</t>
  </si>
  <si>
    <t>STU1020</t>
  </si>
  <si>
    <t>ENR1020</t>
  </si>
  <si>
    <t>tejas81@example.org</t>
  </si>
  <si>
    <t>Yuvaan Shroff</t>
  </si>
  <si>
    <t>STU1083</t>
  </si>
  <si>
    <t>ENR1083</t>
  </si>
  <si>
    <t>uthkarshbakshi@example.com</t>
  </si>
  <si>
    <t>Hiran Upadhyay</t>
  </si>
  <si>
    <t>STU917</t>
  </si>
  <si>
    <t>ENR917</t>
  </si>
  <si>
    <t>behlhridaan@example.net</t>
  </si>
  <si>
    <t>Ishaan Doshi</t>
  </si>
  <si>
    <t>STU333</t>
  </si>
  <si>
    <t>ENR333</t>
  </si>
  <si>
    <t>kashvi25@example.net</t>
  </si>
  <si>
    <t>Yasmin Cheema</t>
  </si>
  <si>
    <t>STU795</t>
  </si>
  <si>
    <t>ENR795</t>
  </si>
  <si>
    <t>tejasbarad@example.org</t>
  </si>
  <si>
    <t>Romil Talwar</t>
  </si>
  <si>
    <t>gokulmall@example.org</t>
  </si>
  <si>
    <t>Samaira Ramesh</t>
  </si>
  <si>
    <t>STU736</t>
  </si>
  <si>
    <t>ENR736</t>
  </si>
  <si>
    <t>samihakorpal@example.org</t>
  </si>
  <si>
    <t>Akarsh Dhawan</t>
  </si>
  <si>
    <t>lataalia@example.com</t>
  </si>
  <si>
    <t>Renee Dhillon</t>
  </si>
  <si>
    <t>STU358</t>
  </si>
  <si>
    <t>ENR358</t>
  </si>
  <si>
    <t>nayantararaman@example.org</t>
  </si>
  <si>
    <t>Jiya Chakrabarti</t>
  </si>
  <si>
    <t>STU328</t>
  </si>
  <si>
    <t>ENR328</t>
  </si>
  <si>
    <t>onkar65@example.com</t>
  </si>
  <si>
    <t>Eshani Basak</t>
  </si>
  <si>
    <t>STU081</t>
  </si>
  <si>
    <t>ENR081</t>
  </si>
  <si>
    <t>nayantara21@example.org</t>
  </si>
  <si>
    <t>Zeeshan Sem</t>
  </si>
  <si>
    <t>raunakdugar@example.net</t>
  </si>
  <si>
    <t>Oorja Kibe</t>
  </si>
  <si>
    <t>STU472</t>
  </si>
  <si>
    <t>ENR472</t>
  </si>
  <si>
    <t>suleanya@example.org</t>
  </si>
  <si>
    <t>Dhruv Din</t>
  </si>
  <si>
    <t>STU1089</t>
  </si>
  <si>
    <t>ENR1089</t>
  </si>
  <si>
    <t>doshinitya@example.com</t>
  </si>
  <si>
    <t>Romil Joshi</t>
  </si>
  <si>
    <t>STU963</t>
  </si>
  <si>
    <t>ENR963</t>
  </si>
  <si>
    <t>rajagopalansumer@example.com</t>
  </si>
  <si>
    <t>Zeeshan Raman</t>
  </si>
  <si>
    <t>STU962</t>
  </si>
  <si>
    <t>ENR962</t>
  </si>
  <si>
    <t>ojasganguly@example.org</t>
  </si>
  <si>
    <t>Jayant Chaudhry</t>
  </si>
  <si>
    <t>advika24@example.org</t>
  </si>
  <si>
    <t>Sahil Sodhi</t>
  </si>
  <si>
    <t>STU086</t>
  </si>
  <si>
    <t>ENR086</t>
  </si>
  <si>
    <t>pchhabra@example.org</t>
  </si>
  <si>
    <t>Bhavin Master</t>
  </si>
  <si>
    <t>STU982</t>
  </si>
  <si>
    <t>ENR982</t>
  </si>
  <si>
    <t>dharhridaan@example.org</t>
  </si>
  <si>
    <t>Tushar Boase</t>
  </si>
  <si>
    <t>jivinmammen@example.net</t>
  </si>
  <si>
    <t>Vidur Sethi</t>
  </si>
  <si>
    <t>sundaramzoya@example.net</t>
  </si>
  <si>
    <t>Rati Srivastava</t>
  </si>
  <si>
    <t>hazel32@example.net</t>
  </si>
  <si>
    <t>Yashvi Mann</t>
  </si>
  <si>
    <t>STU249</t>
  </si>
  <si>
    <t>ENR249</t>
  </si>
  <si>
    <t>qmammen@example.org</t>
  </si>
  <si>
    <t>Diya Jhaveri</t>
  </si>
  <si>
    <t>STU240</t>
  </si>
  <si>
    <t>ENR240</t>
  </si>
  <si>
    <t>ishaankumer@example.net</t>
  </si>
  <si>
    <t>Zara Agarwal</t>
  </si>
  <si>
    <t>asetty@example.net</t>
  </si>
  <si>
    <t>Anya Grover</t>
  </si>
  <si>
    <t>STU927</t>
  </si>
  <si>
    <t>ENR927</t>
  </si>
  <si>
    <t>jivin14@example.org</t>
  </si>
  <si>
    <t>Kimaya Dara</t>
  </si>
  <si>
    <t>anaysubramaniam@example.org</t>
  </si>
  <si>
    <t>Parinaaz Date</t>
  </si>
  <si>
    <t>rajanayesha@example.com</t>
  </si>
  <si>
    <t>Mahika Sura</t>
  </si>
  <si>
    <t>divyanshbansal@example.com</t>
  </si>
  <si>
    <t>Ayesha Sama</t>
  </si>
  <si>
    <t>abramkumar@example.net</t>
  </si>
  <si>
    <t>Saksham Sharma</t>
  </si>
  <si>
    <t>riaan45@example.net</t>
  </si>
  <si>
    <t>Mahika Barad</t>
  </si>
  <si>
    <t>jayesh97@example.net</t>
  </si>
  <si>
    <t>Anay Chadha</t>
  </si>
  <si>
    <t>bdatta@example.com</t>
  </si>
  <si>
    <t>Kabir Kala</t>
  </si>
  <si>
    <t>hrege@example.com</t>
  </si>
  <si>
    <t>Siya Chad</t>
  </si>
  <si>
    <t>rati22@example.com</t>
  </si>
  <si>
    <t>Nehmat Bhasin</t>
  </si>
  <si>
    <t>indrajitgulati@example.net</t>
  </si>
  <si>
    <t>Aaina Shankar</t>
  </si>
  <si>
    <t>STU151</t>
  </si>
  <si>
    <t>ENR151</t>
  </si>
  <si>
    <t>jivintank@example.net</t>
  </si>
  <si>
    <t>Aniruddh Raval</t>
  </si>
  <si>
    <t>STU1187</t>
  </si>
  <si>
    <t>ENR1187</t>
  </si>
  <si>
    <t>manjariwagle@example.net</t>
  </si>
  <si>
    <t>Navya Brahmbhatt</t>
  </si>
  <si>
    <t>kabir24@example.net</t>
  </si>
  <si>
    <t>Ayesha Balasubramanian</t>
  </si>
  <si>
    <t>STU1180</t>
  </si>
  <si>
    <t>ENR1180</t>
  </si>
  <si>
    <t>vanya60@example.org</t>
  </si>
  <si>
    <t>Shayak Datta</t>
  </si>
  <si>
    <t>STU1182</t>
  </si>
  <si>
    <t>ENR1182</t>
  </si>
  <si>
    <t>odayal@example.org</t>
  </si>
  <si>
    <t>Uthkarsh Dara</t>
  </si>
  <si>
    <t>agoyal@example.net</t>
  </si>
  <si>
    <t>Elakshi Tank</t>
  </si>
  <si>
    <t>STU1168</t>
  </si>
  <si>
    <t>ENR1168</t>
  </si>
  <si>
    <t>taran31@example.org</t>
  </si>
  <si>
    <t>Shaan Batra</t>
  </si>
  <si>
    <t>STU800</t>
  </si>
  <si>
    <t>ENR800</t>
  </si>
  <si>
    <t>aarush61@example.com</t>
  </si>
  <si>
    <t>Advik Verma</t>
  </si>
  <si>
    <t>STU898</t>
  </si>
  <si>
    <t>ENR898</t>
  </si>
  <si>
    <t>nsaha@example.com</t>
  </si>
  <si>
    <t>Tiya Dyal</t>
  </si>
  <si>
    <t>STU664</t>
  </si>
  <si>
    <t>ENR664</t>
  </si>
  <si>
    <t>sachdevaanika@example.org</t>
  </si>
  <si>
    <t>Seher Hayer</t>
  </si>
  <si>
    <t>STU977</t>
  </si>
  <si>
    <t>ENR977</t>
  </si>
  <si>
    <t>keershlok@example.com</t>
  </si>
  <si>
    <t>Jayesh Sur</t>
  </si>
  <si>
    <t>STU902</t>
  </si>
  <si>
    <t>ENR902</t>
  </si>
  <si>
    <t>ssundaram@example.org</t>
  </si>
  <si>
    <t>Hridaan Bakshi</t>
  </si>
  <si>
    <t>STU669</t>
  </si>
  <si>
    <t>ENR669</t>
  </si>
  <si>
    <t>kgoda@example.org</t>
  </si>
  <si>
    <t>Gokul Sethi</t>
  </si>
  <si>
    <t>STU811</t>
  </si>
  <si>
    <t>ENR811</t>
  </si>
  <si>
    <t>walimohanlal@example.org</t>
  </si>
  <si>
    <t>Jivika Bhasin</t>
  </si>
  <si>
    <t>STU969</t>
  </si>
  <si>
    <t>ENR969</t>
  </si>
  <si>
    <t>htrivedi@example.org</t>
  </si>
  <si>
    <t>Zoya Gole</t>
  </si>
  <si>
    <t>STU042</t>
  </si>
  <si>
    <t>ENR042</t>
  </si>
  <si>
    <t>deolmamooty@example.net</t>
  </si>
  <si>
    <t>Shray Tiwari</t>
  </si>
  <si>
    <t>ivanganguly@example.com</t>
  </si>
  <si>
    <t>Adira De</t>
  </si>
  <si>
    <t>STU044</t>
  </si>
  <si>
    <t>ENR044</t>
  </si>
  <si>
    <t>gbumb@example.org</t>
  </si>
  <si>
    <t>Jivika Kara</t>
  </si>
  <si>
    <t>STU913</t>
  </si>
  <si>
    <t>ENR913</t>
  </si>
  <si>
    <t>kadeaaina@example.org</t>
  </si>
  <si>
    <t>Charvi Wadhwa</t>
  </si>
  <si>
    <t>STU064</t>
  </si>
  <si>
    <t>ENR064</t>
  </si>
  <si>
    <t>mchoudhury@example.net</t>
  </si>
  <si>
    <t>Nirvaan Dixit</t>
  </si>
  <si>
    <t>sunderkabir@example.net</t>
  </si>
  <si>
    <t>Keya Solanki</t>
  </si>
  <si>
    <t>kismatreddy@example.com</t>
  </si>
  <si>
    <t>Nirvaan Chaudhry</t>
  </si>
  <si>
    <t>dayalmyra@example.com</t>
  </si>
  <si>
    <t>Zara Shan</t>
  </si>
  <si>
    <t>STU052</t>
  </si>
  <si>
    <t>ENR052</t>
  </si>
  <si>
    <t>anahitashenoy@example.net</t>
  </si>
  <si>
    <t>Neelofar Raval</t>
  </si>
  <si>
    <t>STU928</t>
  </si>
  <si>
    <t>ENR928</t>
  </si>
  <si>
    <t>bbatta@example.net</t>
  </si>
  <si>
    <t>Anya Walla</t>
  </si>
  <si>
    <t>STU567</t>
  </si>
  <si>
    <t>ENR567</t>
  </si>
  <si>
    <t>vigmadhup@example.org</t>
  </si>
  <si>
    <t>Nirvaan Aggarwal</t>
  </si>
  <si>
    <t>STU686</t>
  </si>
  <si>
    <t>ENR686</t>
  </si>
  <si>
    <t>navya12@example.com</t>
  </si>
  <si>
    <t>Amani Khosla</t>
  </si>
  <si>
    <t>STU099</t>
  </si>
  <si>
    <t>ENR099</t>
  </si>
  <si>
    <t>pdivan@example.net</t>
  </si>
  <si>
    <t>Dhanuk Vasa</t>
  </si>
  <si>
    <t>STU771</t>
  </si>
  <si>
    <t>ENR771</t>
  </si>
  <si>
    <t>anya26@example.org</t>
  </si>
  <si>
    <t>Siya Chowdhury</t>
  </si>
  <si>
    <t>samradarshit@example.net</t>
  </si>
  <si>
    <t>Pari Lata</t>
  </si>
  <si>
    <t>nehmatgoyal@example.com</t>
  </si>
  <si>
    <t>Samarth Banik</t>
  </si>
  <si>
    <t>STU083</t>
  </si>
  <si>
    <t>ENR083</t>
  </si>
  <si>
    <t>nakul49@example.org</t>
  </si>
  <si>
    <t>Zaina Venkataraman</t>
  </si>
  <si>
    <t>STU093</t>
  </si>
  <si>
    <t>ENR093</t>
  </si>
  <si>
    <t>lavanya15@example.net</t>
  </si>
  <si>
    <t>Shlok Bhatnagar</t>
  </si>
  <si>
    <t>STU847</t>
  </si>
  <si>
    <t>ENR847</t>
  </si>
  <si>
    <t>etata@example.org</t>
  </si>
  <si>
    <t>Adira Wagle</t>
  </si>
  <si>
    <t>STU785</t>
  </si>
  <si>
    <t>ENR785</t>
  </si>
  <si>
    <t>taransethi@example.net</t>
  </si>
  <si>
    <t>Damini Bains</t>
  </si>
  <si>
    <t>STU1143</t>
  </si>
  <si>
    <t>ENR1143</t>
  </si>
  <si>
    <t>asodhi@example.net</t>
  </si>
  <si>
    <t>Dhanuk Srivastava</t>
  </si>
  <si>
    <t>STU261</t>
  </si>
  <si>
    <t>ENR261</t>
  </si>
  <si>
    <t>gokul18@example.org</t>
  </si>
  <si>
    <t>Saanvi De</t>
  </si>
  <si>
    <t>STU1142</t>
  </si>
  <si>
    <t>ENR1142</t>
  </si>
  <si>
    <t>guhasara@example.net</t>
  </si>
  <si>
    <t>Seher Mand</t>
  </si>
  <si>
    <t>STU1104</t>
  </si>
  <si>
    <t>ENR1104</t>
  </si>
  <si>
    <t>xsarraf@example.com</t>
  </si>
  <si>
    <t>Seher Sahni</t>
  </si>
  <si>
    <t>STU255</t>
  </si>
  <si>
    <t>ENR255</t>
  </si>
  <si>
    <t>tailordishani@example.com</t>
  </si>
  <si>
    <t>Sahil Rana</t>
  </si>
  <si>
    <t>STU530</t>
  </si>
  <si>
    <t>ENR530</t>
  </si>
  <si>
    <t>shraydada@example.org</t>
  </si>
  <si>
    <t>Ahana  Shere</t>
  </si>
  <si>
    <t>kurianjayant@example.net</t>
  </si>
  <si>
    <t>Elakshi Chauhan</t>
  </si>
  <si>
    <t>STU532</t>
  </si>
  <si>
    <t>ENR532</t>
  </si>
  <si>
    <t>yasminwali@example.net</t>
  </si>
  <si>
    <t>Vivaan Bhat</t>
  </si>
  <si>
    <t>tchopra@example.net</t>
  </si>
  <si>
    <t>Anika Kaur</t>
  </si>
  <si>
    <t>STU590</t>
  </si>
  <si>
    <t>ENR590</t>
  </si>
  <si>
    <t>wasonarnav@example.com</t>
  </si>
  <si>
    <t>Vritika Mammen</t>
  </si>
  <si>
    <t>STU078</t>
  </si>
  <si>
    <t>ENR078</t>
  </si>
  <si>
    <t>ishaansule@example.org</t>
  </si>
  <si>
    <t>Aaryahi Hayer</t>
  </si>
  <si>
    <t>STU1045</t>
  </si>
  <si>
    <t>ENR1045</t>
  </si>
  <si>
    <t>pari51@example.net</t>
  </si>
  <si>
    <t>Divyansh Deol</t>
  </si>
  <si>
    <t>STU069</t>
  </si>
  <si>
    <t>ENR069</t>
  </si>
  <si>
    <t>nakul52@example.net</t>
  </si>
  <si>
    <t>Eva Dutta</t>
  </si>
  <si>
    <t>STU583</t>
  </si>
  <si>
    <t>ENR583</t>
  </si>
  <si>
    <t>navyadada@example.com</t>
  </si>
  <si>
    <t>Ranbir Bassi</t>
  </si>
  <si>
    <t>khannarhea@example.net</t>
  </si>
  <si>
    <t>Shanaya Kohli</t>
  </si>
  <si>
    <t>STU1127</t>
  </si>
  <si>
    <t>ENR1127</t>
  </si>
  <si>
    <t>indransmangat@example.org</t>
  </si>
  <si>
    <t>Eshani Apte</t>
  </si>
  <si>
    <t>STU058</t>
  </si>
  <si>
    <t>ENR058</t>
  </si>
  <si>
    <t>gmani@example.net</t>
  </si>
  <si>
    <t>Sahil Khatri</t>
  </si>
  <si>
    <t>STU643</t>
  </si>
  <si>
    <t>ENR643</t>
  </si>
  <si>
    <t>htiwari@example.com</t>
  </si>
  <si>
    <t>Vaibhav Virk</t>
  </si>
  <si>
    <t>STU482</t>
  </si>
  <si>
    <t>ENR482</t>
  </si>
  <si>
    <t>riya42@example.net</t>
  </si>
  <si>
    <t>Indrans Chaudry</t>
  </si>
  <si>
    <t>STU570</t>
  </si>
  <si>
    <t>ENR570</t>
  </si>
  <si>
    <t>seher37@example.org</t>
  </si>
  <si>
    <t>Miraya Atwal</t>
  </si>
  <si>
    <t>STU709</t>
  </si>
  <si>
    <t>ENR709</t>
  </si>
  <si>
    <t>nehmat57@example.net</t>
  </si>
  <si>
    <t>STU248</t>
  </si>
  <si>
    <t>ENR248</t>
  </si>
  <si>
    <t>anvidalal@example.com</t>
  </si>
  <si>
    <t>Advika Sarkar</t>
  </si>
  <si>
    <t>STU1145</t>
  </si>
  <si>
    <t>ENR1145</t>
  </si>
  <si>
    <t>malhotrapari@example.org</t>
  </si>
  <si>
    <t>Trisha Gala</t>
  </si>
  <si>
    <t>nityamani@example.com</t>
  </si>
  <si>
    <t>Yuvraj  Rastogi</t>
  </si>
  <si>
    <t>STU426</t>
  </si>
  <si>
    <t>ENR426</t>
  </si>
  <si>
    <t>zeeshan70@example.org</t>
  </si>
  <si>
    <t>Bhamini Lad</t>
  </si>
  <si>
    <t>STU178</t>
  </si>
  <si>
    <t>ENR178</t>
  </si>
  <si>
    <t>yuvaankrishnan@example.org</t>
  </si>
  <si>
    <t>Mamooty Ganguly</t>
  </si>
  <si>
    <t>STU1007</t>
  </si>
  <si>
    <t>ENR1007</t>
  </si>
  <si>
    <t>fganesh@example.com</t>
  </si>
  <si>
    <t>Shray Zacharia</t>
  </si>
  <si>
    <t>hchahal@example.net</t>
  </si>
  <si>
    <t>Bhamini Sami</t>
  </si>
  <si>
    <t>psubramanian@example.com</t>
  </si>
  <si>
    <t>Riya Kara</t>
  </si>
  <si>
    <t>STU984</t>
  </si>
  <si>
    <t>ENR984</t>
  </si>
  <si>
    <t>emir40@example.net</t>
  </si>
  <si>
    <t>Taimur Dhaliwal</t>
  </si>
  <si>
    <t>STU205</t>
  </si>
  <si>
    <t>ENR205</t>
  </si>
  <si>
    <t>divij02@example.org</t>
  </si>
  <si>
    <t>Advika Goel</t>
  </si>
  <si>
    <t>STU746</t>
  </si>
  <si>
    <t>ENR746</t>
  </si>
  <si>
    <t>oahluwalia@example.com</t>
  </si>
  <si>
    <t>Ranbir Sami</t>
  </si>
  <si>
    <t>STU1061</t>
  </si>
  <si>
    <t>ENR1061</t>
  </si>
  <si>
    <t>bahlvritika@example.com</t>
  </si>
  <si>
    <t>Dhanush Lad</t>
  </si>
  <si>
    <t>STU1059</t>
  </si>
  <si>
    <t>ENR1059</t>
  </si>
  <si>
    <t>rattannavya@example.net</t>
  </si>
  <si>
    <t>Hunar Deol</t>
  </si>
  <si>
    <t>iyengarparinaaz@example.net</t>
  </si>
  <si>
    <t>Shamik Sarin</t>
  </si>
  <si>
    <t>STU726</t>
  </si>
  <si>
    <t>ENR726</t>
  </si>
  <si>
    <t>bhavinbora@example.com</t>
  </si>
  <si>
    <t>Kiaan Chand</t>
  </si>
  <si>
    <t>STU1191</t>
  </si>
  <si>
    <t>ENR1191</t>
  </si>
  <si>
    <t>qganguly@example.com</t>
  </si>
  <si>
    <t>Rhea Butala</t>
  </si>
  <si>
    <t>STU361</t>
  </si>
  <si>
    <t>ENR361</t>
  </si>
  <si>
    <t>nishithsabharwal@example.com</t>
  </si>
  <si>
    <t>Umang Dara</t>
  </si>
  <si>
    <t>gollakaira@example.com</t>
  </si>
  <si>
    <t>Zara Sangha</t>
  </si>
  <si>
    <t>STU1027</t>
  </si>
  <si>
    <t>ENR1027</t>
  </si>
  <si>
    <t>zaggarwal@example.com</t>
  </si>
  <si>
    <t>Prisha Wable</t>
  </si>
  <si>
    <t>aainaanne@example.org</t>
  </si>
  <si>
    <t>Fateh Setty</t>
  </si>
  <si>
    <t>tsahni@example.org</t>
  </si>
  <si>
    <t>Kashvi Garg</t>
  </si>
  <si>
    <t>STU779</t>
  </si>
  <si>
    <t>ENR779</t>
  </si>
  <si>
    <t>shamik57@example.net</t>
  </si>
  <si>
    <t>Hridaan Chaudhari</t>
  </si>
  <si>
    <t>STU1042</t>
  </si>
  <si>
    <t>ENR1042</t>
  </si>
  <si>
    <t>mangathridaan@example.com</t>
  </si>
  <si>
    <t>Zeeshan Chadha</t>
  </si>
  <si>
    <t>STU193</t>
  </si>
  <si>
    <t>ENR193</t>
  </si>
  <si>
    <t>qdass@example.net</t>
  </si>
  <si>
    <t>Nitara Mall</t>
  </si>
  <si>
    <t>STU723</t>
  </si>
  <si>
    <t>ENR723</t>
  </si>
  <si>
    <t>pgoda@example.com</t>
  </si>
  <si>
    <t>Raghav Bahl</t>
  </si>
  <si>
    <t>STU048</t>
  </si>
  <si>
    <t>ENR048</t>
  </si>
  <si>
    <t>rameshbiju@example.net</t>
  </si>
  <si>
    <t>Taran Acharya</t>
  </si>
  <si>
    <t>STU767</t>
  </si>
  <si>
    <t>ENR767</t>
  </si>
  <si>
    <t>ojasviswanathan@example.org</t>
  </si>
  <si>
    <t>Dharmajan Mallick</t>
  </si>
  <si>
    <t>randhawaarhaan@example.org</t>
  </si>
  <si>
    <t>Sara Sarna</t>
  </si>
  <si>
    <t>sureshvedika@example.net</t>
  </si>
  <si>
    <t>Shanaya Cherian</t>
  </si>
  <si>
    <t>STU631</t>
  </si>
  <si>
    <t>ENR631</t>
  </si>
  <si>
    <t>golaaradhya@example.com</t>
  </si>
  <si>
    <t>Ayesha Kara</t>
  </si>
  <si>
    <t>phayre@example.com</t>
  </si>
  <si>
    <t>Purab Shukla</t>
  </si>
  <si>
    <t>zeeshanbuch@example.org</t>
  </si>
  <si>
    <t>STU617</t>
  </si>
  <si>
    <t>ENR617</t>
  </si>
  <si>
    <t>sathenavya@example.com</t>
  </si>
  <si>
    <t>Hunar Hans</t>
  </si>
  <si>
    <t>STU753</t>
  </si>
  <si>
    <t>ENR753</t>
  </si>
  <si>
    <t>chopraeshani@example.org</t>
  </si>
  <si>
    <t>Zara Mandal</t>
  </si>
  <si>
    <t>STU1153</t>
  </si>
  <si>
    <t>ENR1153</t>
  </si>
  <si>
    <t>vidurbajwa@example.org</t>
  </si>
  <si>
    <t>Bhamini Bhatnagar</t>
  </si>
  <si>
    <t>kashvi43@example.org</t>
  </si>
  <si>
    <t>Raghav Walia</t>
  </si>
  <si>
    <t>sumer60@example.com</t>
  </si>
  <si>
    <t>Yakshit Sawhney</t>
  </si>
  <si>
    <t>adah57@example.com</t>
  </si>
  <si>
    <t>Neelofar Goyal</t>
  </si>
  <si>
    <t>STU1160</t>
  </si>
  <si>
    <t>ENR1160</t>
  </si>
  <si>
    <t>seshadridevansh@example.com</t>
  </si>
  <si>
    <t>Tara Gill</t>
  </si>
  <si>
    <t>gatik01@example.org</t>
  </si>
  <si>
    <t>Anika Gokhale</t>
  </si>
  <si>
    <t>STU743</t>
  </si>
  <si>
    <t>ENR743</t>
  </si>
  <si>
    <t>ndeep@example.org</t>
  </si>
  <si>
    <t>Vivaan Grewal</t>
  </si>
  <si>
    <t>STU1177</t>
  </si>
  <si>
    <t>ENR1177</t>
  </si>
  <si>
    <t>zara79@example.com</t>
  </si>
  <si>
    <t>Uthkarsh Suri</t>
  </si>
  <si>
    <t>STU1175</t>
  </si>
  <si>
    <t>ENR1175</t>
  </si>
  <si>
    <t>prishakhatri@example.org</t>
  </si>
  <si>
    <t>Neelofar Lall</t>
  </si>
  <si>
    <t>STU676</t>
  </si>
  <si>
    <t>ENR676</t>
  </si>
  <si>
    <t>hkata@example.com</t>
  </si>
  <si>
    <t>Suhana Deshpande</t>
  </si>
  <si>
    <t>STU1174</t>
  </si>
  <si>
    <t>ENR1174</t>
  </si>
  <si>
    <t>bavashamik@example.net</t>
  </si>
  <si>
    <t>Divyansh Lalla</t>
  </si>
  <si>
    <t>jivin28@example.org</t>
  </si>
  <si>
    <t>Elakshi Kar</t>
  </si>
  <si>
    <t>ravelnehmat@example.com</t>
  </si>
  <si>
    <t>Tarini Bedi</t>
  </si>
  <si>
    <t>STU150</t>
  </si>
  <si>
    <t>ENR150</t>
  </si>
  <si>
    <t>taimursane@example.net</t>
  </si>
  <si>
    <t>Faiyaz Sha</t>
  </si>
  <si>
    <t>kavya43@example.net</t>
  </si>
  <si>
    <t>Indrajit Thaker</t>
  </si>
  <si>
    <t>STU575</t>
  </si>
  <si>
    <t>ENR575</t>
  </si>
  <si>
    <t>vihaan98@example.net</t>
  </si>
  <si>
    <t>Anay Bobal</t>
  </si>
  <si>
    <t>STU270</t>
  </si>
  <si>
    <t>ENR270</t>
  </si>
  <si>
    <t>advik75@example.org</t>
  </si>
  <si>
    <t>Vritika Sami</t>
  </si>
  <si>
    <t>riaan57@example.org</t>
  </si>
  <si>
    <t>Madhup Chahal</t>
  </si>
  <si>
    <t>STU365</t>
  </si>
  <si>
    <t>ENR365</t>
  </si>
  <si>
    <t>miraan18@example.net</t>
  </si>
  <si>
    <t>Emir Choudhury</t>
  </si>
  <si>
    <t>ekhatri@example.net</t>
  </si>
  <si>
    <t>Saksham Dada</t>
  </si>
  <si>
    <t>dmahajan@example.net</t>
  </si>
  <si>
    <t>Shayak Chowdhury</t>
  </si>
  <si>
    <t>STU283</t>
  </si>
  <si>
    <t>ENR283</t>
  </si>
  <si>
    <t>pihu15@example.net</t>
  </si>
  <si>
    <t>Sara Suresh</t>
  </si>
  <si>
    <t>STU462</t>
  </si>
  <si>
    <t>ENR462</t>
  </si>
  <si>
    <t>dharmajanhora@example.net</t>
  </si>
  <si>
    <t>Dhanuk Chandra</t>
  </si>
  <si>
    <t>ndeo@example.net</t>
  </si>
  <si>
    <t>Miraya Ratti</t>
  </si>
  <si>
    <t>drishya68@example.org</t>
  </si>
  <si>
    <t>Faiyaz Hans</t>
  </si>
  <si>
    <t>STU031</t>
  </si>
  <si>
    <t>ENR031</t>
  </si>
  <si>
    <t>ivan41@example.net</t>
  </si>
  <si>
    <t>Oorja Ghose</t>
  </si>
  <si>
    <t>STU438</t>
  </si>
  <si>
    <t>ENR438</t>
  </si>
  <si>
    <t>nirvaandutt@example.org</t>
  </si>
  <si>
    <t>Tara Kala</t>
  </si>
  <si>
    <t>uppalkartik@example.net</t>
  </si>
  <si>
    <t>Nehmat Bakshi</t>
  </si>
  <si>
    <t>seher32@example.com</t>
  </si>
  <si>
    <t>Nitya Jaggi</t>
  </si>
  <si>
    <t>STU029</t>
  </si>
  <si>
    <t>ENR029</t>
  </si>
  <si>
    <t>hrishita33@example.com</t>
  </si>
  <si>
    <t>Kiara Koshy</t>
  </si>
  <si>
    <t>ishitasharma@example.com</t>
  </si>
  <si>
    <t>Vidur Sood</t>
  </si>
  <si>
    <t>dugarmamooty@example.net</t>
  </si>
  <si>
    <t>Rohan Ghose</t>
  </si>
  <si>
    <t>STU407</t>
  </si>
  <si>
    <t>ENR407</t>
  </si>
  <si>
    <t>akarshbhatnagar@example.com</t>
  </si>
  <si>
    <t>Manjari Garg</t>
  </si>
  <si>
    <t>STU1035</t>
  </si>
  <si>
    <t>ENR1035</t>
  </si>
  <si>
    <t>rohan80@example.net</t>
  </si>
  <si>
    <t>Urvi Dani</t>
  </si>
  <si>
    <t>STU398</t>
  </si>
  <si>
    <t>ENR398</t>
  </si>
  <si>
    <t>reyansh21@example.org</t>
  </si>
  <si>
    <t>Kiaan Suresh</t>
  </si>
  <si>
    <t>dhruv72@example.com</t>
  </si>
  <si>
    <t>Kanav Edwin</t>
  </si>
  <si>
    <t>STU129</t>
  </si>
  <si>
    <t>ENR129</t>
  </si>
  <si>
    <t>kimayavarughese@example.net</t>
  </si>
  <si>
    <t>Ehsaan Rao</t>
  </si>
  <si>
    <t>krishnakimaya@example.com</t>
  </si>
  <si>
    <t>zseshadri@example.com</t>
  </si>
  <si>
    <t>Shayak Srinivas</t>
  </si>
  <si>
    <t>STU1099</t>
  </si>
  <si>
    <t>ENR1099</t>
  </si>
  <si>
    <t>nbarad@example.org</t>
  </si>
  <si>
    <t>Navya Garde</t>
  </si>
  <si>
    <t>STU095</t>
  </si>
  <si>
    <t>ENR095</t>
  </si>
  <si>
    <t>ranbirlanka@example.org</t>
  </si>
  <si>
    <t>Nitya Chaudhry</t>
  </si>
  <si>
    <t>STU920</t>
  </si>
  <si>
    <t>ENR920</t>
  </si>
  <si>
    <t>raghavtella@example.net</t>
  </si>
  <si>
    <t>Ivan Balan</t>
  </si>
  <si>
    <t>STU875</t>
  </si>
  <si>
    <t>ENR875</t>
  </si>
  <si>
    <t>baiju52@example.net</t>
  </si>
  <si>
    <t>Riaan Dixit</t>
  </si>
  <si>
    <t>STU1123</t>
  </si>
  <si>
    <t>ENR1123</t>
  </si>
  <si>
    <t>dtiwari@example.org</t>
  </si>
  <si>
    <t>Azad Deol</t>
  </si>
  <si>
    <t>prerakghose@example.net</t>
  </si>
  <si>
    <t>Raunak Srivastava</t>
  </si>
  <si>
    <t>STU876</t>
  </si>
  <si>
    <t>ENR876</t>
  </si>
  <si>
    <t>myradevi@example.com</t>
  </si>
  <si>
    <t>Kaira Sheth</t>
  </si>
  <si>
    <t>STU899</t>
  </si>
  <si>
    <t>ENR899</t>
  </si>
  <si>
    <t>kkhalsa@example.org</t>
  </si>
  <si>
    <t>Anya Gera</t>
  </si>
  <si>
    <t>STU582</t>
  </si>
  <si>
    <t>ENR582</t>
  </si>
  <si>
    <t>himmat74@example.org</t>
  </si>
  <si>
    <t>Samiha Singhal</t>
  </si>
  <si>
    <t>purabchanda@example.net</t>
  </si>
  <si>
    <t>Divit Johal</t>
  </si>
  <si>
    <t>ishaansarna@example.com</t>
  </si>
  <si>
    <t>Kabir Kaul</t>
  </si>
  <si>
    <t>raukaira@example.org</t>
  </si>
  <si>
    <t>Divij Badal</t>
  </si>
  <si>
    <t>ulata@example.com</t>
  </si>
  <si>
    <t>Jivika Gupta</t>
  </si>
  <si>
    <t>irabobal@example.com</t>
  </si>
  <si>
    <t>Romil Dash</t>
  </si>
  <si>
    <t>STU410</t>
  </si>
  <si>
    <t>ENR410</t>
  </si>
  <si>
    <t>bediazad@example.com</t>
  </si>
  <si>
    <t>Ivan Karnik</t>
  </si>
  <si>
    <t>STU388</t>
  </si>
  <si>
    <t>ENR388</t>
  </si>
  <si>
    <t>darshit37@example.net</t>
  </si>
  <si>
    <t>Keya Aurora</t>
  </si>
  <si>
    <t>STU612</t>
  </si>
  <si>
    <t>ENR612</t>
  </si>
  <si>
    <t>jgaba@example.net</t>
  </si>
  <si>
    <t>Saira Gaba</t>
  </si>
  <si>
    <t>STU761</t>
  </si>
  <si>
    <t>ENR761</t>
  </si>
  <si>
    <t>tvirk@example.com</t>
  </si>
  <si>
    <t>Jayesh Singh</t>
  </si>
  <si>
    <t>avenkatesh@example.org</t>
  </si>
  <si>
    <t>Taran Tank</t>
  </si>
  <si>
    <t>STU756</t>
  </si>
  <si>
    <t>ENR756</t>
  </si>
  <si>
    <t>nishithseshadri@example.org</t>
  </si>
  <si>
    <t>Shanaya Banik</t>
  </si>
  <si>
    <t>STU636</t>
  </si>
  <si>
    <t>ENR636</t>
  </si>
  <si>
    <t>kashyapneelofar@example.org</t>
  </si>
  <si>
    <t>Kartik Rajagopal</t>
  </si>
  <si>
    <t>varkeyishaan@example.org</t>
  </si>
  <si>
    <t>Samaira Deshpande</t>
  </si>
  <si>
    <t>STU666</t>
  </si>
  <si>
    <t>ENR666</t>
  </si>
  <si>
    <t>praja@example.com</t>
  </si>
  <si>
    <t>Myra Garg</t>
  </si>
  <si>
    <t>dchacko@example.com</t>
  </si>
  <si>
    <t>Ojas Konda</t>
  </si>
  <si>
    <t>balakrishnanrohan@example.net</t>
  </si>
  <si>
    <t>Anya Jani</t>
  </si>
  <si>
    <t>STU163</t>
  </si>
  <si>
    <t>ENR163</t>
  </si>
  <si>
    <t>atwalkashvi@example.com</t>
  </si>
  <si>
    <t>Mahika Singh</t>
  </si>
  <si>
    <t>yuvraj-karpe@example.org</t>
  </si>
  <si>
    <t>Samaira Kumer</t>
  </si>
  <si>
    <t>STU604</t>
  </si>
  <si>
    <t>ENR604</t>
  </si>
  <si>
    <t>bhamini09@example.org</t>
  </si>
  <si>
    <t>STU290</t>
  </si>
  <si>
    <t>ENR290</t>
  </si>
  <si>
    <t>kabir77@example.org</t>
  </si>
  <si>
    <t>Tushar Madan</t>
  </si>
  <si>
    <t>STU721</t>
  </si>
  <si>
    <t>ENR721</t>
  </si>
  <si>
    <t>seherboase@example.net</t>
  </si>
  <si>
    <t>Dhanuk Goswami</t>
  </si>
  <si>
    <t>jhanvidoshi@example.com</t>
  </si>
  <si>
    <t>Nirvaan Kala</t>
  </si>
  <si>
    <t>kumarvanya@example.com</t>
  </si>
  <si>
    <t>Urvi Chandra</t>
  </si>
  <si>
    <t>STU153</t>
  </si>
  <si>
    <t>ENR153</t>
  </si>
  <si>
    <t>ryan87@example.org</t>
  </si>
  <si>
    <t>Yuvraj  Vasa</t>
  </si>
  <si>
    <t>STU102</t>
  </si>
  <si>
    <t>ENR102</t>
  </si>
  <si>
    <t>kabirchaudhary@example.com</t>
  </si>
  <si>
    <t>Devansh Arya</t>
  </si>
  <si>
    <t>STU028</t>
  </si>
  <si>
    <t>ENR028</t>
  </si>
  <si>
    <t>advikahluwalia@example.com</t>
  </si>
  <si>
    <t>Zain Sankaran</t>
  </si>
  <si>
    <t>STU1090</t>
  </si>
  <si>
    <t>ENR1090</t>
  </si>
  <si>
    <t>sana64@example.org</t>
  </si>
  <si>
    <t>Manjari Sandal</t>
  </si>
  <si>
    <t>STU823</t>
  </si>
  <si>
    <t>ENR823</t>
  </si>
  <si>
    <t>ehsaankala@example.net</t>
  </si>
  <si>
    <t>Indranil Bawa</t>
  </si>
  <si>
    <t>STU1095</t>
  </si>
  <si>
    <t>ENR1095</t>
  </si>
  <si>
    <t>lavanya76@example.org</t>
  </si>
  <si>
    <t>Anika Chakrabarti</t>
  </si>
  <si>
    <t>STU1169</t>
  </si>
  <si>
    <t>ENR1169</t>
  </si>
  <si>
    <t>singhryan@example.com</t>
  </si>
  <si>
    <t>Ryan Subramanian</t>
  </si>
  <si>
    <t>STU926</t>
  </si>
  <si>
    <t>ENR926</t>
  </si>
  <si>
    <t>shray43@example.com</t>
  </si>
  <si>
    <t>Shlok Sachdev</t>
  </si>
  <si>
    <t>STU121</t>
  </si>
  <si>
    <t>ENR121</t>
  </si>
  <si>
    <t>manihiran@example.com</t>
  </si>
  <si>
    <t>Rasha Batra</t>
  </si>
  <si>
    <t>uthkarshchand@example.com</t>
  </si>
  <si>
    <t>Shamik Sehgal</t>
  </si>
  <si>
    <t>STU806</t>
  </si>
  <si>
    <t>ENR806</t>
  </si>
  <si>
    <t>evarughese@example.com</t>
  </si>
  <si>
    <t>Pihu Tank</t>
  </si>
  <si>
    <t>STU002</t>
  </si>
  <si>
    <t>ENR002</t>
  </si>
  <si>
    <t>sunderlavanya@example.org</t>
  </si>
  <si>
    <t>Kabir Bath</t>
  </si>
  <si>
    <t>STU892</t>
  </si>
  <si>
    <t>ENR892</t>
  </si>
  <si>
    <t>kdasgupta@example.com</t>
  </si>
  <si>
    <t>Mannat Dugar</t>
  </si>
  <si>
    <t>STU072</t>
  </si>
  <si>
    <t>ENR072</t>
  </si>
  <si>
    <t>aarna52@example.org</t>
  </si>
  <si>
    <t>Umang Raman</t>
  </si>
  <si>
    <t>hansh09@example.org</t>
  </si>
  <si>
    <t>Charvi Dugar</t>
  </si>
  <si>
    <t>STU1146</t>
  </si>
  <si>
    <t>ENR1146</t>
  </si>
  <si>
    <t>bbhatt@example.org</t>
  </si>
  <si>
    <t>Nirvaan Bawa</t>
  </si>
  <si>
    <t>STU888</t>
  </si>
  <si>
    <t>ENR888</t>
  </si>
  <si>
    <t>tkrishnamurthy@example.org</t>
  </si>
  <si>
    <t>Saanvi Sarin</t>
  </si>
  <si>
    <t>STU777</t>
  </si>
  <si>
    <t>ENR777</t>
  </si>
  <si>
    <t>stuvangokhale@example.net</t>
  </si>
  <si>
    <t>Shayak Baria</t>
  </si>
  <si>
    <t>samar53@example.net</t>
  </si>
  <si>
    <t>Vivaan Saha</t>
  </si>
  <si>
    <t>STU871</t>
  </si>
  <si>
    <t>ENR871</t>
  </si>
  <si>
    <t>kdevan@example.com</t>
  </si>
  <si>
    <t>Ela Gole</t>
  </si>
  <si>
    <t>STU1032</t>
  </si>
  <si>
    <t>ENR1032</t>
  </si>
  <si>
    <t>suradivit@example.org</t>
  </si>
  <si>
    <t>Suhana Manne</t>
  </si>
  <si>
    <t>ayeshashukla@example.org</t>
  </si>
  <si>
    <t>Ela Vig</t>
  </si>
  <si>
    <t>STU782</t>
  </si>
  <si>
    <t>ENR782</t>
  </si>
  <si>
    <t>jhanvishenoy@example.org</t>
  </si>
  <si>
    <t>Indranil Johal</t>
  </si>
  <si>
    <t>STU943</t>
  </si>
  <si>
    <t>ENR943</t>
  </si>
  <si>
    <t>fbal@example.net</t>
  </si>
  <si>
    <t>Hridaan Rama</t>
  </si>
  <si>
    <t>STU834</t>
  </si>
  <si>
    <t>ENR834</t>
  </si>
  <si>
    <t>kartikvasa@example.com</t>
  </si>
  <si>
    <t>Kabir Sarraf</t>
  </si>
  <si>
    <t>STU668</t>
  </si>
  <si>
    <t>ENR668</t>
  </si>
  <si>
    <t>nbrahmbhatt@example.org</t>
  </si>
  <si>
    <t>Nehmat Sandal</t>
  </si>
  <si>
    <t>STU922</t>
  </si>
  <si>
    <t>ENR922</t>
  </si>
  <si>
    <t>dishani08@example.com</t>
  </si>
  <si>
    <t>Navya Seshadri</t>
  </si>
  <si>
    <t>fatehkala@example.net</t>
  </si>
  <si>
    <t>Ira Loke</t>
  </si>
  <si>
    <t>Navya Sharma</t>
  </si>
  <si>
    <t>vedika55@example.net</t>
  </si>
  <si>
    <t>Kismat Hari</t>
  </si>
  <si>
    <t>krishkartik@example.net</t>
  </si>
  <si>
    <t>STU949</t>
  </si>
  <si>
    <t>ENR949</t>
  </si>
  <si>
    <t>kanthiran@example.org</t>
  </si>
  <si>
    <t>Mishti Deshpande</t>
  </si>
  <si>
    <t>kacharya@example.org</t>
  </si>
  <si>
    <t>Zeeshan Bhagat</t>
  </si>
  <si>
    <t>STU1110</t>
  </si>
  <si>
    <t>ENR1110</t>
  </si>
  <si>
    <t>biju26@example.com</t>
  </si>
  <si>
    <t>Taran Kumar</t>
  </si>
  <si>
    <t>jbakshi@example.org</t>
  </si>
  <si>
    <t>Rania Tandon</t>
  </si>
  <si>
    <t>raunak98@example.org</t>
  </si>
  <si>
    <t>Arhaan Krishna</t>
  </si>
  <si>
    <t>STU542</t>
  </si>
  <si>
    <t>ENR542</t>
  </si>
  <si>
    <t>mehuldhingra@example.org</t>
  </si>
  <si>
    <t>Samarth Bail</t>
  </si>
  <si>
    <t>STU629</t>
  </si>
  <si>
    <t>ENR629</t>
  </si>
  <si>
    <t>venkataramannitya@example.com</t>
  </si>
  <si>
    <t>Mohanlal Agrawal</t>
  </si>
  <si>
    <t>STU628</t>
  </si>
  <si>
    <t>ENR628</t>
  </si>
  <si>
    <t>anay66@example.com</t>
  </si>
  <si>
    <t>Dishani Vohra</t>
  </si>
  <si>
    <t>chaudhryuthkarsh@example.com</t>
  </si>
  <si>
    <t>Azad Zachariah</t>
  </si>
  <si>
    <t>STU235</t>
  </si>
  <si>
    <t>ENR235</t>
  </si>
  <si>
    <t>xkapoor@example.net</t>
  </si>
  <si>
    <t>Ehsaan Ahuja</t>
  </si>
  <si>
    <t>STU584</t>
  </si>
  <si>
    <t>ENR584</t>
  </si>
  <si>
    <t>aayush61@example.com</t>
  </si>
  <si>
    <t>Shanaya Soman</t>
  </si>
  <si>
    <t>gatik44@example.net</t>
  </si>
  <si>
    <t>Raghav Rastogi</t>
  </si>
  <si>
    <t>STU853</t>
  </si>
  <si>
    <t>ENR853</t>
  </si>
  <si>
    <t>pganguly@example.net</t>
  </si>
  <si>
    <t>Samaira Krishnan</t>
  </si>
  <si>
    <t>STU117</t>
  </si>
  <si>
    <t>ENR117</t>
  </si>
  <si>
    <t>azad97@example.com</t>
  </si>
  <si>
    <t>Kismat Chanda</t>
  </si>
  <si>
    <t>mvaidya@example.net</t>
  </si>
  <si>
    <t>Mohanlal Garg</t>
  </si>
  <si>
    <t>loyalaaryahi@example.com</t>
  </si>
  <si>
    <t>Rohan Balakrishnan</t>
  </si>
  <si>
    <t>msachdeva@example.com</t>
  </si>
  <si>
    <t>Jiya Wason</t>
  </si>
  <si>
    <t>STU559</t>
  </si>
  <si>
    <t>ENR559</t>
  </si>
  <si>
    <t>jivin14@example.net</t>
  </si>
  <si>
    <t>Gokul Vasa</t>
  </si>
  <si>
    <t>STU084</t>
  </si>
  <si>
    <t>ENR084</t>
  </si>
  <si>
    <t>advik97@example.org</t>
  </si>
  <si>
    <t>Shlok Rana</t>
  </si>
  <si>
    <t>STU952</t>
  </si>
  <si>
    <t>ENR952</t>
  </si>
  <si>
    <t>guhaadah@example.com</t>
  </si>
  <si>
    <t>Anay Warrior</t>
  </si>
  <si>
    <t>STU353</t>
  </si>
  <si>
    <t>ENR353</t>
  </si>
  <si>
    <t>mahikasunder@example.com</t>
  </si>
  <si>
    <t>Priyansh Rau</t>
  </si>
  <si>
    <t>ryan43@example.com</t>
  </si>
  <si>
    <t>Amani Sura</t>
  </si>
  <si>
    <t>STU1057</t>
  </si>
  <si>
    <t>ENR1057</t>
  </si>
  <si>
    <t>keya71@example.net</t>
  </si>
  <si>
    <t>Shray Sethi</t>
  </si>
  <si>
    <t>STU022</t>
  </si>
  <si>
    <t>ENR022</t>
  </si>
  <si>
    <t>adahsingh@example.org</t>
  </si>
  <si>
    <t>Misha Handa</t>
  </si>
  <si>
    <t>raghav24@example.net</t>
  </si>
  <si>
    <t>Priyansh Dalal</t>
  </si>
  <si>
    <t>jhavanya@example.net</t>
  </si>
  <si>
    <t>Emir Ranganathan</t>
  </si>
  <si>
    <t>jivikatella@example.com</t>
  </si>
  <si>
    <t>Misha Soni</t>
  </si>
  <si>
    <t>STU980</t>
  </si>
  <si>
    <t>ENR980</t>
  </si>
  <si>
    <t>ramanathanyashvi@example.net</t>
  </si>
  <si>
    <t>Lakshit Golla</t>
  </si>
  <si>
    <t>tatafarhan@example.net</t>
  </si>
  <si>
    <t>Ranbir Loke</t>
  </si>
  <si>
    <t>qsheth@example.org</t>
  </si>
  <si>
    <t>Divyansh Bali</t>
  </si>
  <si>
    <t>nkoshy@example.net</t>
  </si>
  <si>
    <t>Hunar Loke</t>
  </si>
  <si>
    <t>hazelmaster@example.com</t>
  </si>
  <si>
    <t>Navya Anand</t>
  </si>
  <si>
    <t>STU034</t>
  </si>
  <si>
    <t>ENR034</t>
  </si>
  <si>
    <t>neysa21@example.net</t>
  </si>
  <si>
    <t>Tejas Bose</t>
  </si>
  <si>
    <t>STU1178</t>
  </si>
  <si>
    <t>ENR1178</t>
  </si>
  <si>
    <t>samaira52@example.net</t>
  </si>
  <si>
    <t>Aaina Karpe</t>
  </si>
  <si>
    <t>STU1076</t>
  </si>
  <si>
    <t>ENR1076</t>
  </si>
  <si>
    <t>alishachoudhary@example.org</t>
  </si>
  <si>
    <t>Anay Swamy</t>
  </si>
  <si>
    <t>STU717</t>
  </si>
  <si>
    <t>ENR717</t>
  </si>
  <si>
    <t>vardaniya82@example.com</t>
  </si>
  <si>
    <t>Ayesha Dubey</t>
  </si>
  <si>
    <t>ranganathankashvi@example.org</t>
  </si>
  <si>
    <t>Zain Mann</t>
  </si>
  <si>
    <t>yogiojas@example.net</t>
  </si>
  <si>
    <t>Myra Baria</t>
  </si>
  <si>
    <t>STU954</t>
  </si>
  <si>
    <t>ENR954</t>
  </si>
  <si>
    <t>urvi53@example.com</t>
  </si>
  <si>
    <t>Renee Rege</t>
  </si>
  <si>
    <t>STU1167</t>
  </si>
  <si>
    <t>ENR1167</t>
  </si>
  <si>
    <t>jayantdhillon@example.com</t>
  </si>
  <si>
    <t>Kavya Lad</t>
  </si>
  <si>
    <t>STU953</t>
  </si>
  <si>
    <t>ENR953</t>
  </si>
  <si>
    <t>aniruddhchadha@example.org</t>
  </si>
  <si>
    <t>Khushi Srivastava</t>
  </si>
  <si>
    <t>STU701</t>
  </si>
  <si>
    <t>ENR701</t>
  </si>
  <si>
    <t>advikasandhu@example.net</t>
  </si>
  <si>
    <t>Purab Walia</t>
  </si>
  <si>
    <t>STU725</t>
  </si>
  <si>
    <t>ENR725</t>
  </si>
  <si>
    <t>armaanbhatti@example.org</t>
  </si>
  <si>
    <t>Biju Sarna</t>
  </si>
  <si>
    <t>STU817</t>
  </si>
  <si>
    <t>ENR817</t>
  </si>
  <si>
    <t>nayantarasarna@example.net</t>
  </si>
  <si>
    <t>Shray Shukla</t>
  </si>
  <si>
    <t>uthkarsh76@example.net</t>
  </si>
  <si>
    <t>Amani Dada</t>
  </si>
  <si>
    <t>STU264</t>
  </si>
  <si>
    <t>ENR264</t>
  </si>
  <si>
    <t>anvibora@example.org</t>
  </si>
  <si>
    <t>Divij Sandhu</t>
  </si>
  <si>
    <t>STU013</t>
  </si>
  <si>
    <t>ENR013</t>
  </si>
  <si>
    <t>mannebhamini@example.com</t>
  </si>
  <si>
    <t>Renee Sarraf</t>
  </si>
  <si>
    <t>STU362</t>
  </si>
  <si>
    <t>ENR362</t>
  </si>
  <si>
    <t>reneesarma@example.com</t>
  </si>
  <si>
    <t>Ahana  Boase</t>
  </si>
  <si>
    <t>rohan59@example.com</t>
  </si>
  <si>
    <t>Tarini Savant</t>
  </si>
  <si>
    <t>ranbirdevan@example.net</t>
  </si>
  <si>
    <t>Reyansh Dey</t>
  </si>
  <si>
    <t>samarth46@example.net</t>
  </si>
  <si>
    <t>Kiara Kala</t>
  </si>
  <si>
    <t>STU318</t>
  </si>
  <si>
    <t>ENR318</t>
  </si>
  <si>
    <t>gokulbanik@example.org</t>
  </si>
  <si>
    <t>Jivin Manne</t>
  </si>
  <si>
    <t>STU030</t>
  </si>
  <si>
    <t>ENR030</t>
  </si>
  <si>
    <t>sakshamsinha@example.org</t>
  </si>
  <si>
    <t>Zeeshan Ratti</t>
  </si>
  <si>
    <t>ryan23@example.net</t>
  </si>
  <si>
    <t>Nayantara Karpe</t>
  </si>
  <si>
    <t>STU066</t>
  </si>
  <si>
    <t>ENR066</t>
  </si>
  <si>
    <t>suraabram@example.com</t>
  </si>
  <si>
    <t>Jayant Thakkar</t>
  </si>
  <si>
    <t>loyalurvi@example.com</t>
  </si>
  <si>
    <t>Miraan Bajaj</t>
  </si>
  <si>
    <t>STU561</t>
  </si>
  <si>
    <t>ENR561</t>
  </si>
  <si>
    <t>nehmatvarma@example.com</t>
  </si>
  <si>
    <t>Nitara Balan</t>
  </si>
  <si>
    <t>ichaudhry@example.com</t>
  </si>
  <si>
    <t>Misha Maharaj</t>
  </si>
  <si>
    <t>vyadav@example.com</t>
  </si>
  <si>
    <t>Zeeshan Tiwari</t>
  </si>
  <si>
    <t>STU357</t>
  </si>
  <si>
    <t>ENR357</t>
  </si>
  <si>
    <t>pramesh@example.net</t>
  </si>
  <si>
    <t>Aayush Lall</t>
  </si>
  <si>
    <t>qdin@example.net</t>
  </si>
  <si>
    <t>STU961</t>
  </si>
  <si>
    <t>ENR961</t>
  </si>
  <si>
    <t>asrinivas@example.net</t>
  </si>
  <si>
    <t>Jayan Bandi</t>
  </si>
  <si>
    <t>STU1080</t>
  </si>
  <si>
    <t>ENR1080</t>
  </si>
  <si>
    <t>dbhagat@example.org</t>
  </si>
  <si>
    <t>Shlok Konda</t>
  </si>
  <si>
    <t>duaivana@example.org</t>
  </si>
  <si>
    <t>Samaira Divan</t>
  </si>
  <si>
    <t>bakshikaira@example.net</t>
  </si>
  <si>
    <t>Purab Ramanathan</t>
  </si>
  <si>
    <t>sanghatiya@example.org</t>
  </si>
  <si>
    <t>Aradhya Ahluwalia</t>
  </si>
  <si>
    <t>STU538</t>
  </si>
  <si>
    <t>ENR538</t>
  </si>
  <si>
    <t>shayak75@example.org</t>
  </si>
  <si>
    <t>Jayant Dash</t>
  </si>
  <si>
    <t>bbarad@example.com</t>
  </si>
  <si>
    <t>Dhanuk Butala</t>
  </si>
  <si>
    <t>hridaandayal@example.com</t>
  </si>
  <si>
    <t>Anika Biswas</t>
  </si>
  <si>
    <t>krishsarkar@example.org</t>
  </si>
  <si>
    <t>Hansh Ramakrishnan</t>
  </si>
  <si>
    <t>STU647</t>
  </si>
  <si>
    <t>ENR647</t>
  </si>
  <si>
    <t>fateh52@example.org</t>
  </si>
  <si>
    <t>Kismat Basak</t>
  </si>
  <si>
    <t>nbalasubramanian@example.com</t>
  </si>
  <si>
    <t>Nirvaan Arya</t>
  </si>
  <si>
    <t>hariakarsh@example.org</t>
  </si>
  <si>
    <t>Misha Datta</t>
  </si>
  <si>
    <t>xrandhawa@example.com</t>
  </si>
  <si>
    <t>Tiya Chaudhari</t>
  </si>
  <si>
    <t>brout@example.net</t>
  </si>
  <si>
    <t>Sara Madan</t>
  </si>
  <si>
    <t>STU808</t>
  </si>
  <si>
    <t>ENR808</t>
  </si>
  <si>
    <t>madanabram@example.com</t>
  </si>
  <si>
    <t>Prerak Kata</t>
  </si>
  <si>
    <t>lakshitkoshy@example.net</t>
  </si>
  <si>
    <t>Onkar Mandal</t>
  </si>
  <si>
    <t>STU828</t>
  </si>
  <si>
    <t>ENR828</t>
  </si>
  <si>
    <t>nitara28@example.com</t>
  </si>
  <si>
    <t>Zeeshan Acharya</t>
  </si>
  <si>
    <t>bajajritvik@example.net</t>
  </si>
  <si>
    <t>Prisha Shenoy</t>
  </si>
  <si>
    <t>STU637</t>
  </si>
  <si>
    <t>ENR637</t>
  </si>
  <si>
    <t>tiyaganesan@example.org</t>
  </si>
  <si>
    <t>Zain Sengupta</t>
  </si>
  <si>
    <t>STU684</t>
  </si>
  <si>
    <t>ENR684</t>
  </si>
  <si>
    <t>trishaahluwalia@example.com</t>
  </si>
  <si>
    <t>Riya Gokhale</t>
  </si>
  <si>
    <t>STU732</t>
  </si>
  <si>
    <t>ENR732</t>
  </si>
  <si>
    <t>kgala@example.com</t>
  </si>
  <si>
    <t>Divyansh Ramaswamy</t>
  </si>
  <si>
    <t>STU1152</t>
  </si>
  <si>
    <t>ENR1152</t>
  </si>
  <si>
    <t>vanyawali@example.net</t>
  </si>
  <si>
    <t>Ahana  Kota</t>
  </si>
  <si>
    <t>STU621</t>
  </si>
  <si>
    <t>ENR621</t>
  </si>
  <si>
    <t>purabchatterjee@example.com</t>
  </si>
  <si>
    <t>Samiha Barad</t>
  </si>
  <si>
    <t>sulemanjari@example.net</t>
  </si>
  <si>
    <t>Kaira Lanka</t>
  </si>
  <si>
    <t>STU758</t>
  </si>
  <si>
    <t>ENR758</t>
  </si>
  <si>
    <t>dhanushsengupta@example.net</t>
  </si>
  <si>
    <t>Divit Zachariah</t>
  </si>
  <si>
    <t>STU613</t>
  </si>
  <si>
    <t>ENR613</t>
  </si>
  <si>
    <t>manikyabajaj@example.org</t>
  </si>
  <si>
    <t>Jivika Kala</t>
  </si>
  <si>
    <t>samihaahuja@example.org</t>
  </si>
  <si>
    <t>Uthkarsh Thaker</t>
  </si>
  <si>
    <t>STU781</t>
  </si>
  <si>
    <t>ENR781</t>
  </si>
  <si>
    <t>shettykaira@example.com</t>
  </si>
  <si>
    <t>Dhanuk Gour</t>
  </si>
  <si>
    <t>STU1173</t>
  </si>
  <si>
    <t>ENR1173</t>
  </si>
  <si>
    <t>mahajandrishya@example.net</t>
  </si>
  <si>
    <t>Kismat Bail</t>
  </si>
  <si>
    <t>ajani@example.org</t>
  </si>
  <si>
    <t>Raunak Mangal</t>
  </si>
  <si>
    <t>STU760</t>
  </si>
  <si>
    <t>ENR760</t>
  </si>
  <si>
    <t>vanya79@example.com</t>
  </si>
  <si>
    <t>Siya Venkataraman</t>
  </si>
  <si>
    <t>STU759</t>
  </si>
  <si>
    <t>ENR759</t>
  </si>
  <si>
    <t>shethdarshit@example.org</t>
  </si>
  <si>
    <t>Kabir Halder</t>
  </si>
  <si>
    <t>STU675</t>
  </si>
  <si>
    <t>ENR675</t>
  </si>
  <si>
    <t>deymehul@example.net</t>
  </si>
  <si>
    <t>Shlok Kala</t>
  </si>
  <si>
    <t>sahilborra@example.com</t>
  </si>
  <si>
    <t>Lakshit Gour</t>
  </si>
  <si>
    <t>taran56@example.com</t>
  </si>
  <si>
    <t>Umang Dani</t>
  </si>
  <si>
    <t>sagarvritika@example.com</t>
  </si>
  <si>
    <t>Jayant Dass</t>
  </si>
  <si>
    <t>STU972</t>
  </si>
  <si>
    <t>ENR972</t>
  </si>
  <si>
    <t>rkulkarni@example.com</t>
  </si>
  <si>
    <t>Biju Khare</t>
  </si>
  <si>
    <t>rdara@example.net</t>
  </si>
  <si>
    <t>Hrishita Balay</t>
  </si>
  <si>
    <t>STU733</t>
  </si>
  <si>
    <t>ENR733</t>
  </si>
  <si>
    <t>misha73@example.org</t>
  </si>
  <si>
    <t>Samaira Buch</t>
  </si>
  <si>
    <t>STU814</t>
  </si>
  <si>
    <t>ENR814</t>
  </si>
  <si>
    <t>dayalhimmat@example.org</t>
  </si>
  <si>
    <t>Myra Mahal</t>
  </si>
  <si>
    <t>STU815</t>
  </si>
  <si>
    <t>ENR815</t>
  </si>
  <si>
    <t>amira86@example.org</t>
  </si>
  <si>
    <t>Rhea Gandhi</t>
  </si>
  <si>
    <t>raghav81@example.net</t>
  </si>
  <si>
    <t>Devansh Khalsa</t>
  </si>
  <si>
    <t>dharanya@example.com</t>
  </si>
  <si>
    <t>Jiya Bhat</t>
  </si>
  <si>
    <t>STU106</t>
  </si>
  <si>
    <t>ENR106</t>
  </si>
  <si>
    <t>kismatanand@example.org</t>
  </si>
  <si>
    <t>Amira Saha</t>
  </si>
  <si>
    <t>STU739</t>
  </si>
  <si>
    <t>ENR739</t>
  </si>
  <si>
    <t>narya@example.com</t>
  </si>
  <si>
    <t>Ryan Kannan</t>
  </si>
  <si>
    <t>yuvaan49@example.net</t>
  </si>
  <si>
    <t>Miraan Devan</t>
  </si>
  <si>
    <t>lakshaykunda@example.net</t>
  </si>
  <si>
    <t>Elakshi Dubey</t>
  </si>
  <si>
    <t>STU005</t>
  </si>
  <si>
    <t>ENR005</t>
  </si>
  <si>
    <t>madhup39@example.org</t>
  </si>
  <si>
    <t>Elakshi Singh</t>
  </si>
  <si>
    <t>STU783</t>
  </si>
  <si>
    <t>ENR783</t>
  </si>
  <si>
    <t>nakul58@example.org</t>
  </si>
  <si>
    <t>Raghav Chada</t>
  </si>
  <si>
    <t>shanayagoel@example.net</t>
  </si>
  <si>
    <t>Jivin Bansal</t>
  </si>
  <si>
    <t>STU026</t>
  </si>
  <si>
    <t>ENR026</t>
  </si>
  <si>
    <t>talwaranya@example.net</t>
  </si>
  <si>
    <t>Gatik Kota</t>
  </si>
  <si>
    <t>kavya97@example.com</t>
  </si>
  <si>
    <t>Mohanlal Choudhury</t>
  </si>
  <si>
    <t>bhargavamadhav@example.net</t>
  </si>
  <si>
    <t>Shamik Sathe</t>
  </si>
  <si>
    <t>STU999</t>
  </si>
  <si>
    <t>ENR999</t>
  </si>
  <si>
    <t>qsolanki@example.org</t>
  </si>
  <si>
    <t>Aarush Balan</t>
  </si>
  <si>
    <t>STU1069</t>
  </si>
  <si>
    <t>ENR1069</t>
  </si>
  <si>
    <t>yuvraj-83@example.com</t>
  </si>
  <si>
    <t>Nirvi Sura</t>
  </si>
  <si>
    <t>STU799</t>
  </si>
  <si>
    <t>ENR799</t>
  </si>
  <si>
    <t>gokultank@example.com</t>
  </si>
  <si>
    <t>Bhamini Kala</t>
  </si>
  <si>
    <t>STU211</t>
  </si>
  <si>
    <t>ENR211</t>
  </si>
  <si>
    <t>kavyadani@example.com</t>
  </si>
  <si>
    <t>Umang Tata</t>
  </si>
  <si>
    <t>STU213</t>
  </si>
  <si>
    <t>ENR213</t>
  </si>
  <si>
    <t>kiara55@example.net</t>
  </si>
  <si>
    <t>Nakul Bumb</t>
  </si>
  <si>
    <t>amanitailor@example.net</t>
  </si>
  <si>
    <t>Aradhya Vohra</t>
  </si>
  <si>
    <t>STU974</t>
  </si>
  <si>
    <t>ENR974</t>
  </si>
  <si>
    <t>pranayvasa@example.org</t>
  </si>
  <si>
    <t>Aayush Tak</t>
  </si>
  <si>
    <t>STU973</t>
  </si>
  <si>
    <t>ENR973</t>
  </si>
  <si>
    <t>smajumdar@example.net</t>
  </si>
  <si>
    <t>Anya Ray</t>
  </si>
  <si>
    <t>STU710</t>
  </si>
  <si>
    <t>ENR710</t>
  </si>
  <si>
    <t>ndate@example.net</t>
  </si>
  <si>
    <t>Faiyaz Arora</t>
  </si>
  <si>
    <t>STU700</t>
  </si>
  <si>
    <t>ENR700</t>
  </si>
  <si>
    <t>wagrawal@example.com</t>
  </si>
  <si>
    <t>Divit Sane</t>
  </si>
  <si>
    <t>STU541</t>
  </si>
  <si>
    <t>ENR541</t>
  </si>
  <si>
    <t>bailparinaaz@example.net</t>
  </si>
  <si>
    <t>Ehsaan Sant</t>
  </si>
  <si>
    <t>STU491</t>
  </si>
  <si>
    <t>ENR491</t>
  </si>
  <si>
    <t>vloke@example.org</t>
  </si>
  <si>
    <t>Piya Jani</t>
  </si>
  <si>
    <t>STU076</t>
  </si>
  <si>
    <t>ENR076</t>
  </si>
  <si>
    <t>abaria@example.net</t>
  </si>
  <si>
    <t>Neysa Dubey</t>
  </si>
  <si>
    <t>STU842</t>
  </si>
  <si>
    <t>ENR842</t>
  </si>
  <si>
    <t>urvi31@example.net</t>
  </si>
  <si>
    <t>Nitara Lalla</t>
  </si>
  <si>
    <t>STU1151</t>
  </si>
  <si>
    <t>ENR1151</t>
  </si>
  <si>
    <t>framachandran@example.org</t>
  </si>
  <si>
    <t>Rati Anne</t>
  </si>
  <si>
    <t>STU909</t>
  </si>
  <si>
    <t>ENR909</t>
  </si>
  <si>
    <t>nishithkanda@example.net</t>
  </si>
  <si>
    <t>Piya Mand</t>
  </si>
  <si>
    <t>STU1154</t>
  </si>
  <si>
    <t>ENR1154</t>
  </si>
  <si>
    <t>qdhar@example.com</t>
  </si>
  <si>
    <t>Kabir Din</t>
  </si>
  <si>
    <t>STU591</t>
  </si>
  <si>
    <t>ENR591</t>
  </si>
  <si>
    <t>sdevi@example.com</t>
  </si>
  <si>
    <t>Gokul Jayaraman</t>
  </si>
  <si>
    <t>STU836</t>
  </si>
  <si>
    <t>ENR836</t>
  </si>
  <si>
    <t>goswamipari@example.org</t>
  </si>
  <si>
    <t>Mohanlal Sagar</t>
  </si>
  <si>
    <t>osachar@example.com</t>
  </si>
  <si>
    <t>Rhea Hora</t>
  </si>
  <si>
    <t>STU1107</t>
  </si>
  <si>
    <t>ENR1107</t>
  </si>
  <si>
    <t>divij54@example.net</t>
  </si>
  <si>
    <t>Neelofar Shankar</t>
  </si>
  <si>
    <t>STU830</t>
  </si>
  <si>
    <t>ENR830</t>
  </si>
  <si>
    <t>mahikaramachandran@example.net</t>
  </si>
  <si>
    <t>Aniruddh Ray</t>
  </si>
  <si>
    <t>chakrabortyivan@example.com</t>
  </si>
  <si>
    <t>Anahi Bansal</t>
  </si>
  <si>
    <t>STU841</t>
  </si>
  <si>
    <t>ENR841</t>
  </si>
  <si>
    <t>aaryahi44@example.org</t>
  </si>
  <si>
    <t>Jivika Kumar</t>
  </si>
  <si>
    <t>STU119</t>
  </si>
  <si>
    <t>ENR119</t>
  </si>
  <si>
    <t>armaan39@example.com</t>
  </si>
  <si>
    <t>Kabir Datta</t>
  </si>
  <si>
    <t>anvi71@example.org</t>
  </si>
  <si>
    <t>Shanaya Sule</t>
  </si>
  <si>
    <t>rohan65@example.org</t>
  </si>
  <si>
    <t>Lavanya Arora</t>
  </si>
  <si>
    <t>STU681</t>
  </si>
  <si>
    <t>ENR681</t>
  </si>
  <si>
    <t>ikant@example.net</t>
  </si>
  <si>
    <t>Manjari Dasgupta</t>
  </si>
  <si>
    <t>STU047</t>
  </si>
  <si>
    <t>ENR047</t>
  </si>
  <si>
    <t>chaudharidharmajan@example.org</t>
  </si>
  <si>
    <t>Nitara Saraf</t>
  </si>
  <si>
    <t>STU1093</t>
  </si>
  <si>
    <t>ENR1093</t>
  </si>
  <si>
    <t>anneamani@example.com</t>
  </si>
  <si>
    <t>Shamik Kumar</t>
  </si>
  <si>
    <t>STU821</t>
  </si>
  <si>
    <t>ENR821</t>
  </si>
  <si>
    <t>ojas60@example.net</t>
  </si>
  <si>
    <t>Vritika Kakar</t>
  </si>
  <si>
    <t>STU597</t>
  </si>
  <si>
    <t>ENR597</t>
  </si>
  <si>
    <t>sumer09@example.org</t>
  </si>
  <si>
    <t>Devansh Kapadia</t>
  </si>
  <si>
    <t>tara30@example.com</t>
  </si>
  <si>
    <t>Ivana Roy</t>
  </si>
  <si>
    <t>STU501</t>
  </si>
  <si>
    <t>ENR501</t>
  </si>
  <si>
    <t>rjoshi@example.com</t>
  </si>
  <si>
    <t>Tejas Barad</t>
  </si>
  <si>
    <t>onkar30@example.org</t>
  </si>
  <si>
    <t>Tiya Kara</t>
  </si>
  <si>
    <t>STU003</t>
  </si>
  <si>
    <t>ENR003</t>
  </si>
  <si>
    <t>horaishita@example.net</t>
  </si>
  <si>
    <t>Lakshit Bhalla</t>
  </si>
  <si>
    <t>STU025</t>
  </si>
  <si>
    <t>ENR025</t>
  </si>
  <si>
    <t>wasonmehul@example.org</t>
  </si>
  <si>
    <t>Ishita Swamy</t>
  </si>
  <si>
    <t>nityamani@example.org</t>
  </si>
  <si>
    <t>Jayan Boase</t>
  </si>
  <si>
    <t>gatikmadan@example.org</t>
  </si>
  <si>
    <t>Pihu Chad</t>
  </si>
  <si>
    <t>inaaya-55@example.org</t>
  </si>
  <si>
    <t>Samarth Kaul</t>
  </si>
  <si>
    <t>STU080</t>
  </si>
  <si>
    <t>ENR080</t>
  </si>
  <si>
    <t>rheasrivastava@example.net</t>
  </si>
  <si>
    <t>Jayesh Bhargava</t>
  </si>
  <si>
    <t>amiraarora@example.com</t>
  </si>
  <si>
    <t>Zain Bir</t>
  </si>
  <si>
    <t>STU008</t>
  </si>
  <si>
    <t>ENR008</t>
  </si>
  <si>
    <t>jayan67@example.com</t>
  </si>
  <si>
    <t>Azad Rattan</t>
  </si>
  <si>
    <t>STU183</t>
  </si>
  <si>
    <t>ENR183</t>
  </si>
  <si>
    <t>haridharmajan@example.net</t>
  </si>
  <si>
    <t>Ishaan Din</t>
  </si>
  <si>
    <t>siyagaba@example.org</t>
  </si>
  <si>
    <t>Romil Kapoor</t>
  </si>
  <si>
    <t>fdesai@example.org</t>
  </si>
  <si>
    <t>Fateh Ramakrishnan</t>
  </si>
  <si>
    <t>lavanyabarad@example.com</t>
  </si>
  <si>
    <t>Ivana Koshy</t>
  </si>
  <si>
    <t>STU070</t>
  </si>
  <si>
    <t>ENR070</t>
  </si>
  <si>
    <t>dhanuk38@example.org</t>
  </si>
  <si>
    <t>Jiya Dayal</t>
  </si>
  <si>
    <t>STU068</t>
  </si>
  <si>
    <t>ENR068</t>
  </si>
  <si>
    <t>surshanaya@example.com</t>
  </si>
  <si>
    <t>Alisha Sheth</t>
  </si>
  <si>
    <t>kapureshani@example.org</t>
  </si>
  <si>
    <t>Yuvaan Agate</t>
  </si>
  <si>
    <t>STU062</t>
  </si>
  <si>
    <t>ENR062</t>
  </si>
  <si>
    <t>sarinmishti@example.org</t>
  </si>
  <si>
    <t>Nitya Tandon</t>
  </si>
  <si>
    <t>xdalal@example.com</t>
  </si>
  <si>
    <t>Veer Rattan</t>
  </si>
  <si>
    <t>STU219</t>
  </si>
  <si>
    <t>ENR219</t>
  </si>
  <si>
    <t>bhattojas@example.org</t>
  </si>
  <si>
    <t>Hiran Kamdar</t>
  </si>
  <si>
    <t>comarmisha@example.com</t>
  </si>
  <si>
    <t>Inaaya  Srinivasan</t>
  </si>
  <si>
    <t>STU057</t>
  </si>
  <si>
    <t>ENR057</t>
  </si>
  <si>
    <t>zsarna@example.net</t>
  </si>
  <si>
    <t>Umang Ram</t>
  </si>
  <si>
    <t>raghav82@example.net</t>
  </si>
  <si>
    <t>Mishti Khare</t>
  </si>
  <si>
    <t>jiya68@example.net</t>
  </si>
  <si>
    <t>Jayan Solanki</t>
  </si>
  <si>
    <t>nvyas@example.com</t>
  </si>
  <si>
    <t>Shlok Joshi</t>
  </si>
  <si>
    <t>adara@example.org</t>
  </si>
  <si>
    <t>Priyansh Deep</t>
  </si>
  <si>
    <t>adirachowdhury@example.com</t>
  </si>
  <si>
    <t>Priyansh Brar</t>
  </si>
  <si>
    <t>STU546</t>
  </si>
  <si>
    <t>ENR546</t>
  </si>
  <si>
    <t>vargheseanahi@example.com</t>
  </si>
  <si>
    <t>Ishaan Anne</t>
  </si>
  <si>
    <t>ivana59@example.org</t>
  </si>
  <si>
    <t>Sahil Bassi</t>
  </si>
  <si>
    <t>STU1132</t>
  </si>
  <si>
    <t>ENR1132</t>
  </si>
  <si>
    <t>kadakiashray@example.org</t>
  </si>
  <si>
    <t>Ehsaan Grewal</t>
  </si>
  <si>
    <t>STU1140</t>
  </si>
  <si>
    <t>ENR1140</t>
  </si>
  <si>
    <t>suranahi@example.com</t>
  </si>
  <si>
    <t>Inaaya  Bhavsar</t>
  </si>
  <si>
    <t>ranganathananahi@example.com</t>
  </si>
  <si>
    <t>mjani@example.net</t>
  </si>
  <si>
    <t>Aniruddh Uppal</t>
  </si>
  <si>
    <t>STU838</t>
  </si>
  <si>
    <t>ENR838</t>
  </si>
  <si>
    <t>drishyakumer@example.org</t>
  </si>
  <si>
    <t>Yashvi Dhar</t>
  </si>
  <si>
    <t>bhatiagokul@example.com</t>
  </si>
  <si>
    <t>Zara Talwar</t>
  </si>
  <si>
    <t>mohanlal82@example.net</t>
  </si>
  <si>
    <t>Kashvi Bassi</t>
  </si>
  <si>
    <t>gokhalemyra@example.net</t>
  </si>
  <si>
    <t>Dhruv Kamdar</t>
  </si>
  <si>
    <t>STU525</t>
  </si>
  <si>
    <t>ENR525</t>
  </si>
  <si>
    <t>kibejivin@example.com</t>
  </si>
  <si>
    <t>Ojas Madan</t>
  </si>
  <si>
    <t>STU1150</t>
  </si>
  <si>
    <t>ENR1150</t>
  </si>
  <si>
    <t>mehullalla@example.net</t>
  </si>
  <si>
    <t>Hrishita Bir</t>
  </si>
  <si>
    <t>STU1172</t>
  </si>
  <si>
    <t>ENR1172</t>
  </si>
  <si>
    <t>onkar42@example.com</t>
  </si>
  <si>
    <t>Divit Tata</t>
  </si>
  <si>
    <t>STU793</t>
  </si>
  <si>
    <t>ENR793</t>
  </si>
  <si>
    <t>chadadhruv@example.com</t>
  </si>
  <si>
    <t>Rasha Raja</t>
  </si>
  <si>
    <t>STU552</t>
  </si>
  <si>
    <t>ENR552</t>
  </si>
  <si>
    <t>neysa79@example.com</t>
  </si>
  <si>
    <t>Eshani Bose</t>
  </si>
  <si>
    <t>STU1193</t>
  </si>
  <si>
    <t>ENR1193</t>
  </si>
  <si>
    <t>drishya21@example.com</t>
  </si>
  <si>
    <t>Heer Chokshi</t>
  </si>
  <si>
    <t>STU579</t>
  </si>
  <si>
    <t>ENR579</t>
  </si>
  <si>
    <t>zaraahluwalia@example.net</t>
  </si>
  <si>
    <t>Amani Hari</t>
  </si>
  <si>
    <t>STU580</t>
  </si>
  <si>
    <t>ENR580</t>
  </si>
  <si>
    <t>karabiju@example.com</t>
  </si>
  <si>
    <t>Kanav Boase</t>
  </si>
  <si>
    <t>STU592</t>
  </si>
  <si>
    <t>ENR592</t>
  </si>
  <si>
    <t>nitara16@example.org</t>
  </si>
  <si>
    <t>Suhana Rajagopalan</t>
  </si>
  <si>
    <t>STU754</t>
  </si>
  <si>
    <t>ENR754</t>
  </si>
  <si>
    <t>hsolanki@example.com</t>
  </si>
  <si>
    <t>Mohanlal Varty</t>
  </si>
  <si>
    <t>sshukla@example.com</t>
  </si>
  <si>
    <t>Nakul Tara</t>
  </si>
  <si>
    <t>STU752</t>
  </si>
  <si>
    <t>ENR752</t>
  </si>
  <si>
    <t>xkeer@example.org</t>
  </si>
  <si>
    <t>Samar Kota</t>
  </si>
  <si>
    <t>wsengupta@example.net</t>
  </si>
  <si>
    <t>Divyansh Manda</t>
  </si>
  <si>
    <t>STU741</t>
  </si>
  <si>
    <t>ENR741</t>
  </si>
  <si>
    <t>alishakhare@example.org</t>
  </si>
  <si>
    <t>Saanvi Kibe</t>
  </si>
  <si>
    <t>STU619</t>
  </si>
  <si>
    <t>ENR619</t>
  </si>
  <si>
    <t>dubeykimaya@example.org</t>
  </si>
  <si>
    <t>Nishith Bains</t>
  </si>
  <si>
    <t>STU645</t>
  </si>
  <si>
    <t>ENR645</t>
  </si>
  <si>
    <t>buchpari@example.org</t>
  </si>
  <si>
    <t>Aniruddh Taneja</t>
  </si>
  <si>
    <t>navyadani@example.com</t>
  </si>
  <si>
    <t>Taran Golla</t>
  </si>
  <si>
    <t>STU689</t>
  </si>
  <si>
    <t>ENR689</t>
  </si>
  <si>
    <t>bhallasana@example.net</t>
  </si>
  <si>
    <t>Divij Seth</t>
  </si>
  <si>
    <t>choudhryarnav@example.net</t>
  </si>
  <si>
    <t>Divij Deo</t>
  </si>
  <si>
    <t>STU1039</t>
  </si>
  <si>
    <t>ENR1039</t>
  </si>
  <si>
    <t>raunak37@example.org</t>
  </si>
  <si>
    <t>Vritika Kala</t>
  </si>
  <si>
    <t>STU880</t>
  </si>
  <si>
    <t>ENR880</t>
  </si>
  <si>
    <t>bsodhi@example.net</t>
  </si>
  <si>
    <t>Mishti Toor</t>
  </si>
  <si>
    <t>nayantaradash@example.com</t>
  </si>
  <si>
    <t>Lakshit Bawa</t>
  </si>
  <si>
    <t>STU1036</t>
  </si>
  <si>
    <t>ENR1036</t>
  </si>
  <si>
    <t>jjayaraman@example.org</t>
  </si>
  <si>
    <t>Zoya Baria</t>
  </si>
  <si>
    <t>STU910</t>
  </si>
  <si>
    <t>ENR910</t>
  </si>
  <si>
    <t>abram98@example.net</t>
  </si>
  <si>
    <t>Navya Singhal</t>
  </si>
  <si>
    <t>STU1108</t>
  </si>
  <si>
    <t>ENR1108</t>
  </si>
  <si>
    <t>kimaya58@example.org</t>
  </si>
  <si>
    <t>Samaira Tank</t>
  </si>
  <si>
    <t>sakshamkurian@example.com</t>
  </si>
  <si>
    <t>Hazel Dhar</t>
  </si>
  <si>
    <t>STU1077</t>
  </si>
  <si>
    <t>ENR1077</t>
  </si>
  <si>
    <t>vanya24@example.org</t>
  </si>
  <si>
    <t>Anvi Hora</t>
  </si>
  <si>
    <t>mahikakaran@example.com</t>
  </si>
  <si>
    <t>Renee Borde</t>
  </si>
  <si>
    <t>STU1010</t>
  </si>
  <si>
    <t>ENR1010</t>
  </si>
  <si>
    <t>fatehkari@example.org</t>
  </si>
  <si>
    <t>Dhanush Anand</t>
  </si>
  <si>
    <t>STU1009</t>
  </si>
  <si>
    <t>ENR1009</t>
  </si>
  <si>
    <t>yloyal@example.com</t>
  </si>
  <si>
    <t>Krish Comar</t>
  </si>
  <si>
    <t>keertrisha@example.com</t>
  </si>
  <si>
    <t>Ayesha Sachdeva</t>
  </si>
  <si>
    <t>neelofar50@example.org</t>
  </si>
  <si>
    <t>Darshit Lad</t>
  </si>
  <si>
    <t>manikyakara@example.net</t>
  </si>
  <si>
    <t>Lakshay Chaudhuri</t>
  </si>
  <si>
    <t>jedwin@example.com</t>
  </si>
  <si>
    <t>Tejas Madan</t>
  </si>
  <si>
    <t>STU027</t>
  </si>
  <si>
    <t>ENR027</t>
  </si>
  <si>
    <t>guhanehmat@example.com</t>
  </si>
  <si>
    <t>Madhav Garg</t>
  </si>
  <si>
    <t>riyakata@example.net</t>
  </si>
  <si>
    <t>Siya Sarraf</t>
  </si>
  <si>
    <t>STU744</t>
  </si>
  <si>
    <t>ENR744</t>
  </si>
  <si>
    <t>skunda@example.org</t>
  </si>
  <si>
    <t>Dhruv Amble</t>
  </si>
  <si>
    <t>STU1012</t>
  </si>
  <si>
    <t>ENR1012</t>
  </si>
  <si>
    <t>hiran01@example.net</t>
  </si>
  <si>
    <t>Shayak Ramanathan</t>
  </si>
  <si>
    <t>STU735</t>
  </si>
  <si>
    <t>ENR735</t>
  </si>
  <si>
    <t>catwal@example.org</t>
  </si>
  <si>
    <t>Darshit Dixit</t>
  </si>
  <si>
    <t>STU702</t>
  </si>
  <si>
    <t>ENR702</t>
  </si>
  <si>
    <t>vardaniya13@example.com</t>
  </si>
  <si>
    <t>Romil Batta</t>
  </si>
  <si>
    <t>kaira87@example.net</t>
  </si>
  <si>
    <t>Purab Grewal</t>
  </si>
  <si>
    <t>STU978</t>
  </si>
  <si>
    <t>ENR978</t>
  </si>
  <si>
    <t>navya68@example.net</t>
  </si>
  <si>
    <t>Indrans Ganguly</t>
  </si>
  <si>
    <t>STU1190</t>
  </si>
  <si>
    <t>ENR1190</t>
  </si>
  <si>
    <t>ladtara@example.com</t>
  </si>
  <si>
    <t>Tejas Dayal</t>
  </si>
  <si>
    <t>chackoemir@example.com</t>
  </si>
  <si>
    <t>Anahita Basu</t>
  </si>
  <si>
    <t>STU037</t>
  </si>
  <si>
    <t>ENR037</t>
  </si>
  <si>
    <t>indrajitarora@example.com</t>
  </si>
  <si>
    <t>Alia Gokhale</t>
  </si>
  <si>
    <t>STU103</t>
  </si>
  <si>
    <t>ENR103</t>
  </si>
  <si>
    <t>shalvdass@example.com</t>
  </si>
  <si>
    <t>Romil Wagle</t>
  </si>
  <si>
    <t>STU116</t>
  </si>
  <si>
    <t>ENR116</t>
  </si>
  <si>
    <t>krishnamurthyhiran@example.net</t>
  </si>
  <si>
    <t>Vanya Kumar</t>
  </si>
  <si>
    <t>STU881</t>
  </si>
  <si>
    <t>ENR881</t>
  </si>
  <si>
    <t>hayreritvik@example.net</t>
  </si>
  <si>
    <t>Zara Kumer</t>
  </si>
  <si>
    <t>STU840</t>
  </si>
  <si>
    <t>ENR840</t>
  </si>
  <si>
    <t>acharyahunar@example.net</t>
  </si>
  <si>
    <t>Riaan Varkey</t>
  </si>
  <si>
    <t>STU882</t>
  </si>
  <si>
    <t>ENR882</t>
  </si>
  <si>
    <t>riyatandon@example.net</t>
  </si>
  <si>
    <t>Priyansh Wable</t>
  </si>
  <si>
    <t>STU1119</t>
  </si>
  <si>
    <t>ENR1119</t>
  </si>
  <si>
    <t>myraswamy@example.com</t>
  </si>
  <si>
    <t>Vanya Char</t>
  </si>
  <si>
    <t>STU919</t>
  </si>
  <si>
    <t>ENR919</t>
  </si>
  <si>
    <t>shlokchakraborty@example.com</t>
  </si>
  <si>
    <t>Eva Hari</t>
  </si>
  <si>
    <t>STU934</t>
  </si>
  <si>
    <t>ENR934</t>
  </si>
  <si>
    <t>dbatra@example.net</t>
  </si>
  <si>
    <t>Shamik Uppal</t>
  </si>
  <si>
    <t>STU940</t>
  </si>
  <si>
    <t>ENR940</t>
  </si>
  <si>
    <t>adah92@example.org</t>
  </si>
  <si>
    <t>Aradhya Roy</t>
  </si>
  <si>
    <t>STU835</t>
  </si>
  <si>
    <t>ENR835</t>
  </si>
  <si>
    <t>jkumar@example.org</t>
  </si>
  <si>
    <t>Ivana Atwal</t>
  </si>
  <si>
    <t>STU1166</t>
  </si>
  <si>
    <t>ENR1166</t>
  </si>
  <si>
    <t>cherianmehul@example.org</t>
  </si>
  <si>
    <t>Ryan Mann</t>
  </si>
  <si>
    <t>STU1086</t>
  </si>
  <si>
    <t>ENR1086</t>
  </si>
  <si>
    <t>thakursuhana@example.net</t>
  </si>
  <si>
    <t>Taimur Sankar</t>
  </si>
  <si>
    <t>shaanmaharaj@example.org</t>
  </si>
  <si>
    <t>Adah Shah</t>
  </si>
  <si>
    <t>STU792</t>
  </si>
  <si>
    <t>ENR792</t>
  </si>
  <si>
    <t>jcontractor@example.net</t>
  </si>
  <si>
    <t>Prisha Madan</t>
  </si>
  <si>
    <t>inaaya-datta@example.com</t>
  </si>
  <si>
    <t>Tarini Choudhary</t>
  </si>
  <si>
    <t>STU791</t>
  </si>
  <si>
    <t>ENR791</t>
  </si>
  <si>
    <t>rdugal@example.com</t>
  </si>
  <si>
    <t>Kismat Shanker</t>
  </si>
  <si>
    <t>STU874</t>
  </si>
  <si>
    <t>ENR874</t>
  </si>
  <si>
    <t>samairahans@example.com</t>
  </si>
  <si>
    <t>Ira Issac</t>
  </si>
  <si>
    <t>STU837</t>
  </si>
  <si>
    <t>ENR837</t>
  </si>
  <si>
    <t>prerakdas@example.org</t>
  </si>
  <si>
    <t>Alisha Rattan</t>
  </si>
  <si>
    <t>inaaya-kalla@example.org</t>
  </si>
  <si>
    <t>Aayush Shan</t>
  </si>
  <si>
    <t>zdeo@example.net</t>
  </si>
  <si>
    <t>Tara Din</t>
  </si>
  <si>
    <t>STU603</t>
  </si>
  <si>
    <t>ENR603</t>
  </si>
  <si>
    <t>gargpriyansh@example.net</t>
  </si>
  <si>
    <t>Stuvan Badami</t>
  </si>
  <si>
    <t>eswamy@example.com</t>
  </si>
  <si>
    <t>Aaryahi Sura</t>
  </si>
  <si>
    <t>STU562</t>
  </si>
  <si>
    <t>ENR562</t>
  </si>
  <si>
    <t>xhalder@example.net</t>
  </si>
  <si>
    <t>tarini01@example.org</t>
  </si>
  <si>
    <t>Heer Ganesan</t>
  </si>
  <si>
    <t>STU540</t>
  </si>
  <si>
    <t>ENR540</t>
  </si>
  <si>
    <t>urvi31@example.org</t>
  </si>
  <si>
    <t>Hansh Wali</t>
  </si>
  <si>
    <t>STU373</t>
  </si>
  <si>
    <t>ENR373</t>
  </si>
  <si>
    <t>kaulshamik@example.net</t>
  </si>
  <si>
    <t>Kaira Krishnan</t>
  </si>
  <si>
    <t>vbuch@example.net</t>
  </si>
  <si>
    <t>Zeeshan Wable</t>
  </si>
  <si>
    <t>aaryahivarma@example.com</t>
  </si>
  <si>
    <t>Taran Bhavsar</t>
  </si>
  <si>
    <t>magarritvik@example.com</t>
  </si>
  <si>
    <t>Ivan Desai</t>
  </si>
  <si>
    <t>smannan@example.com</t>
  </si>
  <si>
    <t>Aniruddh Tella</t>
  </si>
  <si>
    <t>mkant@example.net</t>
  </si>
  <si>
    <t>hazel58@example.org</t>
  </si>
  <si>
    <t>Stuvan Bobal</t>
  </si>
  <si>
    <t>STU471</t>
  </si>
  <si>
    <t>ENR471</t>
  </si>
  <si>
    <t>rasha58@example.net</t>
  </si>
  <si>
    <t>Sahil Srinivasan</t>
  </si>
  <si>
    <t>azadviswanathan@example.org</t>
  </si>
  <si>
    <t>Amira Mammen</t>
  </si>
  <si>
    <t>charviwali@example.net</t>
  </si>
  <si>
    <t>Drishya Dugal</t>
  </si>
  <si>
    <t>manikya80@example.org</t>
  </si>
  <si>
    <t>Indrans Bali</t>
  </si>
  <si>
    <t>STU586</t>
  </si>
  <si>
    <t>ENR586</t>
  </si>
  <si>
    <t>sarahari@example.net</t>
  </si>
  <si>
    <t>Badal Sekhon</t>
  </si>
  <si>
    <t>STU1047</t>
  </si>
  <si>
    <t>ENR1047</t>
  </si>
  <si>
    <t>raunakgade@example.net</t>
  </si>
  <si>
    <t>Tara Desai</t>
  </si>
  <si>
    <t>STU622</t>
  </si>
  <si>
    <t>ENR622</t>
  </si>
  <si>
    <t>raunak27@example.net</t>
  </si>
  <si>
    <t>Vardaniya Mangal</t>
  </si>
  <si>
    <t>tarasaksham@example.com</t>
  </si>
  <si>
    <t>Nirvi Tara</t>
  </si>
  <si>
    <t>STU649</t>
  </si>
  <si>
    <t>ENR649</t>
  </si>
  <si>
    <t>yogipihu@example.com</t>
  </si>
  <si>
    <t>Rania Saraf</t>
  </si>
  <si>
    <t>STU610</t>
  </si>
  <si>
    <t>ENR610</t>
  </si>
  <si>
    <t>biju64@example.org</t>
  </si>
  <si>
    <t>Dhanush Bhatia</t>
  </si>
  <si>
    <t>STU624</t>
  </si>
  <si>
    <t>ENR624</t>
  </si>
  <si>
    <t>sidhudhruv@example.com</t>
  </si>
  <si>
    <t>Adira Bal</t>
  </si>
  <si>
    <t>skari@example.org</t>
  </si>
  <si>
    <t>Onkar Goel</t>
  </si>
  <si>
    <t>STU450</t>
  </si>
  <si>
    <t>ENR450</t>
  </si>
  <si>
    <t>kalasamiha@example.net</t>
  </si>
  <si>
    <t>Faiyaz Gandhi</t>
  </si>
  <si>
    <t>lagandutt@example.com</t>
  </si>
  <si>
    <t>Nishith Bose</t>
  </si>
  <si>
    <t>STU094</t>
  </si>
  <si>
    <t>ENR094</t>
  </si>
  <si>
    <t>devanshchatterjee@example.com</t>
  </si>
  <si>
    <t>Riaan Deep</t>
  </si>
  <si>
    <t>vanya26@example.com</t>
  </si>
  <si>
    <t>Aaina Tailor</t>
  </si>
  <si>
    <t>ehayer@example.net</t>
  </si>
  <si>
    <t>Jhanvi Rajagopalan</t>
  </si>
  <si>
    <t>STU862</t>
  </si>
  <si>
    <t>ENR862</t>
  </si>
  <si>
    <t>rborah@example.net</t>
  </si>
  <si>
    <t>Urvi Choudhury</t>
  </si>
  <si>
    <t>STU955</t>
  </si>
  <si>
    <t>ENR955</t>
  </si>
  <si>
    <t>akarshbera@example.com</t>
  </si>
  <si>
    <t>Mishti Dayal</t>
  </si>
  <si>
    <t>STU120</t>
  </si>
  <si>
    <t>ENR120</t>
  </si>
  <si>
    <t>alishasankaran@example.org</t>
  </si>
  <si>
    <t>Anya Guha</t>
  </si>
  <si>
    <t>STU1004</t>
  </si>
  <si>
    <t>ENR1004</t>
  </si>
  <si>
    <t>aayushbail@example.net</t>
  </si>
  <si>
    <t>Himmat Magar</t>
  </si>
  <si>
    <t>eshani59@example.com</t>
  </si>
  <si>
    <t>Mishti Randhawa</t>
  </si>
  <si>
    <t>pdugar@example.org</t>
  </si>
  <si>
    <t>Jiya Chatterjee</t>
  </si>
  <si>
    <t>STU951</t>
  </si>
  <si>
    <t>ENR951</t>
  </si>
  <si>
    <t>chandrarhea@example.org</t>
  </si>
  <si>
    <t>Charvi Arya</t>
  </si>
  <si>
    <t>STU050</t>
  </si>
  <si>
    <t>ENR050</t>
  </si>
  <si>
    <t>lsridhar@example.com</t>
  </si>
  <si>
    <t>Elakshi Raja</t>
  </si>
  <si>
    <t>STU719</t>
  </si>
  <si>
    <t>ENR719</t>
  </si>
  <si>
    <t>zeeshangoda@example.org</t>
  </si>
  <si>
    <t>Adira Chaudhuri</t>
  </si>
  <si>
    <t>STU1124</t>
  </si>
  <si>
    <t>ENR1124</t>
  </si>
  <si>
    <t>vihaandoctor@example.com</t>
  </si>
  <si>
    <t>Kartik Chahal</t>
  </si>
  <si>
    <t>STU885</t>
  </si>
  <si>
    <t>ENR885</t>
  </si>
  <si>
    <t>vaibhavkant@example.net</t>
  </si>
  <si>
    <t>Zara Bhardwaj</t>
  </si>
  <si>
    <t>lakshitsidhu@example.net</t>
  </si>
  <si>
    <t>Pari Chaudhari</t>
  </si>
  <si>
    <t>STU889</t>
  </si>
  <si>
    <t>ENR889</t>
  </si>
  <si>
    <t>aliamanda@example.com</t>
  </si>
  <si>
    <t>Ivana Dhillon</t>
  </si>
  <si>
    <t>gatikborah@example.org</t>
  </si>
  <si>
    <t>Keya Savant</t>
  </si>
  <si>
    <t>STU904</t>
  </si>
  <si>
    <t>ENR904</t>
  </si>
  <si>
    <t>deotejas@example.com</t>
  </si>
  <si>
    <t>Shanaya Kurian</t>
  </si>
  <si>
    <t>hunarbuch@example.org</t>
  </si>
  <si>
    <t>Anahi Thakur</t>
  </si>
  <si>
    <t>STU055</t>
  </si>
  <si>
    <t>ENR055</t>
  </si>
  <si>
    <t>hanshsehgal@example.org</t>
  </si>
  <si>
    <t>Gokul Bir</t>
  </si>
  <si>
    <t>STU945</t>
  </si>
  <si>
    <t>ENR945</t>
  </si>
  <si>
    <t>ghanda@example.org</t>
  </si>
  <si>
    <t>Gatik Shanker</t>
  </si>
  <si>
    <t>dhruv39@example.org</t>
  </si>
  <si>
    <t>Misha Bhardwaj</t>
  </si>
  <si>
    <t>gbhat@example.net</t>
  </si>
  <si>
    <t>Myra Kalla</t>
  </si>
  <si>
    <t>STU1186</t>
  </si>
  <si>
    <t>ENR1186</t>
  </si>
  <si>
    <t>samairabalan@example.com</t>
  </si>
  <si>
    <t>Nirvi Jayaraman</t>
  </si>
  <si>
    <t>kavyasaxena@example.com</t>
  </si>
  <si>
    <t>Adira Reddy</t>
  </si>
  <si>
    <t>hchandra@example.net</t>
  </si>
  <si>
    <t>Lakshit Dhar</t>
  </si>
  <si>
    <t>STU011</t>
  </si>
  <si>
    <t>ENR011</t>
  </si>
  <si>
    <t>balasubramanianindrajit@example.net</t>
  </si>
  <si>
    <t>Lagan Salvi</t>
  </si>
  <si>
    <t>farhan32@example.net</t>
  </si>
  <si>
    <t>Dhruv Saraf</t>
  </si>
  <si>
    <t>STU833</t>
  </si>
  <si>
    <t>ENR833</t>
  </si>
  <si>
    <t>mannat04@example.net</t>
  </si>
  <si>
    <t>Vritika Dani</t>
  </si>
  <si>
    <t>STU1021</t>
  </si>
  <si>
    <t>ENR1021</t>
  </si>
  <si>
    <t>gardemishti@example.com</t>
  </si>
  <si>
    <t>Vihaan Balakrishnan</t>
  </si>
  <si>
    <t>veervarty@example.org</t>
  </si>
  <si>
    <t>Dishani Gupta</t>
  </si>
  <si>
    <t>STU572</t>
  </si>
  <si>
    <t>ENR572</t>
  </si>
  <si>
    <t>gkohli@example.com</t>
  </si>
  <si>
    <t>Misha Krishnan</t>
  </si>
  <si>
    <t>STU611</t>
  </si>
  <si>
    <t>ENR611</t>
  </si>
  <si>
    <t>zainavarkey@example.org</t>
  </si>
  <si>
    <t>Zara Ben</t>
  </si>
  <si>
    <t>STU1037</t>
  </si>
  <si>
    <t>ENR1037</t>
  </si>
  <si>
    <t>varkeysuhana@example.org</t>
  </si>
  <si>
    <t>Dhruv Madan</t>
  </si>
  <si>
    <t>borraishita@example.com</t>
  </si>
  <si>
    <t>Ehsaan Dave</t>
  </si>
  <si>
    <t>STU1171</t>
  </si>
  <si>
    <t>ENR1171</t>
  </si>
  <si>
    <t>xbains@example.org</t>
  </si>
  <si>
    <t>Madhup Kamdar</t>
  </si>
  <si>
    <t>beraparinaaz@example.org</t>
  </si>
  <si>
    <t>Vivaan Goda</t>
  </si>
  <si>
    <t>STU529</t>
  </si>
  <si>
    <t>ENR529</t>
  </si>
  <si>
    <t>deollagan@example.org</t>
  </si>
  <si>
    <t>Inaaya  Walla</t>
  </si>
  <si>
    <t>aayushrege@example.com</t>
  </si>
  <si>
    <t>Miraya Rastogi</t>
  </si>
  <si>
    <t>STU827</t>
  </si>
  <si>
    <t>ENR827</t>
  </si>
  <si>
    <t>diyarajagopalan@example.net</t>
  </si>
  <si>
    <t>Aniruddh Gera</t>
  </si>
  <si>
    <t>fchana@example.net</t>
  </si>
  <si>
    <t>Hunar Sagar</t>
  </si>
  <si>
    <t>STU946</t>
  </si>
  <si>
    <t>ENR946</t>
  </si>
  <si>
    <t>bakshipari@example.com</t>
  </si>
  <si>
    <t>Hazel Ganguly</t>
  </si>
  <si>
    <t>STU369</t>
  </si>
  <si>
    <t>ENR369</t>
  </si>
  <si>
    <t>lallariya@example.com</t>
  </si>
  <si>
    <t>Siya Arora</t>
  </si>
  <si>
    <t>STU007</t>
  </si>
  <si>
    <t>ENR007</t>
  </si>
  <si>
    <t>vaidyanavya@example.org</t>
  </si>
  <si>
    <t>Prisha Ram</t>
  </si>
  <si>
    <t>annejivika@example.org</t>
  </si>
  <si>
    <t>Ivan Bassi</t>
  </si>
  <si>
    <t>STU682</t>
  </si>
  <si>
    <t>ENR682</t>
  </si>
  <si>
    <t>riyaganguly@example.net</t>
  </si>
  <si>
    <t>Zain Bhasin</t>
  </si>
  <si>
    <t>STU1091</t>
  </si>
  <si>
    <t>ENR1091</t>
  </si>
  <si>
    <t>sara61@example.net</t>
  </si>
  <si>
    <t>Ivan Boase</t>
  </si>
  <si>
    <t>daminisaxena@example.org</t>
  </si>
  <si>
    <t>Shamik Iyengar</t>
  </si>
  <si>
    <t>STU045</t>
  </si>
  <si>
    <t>ENR045</t>
  </si>
  <si>
    <t>nayantara64@example.net</t>
  </si>
  <si>
    <t>Shalv Sridhar</t>
  </si>
  <si>
    <t>STU019</t>
  </si>
  <si>
    <t>ENR019</t>
  </si>
  <si>
    <t>samihabhatti@example.net</t>
  </si>
  <si>
    <t>Aarna Kumar</t>
  </si>
  <si>
    <t>STU1019</t>
  </si>
  <si>
    <t>ENR1019</t>
  </si>
  <si>
    <t>vbajwa@example.net</t>
  </si>
  <si>
    <t>Prisha Saraf</t>
  </si>
  <si>
    <t>STU966</t>
  </si>
  <si>
    <t>ENR966</t>
  </si>
  <si>
    <t>hsampath@example.net</t>
  </si>
  <si>
    <t>Stuvan Yogi</t>
  </si>
  <si>
    <t>vedika94@example.net</t>
  </si>
  <si>
    <t>Lakshay Wagle</t>
  </si>
  <si>
    <t>STU033</t>
  </si>
  <si>
    <t>ENR033</t>
  </si>
  <si>
    <t>lakshay88@example.com</t>
  </si>
  <si>
    <t>Parinaaz Dube</t>
  </si>
  <si>
    <t>STU1013</t>
  </si>
  <si>
    <t>ENR1013</t>
  </si>
  <si>
    <t>vchadha@example.com</t>
  </si>
  <si>
    <t>Nirvaan Sehgal</t>
  </si>
  <si>
    <t>dhruv78@example.com</t>
  </si>
  <si>
    <t>Ivan Vohra</t>
  </si>
  <si>
    <t>STU692</t>
  </si>
  <si>
    <t>ENR692</t>
  </si>
  <si>
    <t>khushi34@example.net</t>
  </si>
  <si>
    <t>Jivin Lata</t>
  </si>
  <si>
    <t>latanitara@example.com</t>
  </si>
  <si>
    <t>Rhea Dewan</t>
  </si>
  <si>
    <t>STU925</t>
  </si>
  <si>
    <t>ENR925</t>
  </si>
  <si>
    <t>gghose@example.org</t>
  </si>
  <si>
    <t>Lakshay Dave</t>
  </si>
  <si>
    <t>STU794</t>
  </si>
  <si>
    <t>ENR794</t>
  </si>
  <si>
    <t>mahallavanya@example.net</t>
  </si>
  <si>
    <t>Raghav Sathe</t>
  </si>
  <si>
    <t>alisha51@example.org</t>
  </si>
  <si>
    <t>Jiya Sandal</t>
  </si>
  <si>
    <t>ritvikmangat@example.com</t>
  </si>
  <si>
    <t>Emir Sachdev</t>
  </si>
  <si>
    <t>hroy@example.org</t>
  </si>
  <si>
    <t>Saira Konda</t>
  </si>
  <si>
    <t>STU1157</t>
  </si>
  <si>
    <t>ENR1157</t>
  </si>
  <si>
    <t>eshanisarma@example.org</t>
  </si>
  <si>
    <t>Yuvraj  Lala</t>
  </si>
  <si>
    <t>kartikwalia@example.net</t>
  </si>
  <si>
    <t>Gokul Swamy</t>
  </si>
  <si>
    <t>nirvaanchaudry@example.com</t>
  </si>
  <si>
    <t>Adah Raja</t>
  </si>
  <si>
    <t>STU547</t>
  </si>
  <si>
    <t>ENR547</t>
  </si>
  <si>
    <t>lakshit37@example.com</t>
  </si>
  <si>
    <t>Aaryahi Ramakrishnan</t>
  </si>
  <si>
    <t>chaudhryriya@example.net</t>
  </si>
  <si>
    <t>Alia Sarraf</t>
  </si>
  <si>
    <t>khushi68@example.com</t>
  </si>
  <si>
    <t>Baiju Mall</t>
  </si>
  <si>
    <t>STU566</t>
  </si>
  <si>
    <t>ENR566</t>
  </si>
  <si>
    <t>gchandran@example.net</t>
  </si>
  <si>
    <t>Ivan Majumdar</t>
  </si>
  <si>
    <t>STU1189</t>
  </si>
  <si>
    <t>ENR1189</t>
  </si>
  <si>
    <t>biradvik@example.org</t>
  </si>
  <si>
    <t>Baiju Hora</t>
  </si>
  <si>
    <t>STU790</t>
  </si>
  <si>
    <t>ENR790</t>
  </si>
  <si>
    <t>desaigokul@example.org</t>
  </si>
  <si>
    <t>Aarna Gill</t>
  </si>
  <si>
    <t>STU775</t>
  </si>
  <si>
    <t>ENR775</t>
  </si>
  <si>
    <t>amiradubey@example.org</t>
  </si>
  <si>
    <t>Shalv Mane</t>
  </si>
  <si>
    <t>mchana@example.net</t>
  </si>
  <si>
    <t>Zain Hans</t>
  </si>
  <si>
    <t>bhaminiwable@example.com</t>
  </si>
  <si>
    <t>Himmat Amble</t>
  </si>
  <si>
    <t>jayanchana@example.net</t>
  </si>
  <si>
    <t>Hazel Sahota</t>
  </si>
  <si>
    <t>STU118</t>
  </si>
  <si>
    <t>ENR118</t>
  </si>
  <si>
    <t>kabir19@example.org</t>
  </si>
  <si>
    <t>Badal Chandra</t>
  </si>
  <si>
    <t>STU671</t>
  </si>
  <si>
    <t>ENR671</t>
  </si>
  <si>
    <t>dashsamarth@example.com</t>
  </si>
  <si>
    <t>Nehmat Bera</t>
  </si>
  <si>
    <t>STU860</t>
  </si>
  <si>
    <t>ENR860</t>
  </si>
  <si>
    <t>hrishitavala@example.com</t>
  </si>
  <si>
    <t>Amira Halder</t>
  </si>
  <si>
    <t>neysagupta@example.com</t>
  </si>
  <si>
    <t>Badal Shankar</t>
  </si>
  <si>
    <t>STU863</t>
  </si>
  <si>
    <t>ENR863</t>
  </si>
  <si>
    <t>blad@example.org</t>
  </si>
  <si>
    <t>Trisha Jain</t>
  </si>
  <si>
    <t>STU098</t>
  </si>
  <si>
    <t>ENR098</t>
  </si>
  <si>
    <t>aarav97@example.net</t>
  </si>
  <si>
    <t>Stuvan Lad</t>
  </si>
  <si>
    <t>boraseher@example.org</t>
  </si>
  <si>
    <t>Vidur Khanna</t>
  </si>
  <si>
    <t>manjari85@example.com</t>
  </si>
  <si>
    <t>Romil Sethi</t>
  </si>
  <si>
    <t>madhupdyal@example.com</t>
  </si>
  <si>
    <t>Anaya Amble</t>
  </si>
  <si>
    <t>loyalyasmin@example.com</t>
  </si>
  <si>
    <t>Vardaniya Kurian</t>
  </si>
  <si>
    <t>STU1126</t>
  </si>
  <si>
    <t>ENR1126</t>
  </si>
  <si>
    <t>kbanerjee@example.net</t>
  </si>
  <si>
    <t>Priyansh Srivastava</t>
  </si>
  <si>
    <t>STU075</t>
  </si>
  <si>
    <t>ENR075</t>
  </si>
  <si>
    <t>mchatterjee@example.com</t>
  </si>
  <si>
    <t>Prerak Khosla</t>
  </si>
  <si>
    <t>STU071</t>
  </si>
  <si>
    <t>ENR071</t>
  </si>
  <si>
    <t>singhhansh@example.com</t>
  </si>
  <si>
    <t>Saira Bobal</t>
  </si>
  <si>
    <t>STU1111</t>
  </si>
  <si>
    <t>ENR1111</t>
  </si>
  <si>
    <t>jhapiya@example.com</t>
  </si>
  <si>
    <t>Sumer Shere</t>
  </si>
  <si>
    <t>rashabora@example.org</t>
  </si>
  <si>
    <t>Anaya Babu</t>
  </si>
  <si>
    <t>shray27@example.org</t>
  </si>
  <si>
    <t>Comprehensive-Engineering-College-Admission-Analysis</t>
  </si>
  <si>
    <t>CoTotal_fess_including_exam_feeslumn1</t>
  </si>
  <si>
    <t>No</t>
  </si>
  <si>
    <t>No_of_Students_enrolled</t>
  </si>
  <si>
    <t>Pivot 1</t>
  </si>
  <si>
    <t>total_admissions</t>
  </si>
  <si>
    <t>Pivot 2</t>
  </si>
  <si>
    <t>Count</t>
  </si>
  <si>
    <t>18-19</t>
  </si>
  <si>
    <t>20-21</t>
  </si>
  <si>
    <t>22-23</t>
  </si>
  <si>
    <t>24-25</t>
  </si>
  <si>
    <t>26-28</t>
  </si>
  <si>
    <t>p3</t>
  </si>
  <si>
    <t>Average of 12th Percentage</t>
  </si>
  <si>
    <t>Average of 10th Percentage</t>
  </si>
  <si>
    <t>Count of Specialization</t>
  </si>
  <si>
    <t>(All)</t>
  </si>
  <si>
    <t>Total_admissions</t>
  </si>
  <si>
    <t>total_transactions</t>
  </si>
  <si>
    <t>p7</t>
  </si>
  <si>
    <t>p5</t>
  </si>
  <si>
    <t>p4</t>
  </si>
  <si>
    <t>p6</t>
  </si>
  <si>
    <t>p8</t>
  </si>
  <si>
    <t>total</t>
  </si>
  <si>
    <t>100641-200640</t>
  </si>
  <si>
    <t>200641-300640</t>
  </si>
  <si>
    <t>300641-400640</t>
  </si>
  <si>
    <t>400641-500640</t>
  </si>
  <si>
    <t>500641-600640</t>
  </si>
  <si>
    <t>600641-700640</t>
  </si>
  <si>
    <t>700641-800640</t>
  </si>
  <si>
    <t>p9</t>
  </si>
  <si>
    <t>p10</t>
  </si>
  <si>
    <t>Percent</t>
  </si>
  <si>
    <t>Count of Students Enrolled</t>
  </si>
  <si>
    <t>Forecast(No_of_Students_enrolled)</t>
  </si>
  <si>
    <t>Lower Confidence Bound(No_of_Students_enrolled)</t>
  </si>
  <si>
    <t>Upper Confidence Bound(No_of_Students_enrolled)</t>
  </si>
  <si>
    <t>Statistic</t>
  </si>
  <si>
    <t>Value</t>
  </si>
  <si>
    <t>Alpha</t>
  </si>
  <si>
    <t>Beta</t>
  </si>
  <si>
    <t>Gamma</t>
  </si>
  <si>
    <t>MASE</t>
  </si>
  <si>
    <t>SMAPE</t>
  </si>
  <si>
    <t>MAE</t>
  </si>
  <si>
    <t>RMSE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</si>
</sst>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8"/>
      <color theme="0"/>
      <name val="Arial"/>
      <family val="2"/>
    </font>
    <font>
      <i/>
      <sz val="11"/>
      <color theme="1"/>
      <name val="Calibri"/>
      <family val="2"/>
      <scheme val="minor"/>
    </font>
    <font>
      <sz val="14"/>
      <color theme="4" tint="0.39997558519241921"/>
      <name val="Arial Black"/>
      <family val="2"/>
    </font>
    <font>
      <sz val="11"/>
      <color theme="5" tint="0.39997558519241921"/>
      <name val="Calibri"/>
      <family val="2"/>
      <scheme val="minor"/>
    </font>
    <font>
      <sz val="11"/>
      <color rgb="FF6EE0EC"/>
      <name val="Arial Unicode MS"/>
      <family val="2"/>
    </font>
    <font>
      <b/>
      <sz val="11"/>
      <color rgb="FFF32BD6"/>
      <name val="Arial Unicode MS"/>
      <family val="2"/>
    </font>
    <font>
      <sz val="11"/>
      <color rgb="FF33D32B"/>
      <name val="Arial Unicode MS"/>
      <family val="2"/>
    </font>
    <font>
      <sz val="11"/>
      <color rgb="FFFF0000"/>
      <name val="Arial Unicode MS"/>
      <family val="2"/>
    </font>
    <font>
      <sz val="11"/>
      <color theme="2"/>
      <name val="Calibri"/>
      <family val="2"/>
      <scheme val="minor"/>
    </font>
    <font>
      <sz val="14"/>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1" tint="4.9989318521683403E-2"/>
        <bgColor indexed="64"/>
      </patternFill>
    </fill>
    <fill>
      <patternFill patternType="solid">
        <fgColor theme="1"/>
        <bgColor theme="0" tint="-0.14999847407452621"/>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77111117893"/>
      </left>
      <right style="thin">
        <color theme="0" tint="-0.249977111117893"/>
      </right>
      <top/>
      <bottom/>
      <diagonal/>
    </border>
    <border>
      <left/>
      <right/>
      <top/>
      <bottom style="medium">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1">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xf>
    <xf numFmtId="0" fontId="0" fillId="0" borderId="0" xfId="0" pivotButton="1"/>
    <xf numFmtId="0" fontId="0" fillId="0" borderId="0" xfId="0" applyNumberFormat="1"/>
    <xf numFmtId="0" fontId="0" fillId="33" borderId="0" xfId="0" applyFill="1"/>
    <xf numFmtId="0" fontId="19" fillId="33" borderId="12" xfId="0" applyFont="1" applyFill="1" applyBorder="1" applyAlignment="1">
      <alignment horizontal="center"/>
    </xf>
    <xf numFmtId="0" fontId="0" fillId="33" borderId="12" xfId="0" applyFont="1" applyFill="1" applyBorder="1" applyAlignment="1">
      <alignment vertical="center"/>
    </xf>
    <xf numFmtId="0" fontId="0" fillId="33" borderId="0" xfId="0" applyNumberFormat="1" applyFill="1" applyBorder="1" applyAlignment="1"/>
    <xf numFmtId="0" fontId="0" fillId="33" borderId="0" xfId="0" applyFill="1" applyBorder="1" applyAlignment="1"/>
    <xf numFmtId="0" fontId="0" fillId="33" borderId="11" xfId="0" applyFill="1" applyBorder="1" applyAlignment="1"/>
    <xf numFmtId="0" fontId="0" fillId="33" borderId="0" xfId="0" applyNumberFormat="1" applyFill="1"/>
    <xf numFmtId="0" fontId="20" fillId="33" borderId="0" xfId="0" applyFont="1" applyFill="1"/>
    <xf numFmtId="0" fontId="21" fillId="33" borderId="0" xfId="0" applyFont="1" applyFill="1"/>
    <xf numFmtId="0" fontId="22" fillId="33" borderId="0" xfId="0" applyFont="1" applyFill="1"/>
    <xf numFmtId="0" fontId="23" fillId="33" borderId="13" xfId="0" applyFont="1" applyFill="1" applyBorder="1"/>
    <xf numFmtId="0" fontId="24" fillId="33" borderId="0" xfId="0" applyFont="1" applyFill="1"/>
    <xf numFmtId="0" fontId="25" fillId="33" borderId="0" xfId="0" applyFont="1" applyFill="1"/>
    <xf numFmtId="0" fontId="0" fillId="35" borderId="10" xfId="0" applyNumberFormat="1" applyFill="1" applyBorder="1"/>
    <xf numFmtId="14" fontId="0" fillId="0" borderId="0" xfId="0" applyNumberFormat="1"/>
    <xf numFmtId="0" fontId="26" fillId="33" borderId="0" xfId="0" applyFont="1" applyFill="1"/>
    <xf numFmtId="0" fontId="0" fillId="0" borderId="0" xfId="0" applyAlignment="1">
      <alignment horizontal="left"/>
    </xf>
    <xf numFmtId="0" fontId="0" fillId="0" borderId="0" xfId="0" pivotButton="1" applyAlignment="1">
      <alignment horizontal="center"/>
    </xf>
    <xf numFmtId="0" fontId="0" fillId="0" borderId="0" xfId="0" applyAlignment="1">
      <alignment horizontal="center"/>
    </xf>
    <xf numFmtId="10" fontId="0" fillId="0" borderId="0" xfId="0" applyNumberFormat="1"/>
    <xf numFmtId="0" fontId="27" fillId="33" borderId="0" xfId="0" applyFont="1" applyFill="1"/>
    <xf numFmtId="0" fontId="0" fillId="0" borderId="0" xfId="0" applyNumberFormat="1"/>
    <xf numFmtId="2" fontId="0" fillId="0" borderId="0" xfId="0" applyNumberFormat="1"/>
    <xf numFmtId="4" fontId="0" fillId="0" borderId="0" xfId="0" applyNumberFormat="1"/>
    <xf numFmtId="0" fontId="18" fillId="34" borderId="0" xfId="0" applyFont="1" applyFill="1" applyAlignment="1">
      <alignment horizont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0">
    <dxf>
      <numFmt numFmtId="4" formatCode="#,##0.00"/>
    </dxf>
    <dxf>
      <numFmt numFmtId="2" formatCode="0.00"/>
    </dxf>
    <dxf>
      <numFmt numFmtId="2" formatCode="0.00"/>
    </dxf>
    <dxf>
      <numFmt numFmtId="0" formatCode="General"/>
    </dxf>
    <dxf>
      <numFmt numFmtId="0" formatCode="General"/>
    </dxf>
    <dxf>
      <numFmt numFmtId="19" formatCode="dd/mm/yyyy"/>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theme="2" tint="-0.499984740745262"/>
        <name val="Calibri"/>
        <scheme val="minor"/>
      </font>
      <fill>
        <gradientFill degree="90">
          <stop position="0">
            <color theme="2" tint="-0.49803155613879818"/>
          </stop>
          <stop position="1">
            <color theme="1" tint="5.0965910824915313E-2"/>
          </stop>
        </gradientFill>
      </fill>
      <border>
        <left style="thick">
          <color auto="1"/>
        </left>
        <right style="thick">
          <color auto="1"/>
        </right>
        <top style="thick">
          <color auto="1"/>
        </top>
        <bottom style="thick">
          <color auto="1"/>
        </bottom>
      </border>
    </dxf>
    <dxf>
      <fill>
        <patternFill>
          <bgColor theme="4"/>
        </patternFill>
      </fill>
    </dxf>
    <dxf>
      <font>
        <b/>
        <i val="0"/>
        <sz val="11"/>
        <color theme="6"/>
        <name val="Calibri Light"/>
        <scheme val="major"/>
      </font>
      <fill>
        <patternFill>
          <bgColor theme="1"/>
        </patternFill>
      </fill>
      <border>
        <left style="thin">
          <color rgb="FF2B9CF9"/>
        </left>
        <right style="thin">
          <color rgb="FF2B9CF9"/>
        </right>
        <top style="thin">
          <color rgb="FF2B9CF9"/>
        </top>
        <bottom style="thin">
          <color rgb="FF2B9CF9"/>
        </bottom>
      </border>
    </dxf>
  </dxfs>
  <tableStyles count="6" defaultTableStyle="TableStyleMedium2" defaultPivotStyle="PivotStyleLight16">
    <tableStyle name="Slicer Style 1" pivot="0" table="0" count="1"/>
    <tableStyle name="Slicer Style 2" pivot="0" table="0" count="2">
      <tableStyleElement type="wholeTable" dxfId="39"/>
    </tableStyle>
    <tableStyle name="Slicer Style 3" pivot="0" table="0" count="1">
      <tableStyleElement type="wholeTable" dxfId="38"/>
    </tableStyle>
    <tableStyle name="Slicer Style 4" pivot="0" table="0" count="1"/>
    <tableStyle name="Slicer Style 5" pivot="0" table="0" count="1"/>
    <tableStyle name="Slicer Style 6" pivot="0" table="0" count="2">
      <tableStyleElement type="wholeTable" dxfId="37"/>
    </tableStyle>
  </tableStyles>
  <colors>
    <mruColors>
      <color rgb="FFF32BD6"/>
      <color rgb="FF2B9CF9"/>
      <color rgb="FF38FEB3"/>
      <color rgb="FF7DE3FB"/>
      <color rgb="FF5650D0"/>
      <color rgb="FF33D32B"/>
      <color rgb="FF6EE0EC"/>
      <color rgb="FFDA46C8"/>
      <color rgb="FF70F5F8"/>
      <color rgb="FF9CFABB"/>
    </mruColors>
  </colors>
  <extLst>
    <ext xmlns:x14="http://schemas.microsoft.com/office/spreadsheetml/2009/9/main" uri="{46F421CA-312F-682f-3DD2-61675219B42D}">
      <x14:dxfs count="5">
        <dxf>
          <font>
            <sz val="10"/>
            <color theme="2" tint="-0.499984740745262"/>
            <name val="Calibri"/>
            <scheme val="minor"/>
          </font>
          <fill>
            <patternFill patternType="none">
              <bgColor auto="1"/>
            </patternFill>
          </fill>
          <border diagonalUp="0">
            <left style="thick">
              <color theme="2" tint="-0.499984740745262"/>
            </left>
            <right style="thick">
              <color theme="2" tint="-0.499984740745262"/>
            </right>
            <top style="thick">
              <color theme="2" tint="-0.499984740745262"/>
            </top>
            <bottom style="thick">
              <color theme="2" tint="-0.499984740745262"/>
            </bottom>
          </border>
        </dxf>
        <dxf>
          <font>
            <b/>
            <i val="0"/>
            <color theme="2" tint="-0.499984740745262"/>
            <name val="Calibri"/>
            <scheme val="minor"/>
          </font>
          <fill>
            <patternFill>
              <bgColor theme="1"/>
            </patternFill>
          </fill>
          <border>
            <left style="thick">
              <color auto="1"/>
            </left>
            <right style="thick">
              <color auto="1"/>
            </right>
            <top style="thick">
              <color auto="1"/>
            </top>
            <bottom style="thick">
              <color auto="1"/>
            </bottom>
          </border>
        </dxf>
        <dxf>
          <fill>
            <patternFill>
              <bgColor theme="1"/>
            </patternFill>
          </fill>
        </dxf>
        <dxf>
          <font>
            <b val="0"/>
            <i val="0"/>
            <strike val="0"/>
            <sz val="12"/>
            <color rgb="FFF32BD6"/>
            <name val="Bahnschrift Condensed"/>
            <scheme val="none"/>
          </font>
        </dxf>
        <dxf>
          <font>
            <sz val="11"/>
            <name val="Calibri"/>
            <scheme val="minor"/>
          </font>
          <fill>
            <patternFill patternType="none">
              <fgColor auto="1"/>
              <bgColor auto="1"/>
            </patternFill>
          </fill>
        </dxf>
      </x14:dxfs>
    </ext>
    <ext xmlns:x14="http://schemas.microsoft.com/office/spreadsheetml/2009/9/main" uri="{EB79DEF2-80B8-43e5-95BD-54CBDDF9020C}">
      <x14:slicerStyles defaultSlicerStyle="SlicerStyleLight1">
        <x14:slicerStyle name="Slicer Style 1">
          <x14:slicerStyleElements>
            <x14:slicerStyleElement type="hoveredUnselectedItemWithData" dxfId="4"/>
          </x14:slicerStyleElements>
        </x14:slicerStyle>
        <x14:slicerStyle name="Slicer Style 2">
          <x14:slicerStyleElements>
            <x14:slicerStyleElement type="selectedItemWithData" dxfId="3"/>
          </x14:slicerStyleElements>
        </x14:slicerStyle>
        <x14:slicerStyle name="Slicer Style 3"/>
        <x14:slicerStyle name="Slicer Style 4">
          <x14:slicerStyleElements>
            <x14:slicerStyleElement type="selectedItemWithNoData" dxfId="2"/>
          </x14:slicerStyleElements>
        </x14:slicerStyle>
        <x14:slicerStyle name="Slicer Style 5">
          <x14:slicerStyleElements>
            <x14:slicerStyleElement type="selectedItemWithData" dxfId="1"/>
          </x14:slicerStyleElements>
        </x14:slicerStyle>
        <x14:slicerStyle name="Slicer Style 6">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207316476744754E-2"/>
          <c:y val="4.3290043290043288E-2"/>
          <c:w val="0.91815914315058444"/>
          <c:h val="0.68637011282680571"/>
        </c:manualLayout>
      </c:layout>
      <c:lineChart>
        <c:grouping val="standard"/>
        <c:varyColors val="0"/>
        <c:ser>
          <c:idx val="0"/>
          <c:order val="0"/>
          <c:tx>
            <c:strRef>
              <c:f>Sheet4!$B$4</c:f>
              <c:strCache>
                <c:ptCount val="1"/>
                <c:pt idx="0">
                  <c:v>No_of_Students_enrolled</c:v>
                </c:pt>
              </c:strCache>
            </c:strRef>
          </c:tx>
          <c:spPr>
            <a:ln w="28575" cap="rnd">
              <a:solidFill>
                <a:schemeClr val="accent1"/>
              </a:solidFill>
              <a:round/>
            </a:ln>
            <a:effectLst/>
          </c:spPr>
          <c:marker>
            <c:symbol val="none"/>
          </c:marker>
          <c:trendline>
            <c:spPr>
              <a:ln w="22225" cap="rnd">
                <a:solidFill>
                  <a:srgbClr val="FF0000"/>
                </a:solidFill>
                <a:prstDash val="solid"/>
                <a:tailEnd type="triangle"/>
              </a:ln>
              <a:effectLst>
                <a:glow rad="38100">
                  <a:srgbClr val="FF0000">
                    <a:alpha val="21000"/>
                  </a:srgbClr>
                </a:glow>
              </a:effectLst>
            </c:spPr>
            <c:trendlineType val="power"/>
            <c:dispRSqr val="1"/>
            <c:dispEq val="1"/>
            <c:trendlineLbl>
              <c:layout>
                <c:manualLayout>
                  <c:x val="-9.4483044270628966E-2"/>
                  <c:y val="0.2871991001124859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trendlineLbl>
          </c:trendline>
          <c:val>
            <c:numRef>
              <c:f>Sheet4!$B$5:$B$16</c:f>
              <c:numCache>
                <c:formatCode>General</c:formatCode>
                <c:ptCount val="12"/>
                <c:pt idx="0">
                  <c:v>260</c:v>
                </c:pt>
                <c:pt idx="1">
                  <c:v>249</c:v>
                </c:pt>
                <c:pt idx="2">
                  <c:v>279</c:v>
                </c:pt>
                <c:pt idx="3">
                  <c:v>264</c:v>
                </c:pt>
                <c:pt idx="4">
                  <c:v>281</c:v>
                </c:pt>
                <c:pt idx="5">
                  <c:v>265</c:v>
                </c:pt>
              </c:numCache>
            </c:numRef>
          </c:val>
          <c:smooth val="0"/>
          <c:extLst>
            <c:ext xmlns:c16="http://schemas.microsoft.com/office/drawing/2014/chart" uri="{C3380CC4-5D6E-409C-BE32-E72D297353CC}">
              <c16:uniqueId val="{00000000-4B83-41F5-A4A2-2B590F9DA9BD}"/>
            </c:ext>
          </c:extLst>
        </c:ser>
        <c:ser>
          <c:idx val="1"/>
          <c:order val="1"/>
          <c:tx>
            <c:strRef>
              <c:f>Sheet4!$C$4</c:f>
              <c:strCache>
                <c:ptCount val="1"/>
                <c:pt idx="0">
                  <c:v>Forecast(No_of_Students_enrolled)</c:v>
                </c:pt>
              </c:strCache>
            </c:strRef>
          </c:tx>
          <c:spPr>
            <a:ln w="25400" cap="rnd">
              <a:solidFill>
                <a:srgbClr val="FFFF00"/>
              </a:solidFill>
              <a:round/>
            </a:ln>
            <a:effectLst/>
          </c:spPr>
          <c:marker>
            <c:symbol val="none"/>
          </c:marker>
          <c:cat>
            <c:numRef>
              <c:f>Sheet4!$A$5:$A$16</c:f>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f>Sheet4!$C$5:$C$16</c:f>
              <c:numCache>
                <c:formatCode>General</c:formatCode>
                <c:ptCount val="12"/>
                <c:pt idx="5">
                  <c:v>265</c:v>
                </c:pt>
                <c:pt idx="6">
                  <c:v>289.28033423452365</c:v>
                </c:pt>
                <c:pt idx="7">
                  <c:v>273.38488565483738</c:v>
                </c:pt>
                <c:pt idx="8">
                  <c:v>297.66509475064765</c:v>
                </c:pt>
                <c:pt idx="9">
                  <c:v>281.76964617096138</c:v>
                </c:pt>
                <c:pt idx="10">
                  <c:v>306.04985526677166</c:v>
                </c:pt>
                <c:pt idx="11">
                  <c:v>290.15440668708538</c:v>
                </c:pt>
              </c:numCache>
            </c:numRef>
          </c:val>
          <c:smooth val="0"/>
          <c:extLst>
            <c:ext xmlns:c16="http://schemas.microsoft.com/office/drawing/2014/chart" uri="{C3380CC4-5D6E-409C-BE32-E72D297353CC}">
              <c16:uniqueId val="{00000001-4B83-41F5-A4A2-2B590F9DA9BD}"/>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rgbClr val="FF0000"/>
              </a:solidFill>
              <a:ln w="9525">
                <a:solidFill>
                  <a:srgbClr val="FF0000"/>
                </a:solidFill>
              </a:ln>
              <a:effectLst>
                <a:glow rad="25400">
                  <a:srgbClr val="FF0000">
                    <a:alpha val="94000"/>
                  </a:srgbClr>
                </a:glow>
              </a:effectLst>
            </c:spPr>
          </c:downBars>
        </c:upDownBars>
        <c:smooth val="0"/>
        <c:axId val="1468109968"/>
        <c:axId val="1468113296"/>
        <c:extLst>
          <c:ext xmlns:c15="http://schemas.microsoft.com/office/drawing/2012/chart" uri="{02D57815-91ED-43cb-92C2-25804820EDAC}">
            <c15:filteredLineSeries>
              <c15:ser>
                <c:idx val="2"/>
                <c:order val="2"/>
                <c:tx>
                  <c:strRef>
                    <c:extLst>
                      <c:ext uri="{02D57815-91ED-43cb-92C2-25804820EDAC}">
                        <c15:formulaRef>
                          <c15:sqref>Sheet4!$D$4</c15:sqref>
                        </c15:formulaRef>
                      </c:ext>
                    </c:extLst>
                    <c:strCache>
                      <c:ptCount val="1"/>
                      <c:pt idx="0">
                        <c:v>Lower Confidence Bound(No_of_Students_enrolled)</c:v>
                      </c:pt>
                    </c:strCache>
                  </c:strRef>
                </c:tx>
                <c:spPr>
                  <a:ln w="19050" cap="rnd">
                    <a:solidFill>
                      <a:schemeClr val="accent4">
                        <a:lumMod val="60000"/>
                        <a:lumOff val="40000"/>
                      </a:schemeClr>
                    </a:solidFill>
                    <a:prstDash val="solid"/>
                    <a:round/>
                  </a:ln>
                  <a:effectLst/>
                </c:spPr>
                <c:marker>
                  <c:symbol val="none"/>
                </c:marker>
                <c:cat>
                  <c:numRef>
                    <c:extLst>
                      <c:ext uri="{02D57815-91ED-43cb-92C2-25804820EDAC}">
                        <c15:formulaRef>
                          <c15:sqref>Sheet4!$A$5:$A$16</c15:sqref>
                        </c15:formulaRef>
                      </c:ext>
                    </c:extLst>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extLst>
                      <c:ext uri="{02D57815-91ED-43cb-92C2-25804820EDAC}">
                        <c15:formulaRef>
                          <c15:sqref>Sheet4!$D$5:$D$16</c15:sqref>
                        </c15:formulaRef>
                      </c:ext>
                    </c:extLst>
                    <c:numCache>
                      <c:formatCode>General</c:formatCode>
                      <c:ptCount val="12"/>
                      <c:pt idx="5" formatCode="0.00">
                        <c:v>265</c:v>
                      </c:pt>
                      <c:pt idx="6" formatCode="0.00">
                        <c:v>280.09562835820793</c:v>
                      </c:pt>
                      <c:pt idx="7" formatCode="0.00">
                        <c:v>261.02198154128871</c:v>
                      </c:pt>
                      <c:pt idx="8" formatCode="0.00">
                        <c:v>282.25830981159828</c:v>
                      </c:pt>
                      <c:pt idx="9" formatCode="0.00">
                        <c:v>264.27233309510916</c:v>
                      </c:pt>
                      <c:pt idx="10" formatCode="0.00">
                        <c:v>286.27558665651901</c:v>
                      </c:pt>
                      <c:pt idx="11" formatCode="0.00">
                        <c:v>268.7041460059848</c:v>
                      </c:pt>
                    </c:numCache>
                  </c:numRef>
                </c:val>
                <c:smooth val="0"/>
                <c:extLst>
                  <c:ext xmlns:c16="http://schemas.microsoft.com/office/drawing/2014/chart" uri="{C3380CC4-5D6E-409C-BE32-E72D297353CC}">
                    <c16:uniqueId val="{00000002-4B83-41F5-A4A2-2B590F9DA9B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Sheet4!$E$4</c15:sqref>
                        </c15:formulaRef>
                      </c:ext>
                    </c:extLst>
                    <c:strCache>
                      <c:ptCount val="1"/>
                      <c:pt idx="0">
                        <c:v>Upper Confidence Bound(No_of_Students_enrolled)</c:v>
                      </c:pt>
                    </c:strCache>
                  </c:strRef>
                </c:tx>
                <c:spPr>
                  <a:ln w="19050" cap="rnd">
                    <a:solidFill>
                      <a:schemeClr val="accent3">
                        <a:lumMod val="60000"/>
                        <a:lumOff val="40000"/>
                      </a:schemeClr>
                    </a:solidFill>
                    <a:prstDash val="solid"/>
                    <a:round/>
                  </a:ln>
                  <a:effectLst/>
                </c:spPr>
                <c:marker>
                  <c:symbol val="none"/>
                </c:marker>
                <c:cat>
                  <c:numRef>
                    <c:extLst xmlns:c15="http://schemas.microsoft.com/office/drawing/2012/chart">
                      <c:ext xmlns:c15="http://schemas.microsoft.com/office/drawing/2012/chart" uri="{02D57815-91ED-43cb-92C2-25804820EDAC}">
                        <c15:formulaRef>
                          <c15:sqref>Sheet4!$A$5:$A$16</c15:sqref>
                        </c15:formulaRef>
                      </c:ext>
                    </c:extLst>
                    <c:numCache>
                      <c:formatCode>General</c:formatCode>
                      <c:ptCount val="12"/>
                      <c:pt idx="0">
                        <c:v>2018</c:v>
                      </c:pt>
                      <c:pt idx="1">
                        <c:v>2019</c:v>
                      </c:pt>
                      <c:pt idx="2">
                        <c:v>2020</c:v>
                      </c:pt>
                      <c:pt idx="3">
                        <c:v>2021</c:v>
                      </c:pt>
                      <c:pt idx="4">
                        <c:v>2022</c:v>
                      </c:pt>
                      <c:pt idx="5">
                        <c:v>2023</c:v>
                      </c:pt>
                      <c:pt idx="6">
                        <c:v>2024</c:v>
                      </c:pt>
                      <c:pt idx="7">
                        <c:v>2025</c:v>
                      </c:pt>
                      <c:pt idx="8">
                        <c:v>2026</c:v>
                      </c:pt>
                      <c:pt idx="9">
                        <c:v>2027</c:v>
                      </c:pt>
                      <c:pt idx="10">
                        <c:v>2028</c:v>
                      </c:pt>
                      <c:pt idx="11">
                        <c:v>2029</c:v>
                      </c:pt>
                    </c:numCache>
                  </c:numRef>
                </c:cat>
                <c:val>
                  <c:numRef>
                    <c:extLst xmlns:c15="http://schemas.microsoft.com/office/drawing/2012/chart">
                      <c:ext xmlns:c15="http://schemas.microsoft.com/office/drawing/2012/chart" uri="{02D57815-91ED-43cb-92C2-25804820EDAC}">
                        <c15:formulaRef>
                          <c15:sqref>Sheet4!$E$5:$E$16</c15:sqref>
                        </c15:formulaRef>
                      </c:ext>
                    </c:extLst>
                    <c:numCache>
                      <c:formatCode>General</c:formatCode>
                      <c:ptCount val="12"/>
                      <c:pt idx="5" formatCode="0.00">
                        <c:v>265</c:v>
                      </c:pt>
                      <c:pt idx="6" formatCode="0.00">
                        <c:v>298.46504011083937</c:v>
                      </c:pt>
                      <c:pt idx="7" formatCode="0.00">
                        <c:v>285.74778976838604</c:v>
                      </c:pt>
                      <c:pt idx="8" formatCode="0.00">
                        <c:v>313.07187968969703</c:v>
                      </c:pt>
                      <c:pt idx="9" formatCode="0.00">
                        <c:v>299.2669592468136</c:v>
                      </c:pt>
                      <c:pt idx="10" formatCode="0.00">
                        <c:v>325.82412387702431</c:v>
                      </c:pt>
                      <c:pt idx="11" formatCode="0.00">
                        <c:v>311.60466736818597</c:v>
                      </c:pt>
                    </c:numCache>
                  </c:numRef>
                </c:val>
                <c:smooth val="0"/>
                <c:extLst xmlns:c15="http://schemas.microsoft.com/office/drawing/2012/chart">
                  <c:ext xmlns:c16="http://schemas.microsoft.com/office/drawing/2014/chart" uri="{C3380CC4-5D6E-409C-BE32-E72D297353CC}">
                    <c16:uniqueId val="{00000003-4B83-41F5-A4A2-2B590F9DA9BD}"/>
                  </c:ext>
                </c:extLst>
              </c15:ser>
            </c15:filteredLineSeries>
          </c:ext>
        </c:extLst>
      </c:lineChart>
      <c:catAx>
        <c:axId val="146810996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8113296"/>
        <c:crosses val="autoZero"/>
        <c:auto val="1"/>
        <c:lblAlgn val="ctr"/>
        <c:lblOffset val="100"/>
        <c:noMultiLvlLbl val="0"/>
      </c:catAx>
      <c:valAx>
        <c:axId val="1468113296"/>
        <c:scaling>
          <c:orientation val="minMax"/>
          <c:min val="2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8109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gradFill>
      <a:gsLst>
        <a:gs pos="58000">
          <a:srgbClr val="004A64"/>
        </a:gs>
        <a:gs pos="45166">
          <a:srgbClr val="002E3E"/>
        </a:gs>
        <a:gs pos="26000">
          <a:schemeClr val="tx1"/>
        </a:gs>
        <a:gs pos="100000">
          <a:srgbClr val="00B0F0"/>
        </a:gs>
      </a:gsLst>
      <a:lin ang="5400000" scaled="1"/>
    </a:gradFill>
    <a:ln w="9525" cap="flat" cmpd="sng" algn="ctr">
      <a:solidFill>
        <a:schemeClr val="tx1">
          <a:lumMod val="15000"/>
          <a:lumOff val="85000"/>
        </a:schemeClr>
      </a:solidFill>
      <a:round/>
    </a:ln>
    <a:effectLst>
      <a:glow rad="228600">
        <a:schemeClr val="accent4">
          <a:satMod val="175000"/>
          <a:alpha val="40000"/>
        </a:schemeClr>
      </a:glow>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(4).xlsm]pivots!PivotTable1</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5400" cap="rnd">
            <a:solidFill>
              <a:srgbClr val="58D5EE"/>
            </a:solidFill>
            <a:round/>
          </a:ln>
          <a:effectLst>
            <a:glow rad="50800">
              <a:srgbClr val="7DE3FB">
                <a:alpha val="40000"/>
              </a:srgbClr>
            </a:glow>
          </a:effectLst>
        </c:spPr>
        <c:marker>
          <c:symbol val="circle"/>
          <c:size val="7"/>
          <c:spPr>
            <a:solidFill>
              <a:schemeClr val="bg1"/>
            </a:solidFill>
            <a:ln w="9525">
              <a:solidFill>
                <a:schemeClr val="bg1"/>
              </a:solidFill>
            </a:ln>
            <a:effectLst>
              <a:glow rad="50800">
                <a:srgbClr val="7DE3FB">
                  <a:alpha val="40000"/>
                </a:srgbClr>
              </a:glow>
            </a:effectLst>
          </c:spPr>
        </c:marker>
      </c:pivotFmt>
    </c:pivotFmts>
    <c:plotArea>
      <c:layout/>
      <c:lineChart>
        <c:grouping val="standard"/>
        <c:varyColors val="0"/>
        <c:ser>
          <c:idx val="0"/>
          <c:order val="0"/>
          <c:tx>
            <c:strRef>
              <c:f>pivots!$B$10</c:f>
              <c:strCache>
                <c:ptCount val="1"/>
                <c:pt idx="0">
                  <c:v>Total</c:v>
                </c:pt>
              </c:strCache>
            </c:strRef>
          </c:tx>
          <c:spPr>
            <a:ln w="25400" cap="rnd">
              <a:solidFill>
                <a:srgbClr val="58D5EE"/>
              </a:solidFill>
              <a:round/>
            </a:ln>
            <a:effectLst>
              <a:glow rad="50800">
                <a:srgbClr val="7DE3FB">
                  <a:alpha val="40000"/>
                </a:srgbClr>
              </a:glow>
            </a:effectLst>
          </c:spPr>
          <c:marker>
            <c:symbol val="circle"/>
            <c:size val="7"/>
            <c:spPr>
              <a:solidFill>
                <a:schemeClr val="bg1"/>
              </a:solidFill>
              <a:ln w="9525">
                <a:solidFill>
                  <a:schemeClr val="bg1"/>
                </a:solidFill>
              </a:ln>
              <a:effectLst>
                <a:glow rad="50800">
                  <a:srgbClr val="7DE3FB">
                    <a:alpha val="40000"/>
                  </a:srgbClr>
                </a:glow>
              </a:effectLst>
            </c:spPr>
          </c:marker>
          <c:trendline>
            <c:spPr>
              <a:ln w="19050" cap="rnd">
                <a:solidFill>
                  <a:srgbClr val="F32BD6"/>
                </a:solidFill>
                <a:prstDash val="solid"/>
              </a:ln>
              <a:effectLst>
                <a:glow rad="228600">
                  <a:schemeClr val="accent1">
                    <a:satMod val="175000"/>
                    <a:alpha val="40000"/>
                  </a:schemeClr>
                </a:glow>
              </a:effectLst>
            </c:spPr>
            <c:trendlineType val="poly"/>
            <c:order val="2"/>
            <c:forward val="1"/>
            <c:dispRSqr val="0"/>
            <c:dispEq val="0"/>
          </c:trendline>
          <c:cat>
            <c:strRef>
              <c:f>pivots!$A$11:$A$16</c:f>
              <c:strCache>
                <c:ptCount val="6"/>
                <c:pt idx="0">
                  <c:v>2018</c:v>
                </c:pt>
                <c:pt idx="1">
                  <c:v>2019</c:v>
                </c:pt>
                <c:pt idx="2">
                  <c:v>2020</c:v>
                </c:pt>
                <c:pt idx="3">
                  <c:v>2021</c:v>
                </c:pt>
                <c:pt idx="4">
                  <c:v>2022</c:v>
                </c:pt>
                <c:pt idx="5">
                  <c:v>2023</c:v>
                </c:pt>
              </c:strCache>
            </c:strRef>
          </c:cat>
          <c:val>
            <c:numRef>
              <c:f>pivots!$B$11:$B$16</c:f>
              <c:numCache>
                <c:formatCode>General</c:formatCode>
                <c:ptCount val="6"/>
                <c:pt idx="0">
                  <c:v>260</c:v>
                </c:pt>
                <c:pt idx="1">
                  <c:v>249</c:v>
                </c:pt>
                <c:pt idx="2">
                  <c:v>279</c:v>
                </c:pt>
                <c:pt idx="3">
                  <c:v>264</c:v>
                </c:pt>
                <c:pt idx="4">
                  <c:v>281</c:v>
                </c:pt>
                <c:pt idx="5">
                  <c:v>265</c:v>
                </c:pt>
              </c:numCache>
            </c:numRef>
          </c:val>
          <c:smooth val="0"/>
          <c:extLst>
            <c:ext xmlns:c16="http://schemas.microsoft.com/office/drawing/2014/chart" uri="{C3380CC4-5D6E-409C-BE32-E72D297353CC}">
              <c16:uniqueId val="{00000000-7B58-4C06-B381-F280F7EF8AB7}"/>
            </c:ext>
          </c:extLst>
        </c:ser>
        <c:dLbls>
          <c:showLegendKey val="0"/>
          <c:showVal val="0"/>
          <c:showCatName val="0"/>
          <c:showSerName val="0"/>
          <c:showPercent val="0"/>
          <c:showBubbleSize val="0"/>
        </c:dLbls>
        <c:marker val="1"/>
        <c:smooth val="0"/>
        <c:axId val="1560963471"/>
        <c:axId val="1560955151"/>
      </c:lineChart>
      <c:catAx>
        <c:axId val="1560963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0955151"/>
        <c:crosses val="autoZero"/>
        <c:auto val="1"/>
        <c:lblAlgn val="ctr"/>
        <c:lblOffset val="100"/>
        <c:noMultiLvlLbl val="0"/>
      </c:catAx>
      <c:valAx>
        <c:axId val="1560955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560963471"/>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(4).xlsm]pivots!PivotTable2</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gradFill>
            <a:gsLst>
              <a:gs pos="0">
                <a:srgbClr val="F32BD6"/>
              </a:gs>
              <a:gs pos="100000">
                <a:srgbClr val="00B0F0">
                  <a:lumMod val="60000"/>
                  <a:lumOff val="40000"/>
                </a:srgbClr>
              </a:gs>
            </a:gsLst>
            <a:lin ang="5400000" scaled="1"/>
          </a:gradFill>
          <a:effectLst>
            <a:glow rad="355600">
              <a:srgbClr val="F32BD6">
                <a:alpha val="40000"/>
              </a:srgbClr>
            </a:glow>
            <a:softEdge rad="0"/>
          </a:effectLst>
        </c:spPr>
        <c:marker>
          <c:symbol val="none"/>
        </c:marker>
      </c:pivotFmt>
      <c:pivotFmt>
        <c:idx val="4"/>
      </c:pivotFmt>
      <c:pivotFmt>
        <c:idx val="5"/>
      </c:pivotFmt>
      <c:pivotFmt>
        <c:idx val="6"/>
        <c:spPr>
          <a:gradFill>
            <a:gsLst>
              <a:gs pos="0">
                <a:srgbClr val="F32BD6"/>
              </a:gs>
              <a:gs pos="100000">
                <a:srgbClr val="00B0F0"/>
              </a:gs>
            </a:gsLst>
            <a:lin ang="5400000" scaled="1"/>
          </a:gradFill>
          <a:effectLst>
            <a:glow rad="228600">
              <a:srgbClr val="F32BD6">
                <a:alpha val="40000"/>
              </a:srgbClr>
            </a:glow>
          </a:effectLst>
        </c:spPr>
        <c:marker>
          <c:symbol val="none"/>
        </c:marker>
      </c:pivotFmt>
    </c:pivotFmts>
    <c:plotArea>
      <c:layout>
        <c:manualLayout>
          <c:layoutTarget val="inner"/>
          <c:xMode val="edge"/>
          <c:yMode val="edge"/>
          <c:x val="0.27231539756348305"/>
          <c:y val="0.24579511347715333"/>
          <c:w val="0.48188495007675769"/>
          <c:h val="0.48971065103517081"/>
        </c:manualLayout>
      </c:layout>
      <c:barChart>
        <c:barDir val="col"/>
        <c:grouping val="clustered"/>
        <c:varyColors val="0"/>
        <c:ser>
          <c:idx val="0"/>
          <c:order val="0"/>
          <c:tx>
            <c:strRef>
              <c:f>pivots!$B$22</c:f>
              <c:strCache>
                <c:ptCount val="1"/>
                <c:pt idx="0">
                  <c:v>Total</c:v>
                </c:pt>
              </c:strCache>
            </c:strRef>
          </c:tx>
          <c:spPr>
            <a:gradFill>
              <a:gsLst>
                <a:gs pos="0">
                  <a:srgbClr val="F32BD6"/>
                </a:gs>
                <a:gs pos="100000">
                  <a:srgbClr val="00B0F0"/>
                </a:gs>
              </a:gsLst>
              <a:lin ang="5400000" scaled="1"/>
            </a:gradFill>
            <a:effectLst>
              <a:glow rad="228600">
                <a:srgbClr val="F32BD6">
                  <a:alpha val="40000"/>
                </a:srgbClr>
              </a:glow>
            </a:effectLst>
          </c:spPr>
          <c:invertIfNegative val="0"/>
          <c:cat>
            <c:strRef>
              <c:f>pivots!$A$23:$A$24</c:f>
              <c:strCache>
                <c:ptCount val="2"/>
                <c:pt idx="0">
                  <c:v>B.Tech in Computer Science and Engineering</c:v>
                </c:pt>
                <c:pt idx="1">
                  <c:v>M.Tech in Computer Science Engineering</c:v>
                </c:pt>
              </c:strCache>
            </c:strRef>
          </c:cat>
          <c:val>
            <c:numRef>
              <c:f>pivots!$B$23:$B$24</c:f>
              <c:numCache>
                <c:formatCode>General</c:formatCode>
                <c:ptCount val="2"/>
                <c:pt idx="0">
                  <c:v>1199</c:v>
                </c:pt>
                <c:pt idx="1">
                  <c:v>399</c:v>
                </c:pt>
              </c:numCache>
            </c:numRef>
          </c:val>
          <c:extLst>
            <c:ext xmlns:c16="http://schemas.microsoft.com/office/drawing/2014/chart" uri="{C3380CC4-5D6E-409C-BE32-E72D297353CC}">
              <c16:uniqueId val="{00000004-AE99-4078-9407-339CF133A4A2}"/>
            </c:ext>
          </c:extLst>
        </c:ser>
        <c:dLbls>
          <c:showLegendKey val="0"/>
          <c:showVal val="0"/>
          <c:showCatName val="0"/>
          <c:showSerName val="0"/>
          <c:showPercent val="0"/>
          <c:showBubbleSize val="0"/>
        </c:dLbls>
        <c:gapWidth val="409"/>
        <c:overlap val="-2"/>
        <c:axId val="1563838767"/>
        <c:axId val="1563834607"/>
      </c:barChart>
      <c:catAx>
        <c:axId val="1563838767"/>
        <c:scaling>
          <c:orientation val="minMax"/>
        </c:scaling>
        <c:delete val="1"/>
        <c:axPos val="b"/>
        <c:numFmt formatCode="General" sourceLinked="1"/>
        <c:majorTickMark val="none"/>
        <c:minorTickMark val="none"/>
        <c:tickLblPos val="nextTo"/>
        <c:crossAx val="1563834607"/>
        <c:crosses val="autoZero"/>
        <c:auto val="1"/>
        <c:lblAlgn val="ctr"/>
        <c:lblOffset val="100"/>
        <c:noMultiLvlLbl val="0"/>
      </c:catAx>
      <c:valAx>
        <c:axId val="156383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563838767"/>
        <c:crosses val="autoZero"/>
        <c:crossBetween val="between"/>
      </c:valAx>
      <c:spPr>
        <a:noFill/>
      </c:spPr>
    </c:plotArea>
    <c:plotVisOnly val="1"/>
    <c:dispBlanksAs val="gap"/>
    <c:showDLblsOverMax val="0"/>
  </c:chart>
  <c:spPr>
    <a:noFill/>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(4).xlsm]pivots!PivotTable3</c:name>
    <c:fmtId val="4"/>
  </c:pivotSource>
  <c:chart>
    <c:title>
      <c:tx>
        <c:rich>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b="0">
                <a:solidFill>
                  <a:srgbClr val="93EAFB"/>
                </a:solidFill>
                <a:effectLst>
                  <a:glow rad="38100">
                    <a:srgbClr val="93EAFB"/>
                  </a:glow>
                </a:effectLst>
                <a:latin typeface="Arial" panose="020B0604020202020204" pitchFamily="34" charset="0"/>
                <a:cs typeface="Arial" panose="020B0604020202020204" pitchFamily="34" charset="0"/>
              </a:rPr>
              <a:t>Age</a:t>
            </a:r>
            <a:r>
              <a:rPr lang="en-US" sz="1600" b="0" baseline="0">
                <a:solidFill>
                  <a:srgbClr val="93EAFB"/>
                </a:solidFill>
                <a:effectLst>
                  <a:glow rad="38100">
                    <a:srgbClr val="93EAFB"/>
                  </a:glow>
                </a:effectLst>
                <a:latin typeface="Arial" panose="020B0604020202020204" pitchFamily="34" charset="0"/>
                <a:cs typeface="Arial" panose="020B0604020202020204" pitchFamily="34" charset="0"/>
              </a:rPr>
              <a:t> wise admissions</a:t>
            </a:r>
            <a:endParaRPr lang="en-US" sz="1600" b="0">
              <a:solidFill>
                <a:srgbClr val="93EAFB"/>
              </a:solidFill>
              <a:effectLst>
                <a:glow rad="38100">
                  <a:srgbClr val="93EAFB"/>
                </a:glow>
              </a:effectLst>
              <a:latin typeface="Arial" panose="020B0604020202020204" pitchFamily="34" charset="0"/>
              <a:cs typeface="Arial" panose="020B0604020202020204" pitchFamily="34" charset="0"/>
            </a:endParaRPr>
          </a:p>
        </c:rich>
      </c:tx>
      <c:layout>
        <c:manualLayout>
          <c:xMode val="edge"/>
          <c:yMode val="edge"/>
          <c:x val="0.24642085651353929"/>
          <c:y val="5.779255235299241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gradFill flip="none" rotWithShape="1">
            <a:gsLst>
              <a:gs pos="0">
                <a:srgbClr val="F32BD6"/>
              </a:gs>
              <a:gs pos="100000">
                <a:srgbClr val="00B0F0">
                  <a:lumMod val="60000"/>
                  <a:lumOff val="40000"/>
                </a:srgbClr>
              </a:gs>
            </a:gsLst>
            <a:path path="circle">
              <a:fillToRect l="100000" t="100000"/>
            </a:path>
            <a:tileRect r="-100000" b="-100000"/>
          </a:gradFill>
          <a:ln>
            <a:noFill/>
          </a:ln>
          <a:effectLst>
            <a:glow rad="228600">
              <a:srgbClr val="F32BD6">
                <a:alpha val="40000"/>
              </a:srgbClr>
            </a:glow>
          </a:effectLst>
        </c:spPr>
        <c:marker>
          <c:symbol val="none"/>
        </c:marker>
      </c:pivotFmt>
    </c:pivotFmts>
    <c:plotArea>
      <c:layout>
        <c:manualLayout>
          <c:layoutTarget val="inner"/>
          <c:xMode val="edge"/>
          <c:yMode val="edge"/>
          <c:x val="0.21624775678717245"/>
          <c:y val="0.24342585136233466"/>
          <c:w val="0.70484555733008636"/>
          <c:h val="0.59235442450850517"/>
        </c:manualLayout>
      </c:layout>
      <c:barChart>
        <c:barDir val="bar"/>
        <c:grouping val="clustered"/>
        <c:varyColors val="0"/>
        <c:ser>
          <c:idx val="0"/>
          <c:order val="0"/>
          <c:tx>
            <c:strRef>
              <c:f>pivots!$B$27</c:f>
              <c:strCache>
                <c:ptCount val="1"/>
                <c:pt idx="0">
                  <c:v>Total</c:v>
                </c:pt>
              </c:strCache>
            </c:strRef>
          </c:tx>
          <c:spPr>
            <a:gradFill flip="none" rotWithShape="1">
              <a:gsLst>
                <a:gs pos="0">
                  <a:srgbClr val="F32BD6"/>
                </a:gs>
                <a:gs pos="100000">
                  <a:srgbClr val="00B0F0">
                    <a:lumMod val="60000"/>
                    <a:lumOff val="40000"/>
                  </a:srgbClr>
                </a:gs>
              </a:gsLst>
              <a:path path="circle">
                <a:fillToRect l="100000" t="100000"/>
              </a:path>
              <a:tileRect r="-100000" b="-100000"/>
            </a:gradFill>
            <a:ln>
              <a:noFill/>
            </a:ln>
            <a:effectLst>
              <a:glow rad="228600">
                <a:srgbClr val="F32BD6">
                  <a:alpha val="40000"/>
                </a:srgbClr>
              </a:glow>
            </a:effectLst>
          </c:spPr>
          <c:invertIfNegative val="0"/>
          <c:cat>
            <c:strRef>
              <c:f>pivots!$A$28:$A$32</c:f>
              <c:strCache>
                <c:ptCount val="5"/>
                <c:pt idx="0">
                  <c:v>18-19</c:v>
                </c:pt>
                <c:pt idx="1">
                  <c:v>20-21</c:v>
                </c:pt>
                <c:pt idx="2">
                  <c:v>22-23</c:v>
                </c:pt>
                <c:pt idx="3">
                  <c:v>24-25</c:v>
                </c:pt>
                <c:pt idx="4">
                  <c:v>26-28</c:v>
                </c:pt>
              </c:strCache>
            </c:strRef>
          </c:cat>
          <c:val>
            <c:numRef>
              <c:f>pivots!$B$28:$B$32</c:f>
              <c:numCache>
                <c:formatCode>General</c:formatCode>
                <c:ptCount val="5"/>
                <c:pt idx="0">
                  <c:v>397</c:v>
                </c:pt>
                <c:pt idx="1">
                  <c:v>404</c:v>
                </c:pt>
                <c:pt idx="2">
                  <c:v>509</c:v>
                </c:pt>
                <c:pt idx="3">
                  <c:v>142</c:v>
                </c:pt>
                <c:pt idx="4">
                  <c:v>146</c:v>
                </c:pt>
              </c:numCache>
            </c:numRef>
          </c:val>
          <c:extLst>
            <c:ext xmlns:c16="http://schemas.microsoft.com/office/drawing/2014/chart" uri="{C3380CC4-5D6E-409C-BE32-E72D297353CC}">
              <c16:uniqueId val="{00000000-6FB8-40DE-A905-CBF38C9F5011}"/>
            </c:ext>
          </c:extLst>
        </c:ser>
        <c:dLbls>
          <c:showLegendKey val="0"/>
          <c:showVal val="0"/>
          <c:showCatName val="0"/>
          <c:showSerName val="0"/>
          <c:showPercent val="0"/>
          <c:showBubbleSize val="0"/>
        </c:dLbls>
        <c:gapWidth val="182"/>
        <c:axId val="1563832527"/>
        <c:axId val="1563834191"/>
      </c:barChart>
      <c:catAx>
        <c:axId val="1563832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3834191"/>
        <c:crosses val="autoZero"/>
        <c:auto val="1"/>
        <c:lblAlgn val="ctr"/>
        <c:lblOffset val="100"/>
        <c:noMultiLvlLbl val="0"/>
      </c:catAx>
      <c:valAx>
        <c:axId val="15638341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63832527"/>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(4).xlsm]pivots!PivotTable4</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marker>
          <c:symbol val="none"/>
        </c:marker>
      </c:pivotFmt>
      <c:pivotFmt>
        <c:idx val="5"/>
        <c:spPr>
          <a:solidFill>
            <a:srgbClr val="F32BD6"/>
          </a:solidFill>
          <a:ln>
            <a:noFill/>
          </a:ln>
          <a:effectLst>
            <a:glow rad="152400">
              <a:srgbClr val="F32BD6">
                <a:alpha val="33000"/>
              </a:srgbClr>
            </a:glow>
          </a:effectLst>
        </c:spPr>
        <c:marker>
          <c:symbol val="none"/>
        </c:marker>
      </c:pivotFmt>
      <c:pivotFmt>
        <c:idx val="6"/>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pivotFmt>
    </c:pivotFmts>
    <c:plotArea>
      <c:layout>
        <c:manualLayout>
          <c:layoutTarget val="inner"/>
          <c:xMode val="edge"/>
          <c:yMode val="edge"/>
          <c:x val="0.10266377952755905"/>
          <c:y val="0.14249781277340332"/>
          <c:w val="0.67823018372703414"/>
          <c:h val="0.65853091280256637"/>
        </c:manualLayout>
      </c:layout>
      <c:barChart>
        <c:barDir val="col"/>
        <c:grouping val="clustered"/>
        <c:varyColors val="0"/>
        <c:ser>
          <c:idx val="0"/>
          <c:order val="0"/>
          <c:tx>
            <c:strRef>
              <c:f>pivots!$B$36</c:f>
              <c:strCache>
                <c:ptCount val="1"/>
                <c:pt idx="0">
                  <c:v>Average of 12th Percentage</c:v>
                </c:pt>
              </c:strCache>
            </c:strRef>
          </c:tx>
          <c:spPr>
            <a:solidFill>
              <a:srgbClr val="38FEB3"/>
            </a:solidFill>
            <a:ln w="31750">
              <a:solidFill>
                <a:srgbClr val="38FEB3"/>
              </a:solidFill>
            </a:ln>
            <a:effectLst>
              <a:glow rad="228600">
                <a:srgbClr val="38FEB3">
                  <a:alpha val="40000"/>
                </a:srgbClr>
              </a:glow>
              <a:outerShdw blurRad="50800" dist="50800" dir="5400000" sx="4000" sy="4000" algn="ctr" rotWithShape="0">
                <a:srgbClr val="000000">
                  <a:alpha val="98000"/>
                </a:srgbClr>
              </a:outerShdw>
              <a:softEdge rad="0"/>
            </a:effectLst>
          </c:spPr>
          <c:invertIfNegative val="0"/>
          <c:cat>
            <c:strRef>
              <c:f>pivots!$A$37:$A$42</c:f>
              <c:strCache>
                <c:ptCount val="6"/>
                <c:pt idx="0">
                  <c:v>2018</c:v>
                </c:pt>
                <c:pt idx="1">
                  <c:v>2019</c:v>
                </c:pt>
                <c:pt idx="2">
                  <c:v>2020</c:v>
                </c:pt>
                <c:pt idx="3">
                  <c:v>2021</c:v>
                </c:pt>
                <c:pt idx="4">
                  <c:v>2022</c:v>
                </c:pt>
                <c:pt idx="5">
                  <c:v>2023</c:v>
                </c:pt>
              </c:strCache>
            </c:strRef>
          </c:cat>
          <c:val>
            <c:numRef>
              <c:f>pivots!$B$37:$B$42</c:f>
              <c:numCache>
                <c:formatCode>General</c:formatCode>
                <c:ptCount val="6"/>
                <c:pt idx="0">
                  <c:v>75.33461538461539</c:v>
                </c:pt>
                <c:pt idx="1">
                  <c:v>74.959839357429715</c:v>
                </c:pt>
                <c:pt idx="2">
                  <c:v>74.745519713261643</c:v>
                </c:pt>
                <c:pt idx="3">
                  <c:v>74.772727272727266</c:v>
                </c:pt>
                <c:pt idx="4">
                  <c:v>74.92526690391459</c:v>
                </c:pt>
                <c:pt idx="5">
                  <c:v>74.203773584905662</c:v>
                </c:pt>
              </c:numCache>
            </c:numRef>
          </c:val>
          <c:extLst>
            <c:ext xmlns:c16="http://schemas.microsoft.com/office/drawing/2014/chart" uri="{C3380CC4-5D6E-409C-BE32-E72D297353CC}">
              <c16:uniqueId val="{00000000-5693-4B4F-80C9-ADECFE7D35FA}"/>
            </c:ext>
          </c:extLst>
        </c:ser>
        <c:ser>
          <c:idx val="1"/>
          <c:order val="1"/>
          <c:tx>
            <c:strRef>
              <c:f>pivots!$C$36</c:f>
              <c:strCache>
                <c:ptCount val="1"/>
                <c:pt idx="0">
                  <c:v>Average of 10th Percentage</c:v>
                </c:pt>
              </c:strCache>
            </c:strRef>
          </c:tx>
          <c:spPr>
            <a:solidFill>
              <a:srgbClr val="F32BD6"/>
            </a:solidFill>
            <a:ln>
              <a:noFill/>
            </a:ln>
            <a:effectLst>
              <a:glow rad="152400">
                <a:srgbClr val="F32BD6">
                  <a:alpha val="33000"/>
                </a:srgbClr>
              </a:glow>
            </a:effectLst>
          </c:spPr>
          <c:invertIfNegative val="0"/>
          <c:cat>
            <c:strRef>
              <c:f>pivots!$A$37:$A$42</c:f>
              <c:strCache>
                <c:ptCount val="6"/>
                <c:pt idx="0">
                  <c:v>2018</c:v>
                </c:pt>
                <c:pt idx="1">
                  <c:v>2019</c:v>
                </c:pt>
                <c:pt idx="2">
                  <c:v>2020</c:v>
                </c:pt>
                <c:pt idx="3">
                  <c:v>2021</c:v>
                </c:pt>
                <c:pt idx="4">
                  <c:v>2022</c:v>
                </c:pt>
                <c:pt idx="5">
                  <c:v>2023</c:v>
                </c:pt>
              </c:strCache>
            </c:strRef>
          </c:cat>
          <c:val>
            <c:numRef>
              <c:f>pivots!$C$37:$C$42</c:f>
              <c:numCache>
                <c:formatCode>General</c:formatCode>
                <c:ptCount val="6"/>
                <c:pt idx="0">
                  <c:v>75.711538461538467</c:v>
                </c:pt>
                <c:pt idx="1">
                  <c:v>76.53413654618474</c:v>
                </c:pt>
                <c:pt idx="2">
                  <c:v>75.060931899641574</c:v>
                </c:pt>
                <c:pt idx="3">
                  <c:v>75.159090909090907</c:v>
                </c:pt>
                <c:pt idx="4">
                  <c:v>76.45195729537366</c:v>
                </c:pt>
                <c:pt idx="5">
                  <c:v>77.064150943396228</c:v>
                </c:pt>
              </c:numCache>
            </c:numRef>
          </c:val>
          <c:extLst>
            <c:ext xmlns:c16="http://schemas.microsoft.com/office/drawing/2014/chart" uri="{C3380CC4-5D6E-409C-BE32-E72D297353CC}">
              <c16:uniqueId val="{00000001-5693-4B4F-80C9-ADECFE7D35FA}"/>
            </c:ext>
          </c:extLst>
        </c:ser>
        <c:dLbls>
          <c:showLegendKey val="0"/>
          <c:showVal val="0"/>
          <c:showCatName val="0"/>
          <c:showSerName val="0"/>
          <c:showPercent val="0"/>
          <c:showBubbleSize val="0"/>
        </c:dLbls>
        <c:gapWidth val="297"/>
        <c:overlap val="-9"/>
        <c:axId val="1766308063"/>
        <c:axId val="1766313471"/>
      </c:barChart>
      <c:catAx>
        <c:axId val="1766308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13471"/>
        <c:crosses val="autoZero"/>
        <c:auto val="1"/>
        <c:lblAlgn val="ctr"/>
        <c:lblOffset val="100"/>
        <c:noMultiLvlLbl val="0"/>
      </c:catAx>
      <c:valAx>
        <c:axId val="1766313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08063"/>
        <c:crosses val="autoZero"/>
        <c:crossBetween val="between"/>
      </c:valAx>
      <c:spPr>
        <a:noFill/>
        <a:ln>
          <a:noFill/>
        </a:ln>
        <a:effectLst/>
      </c:spPr>
    </c:plotArea>
    <c:legend>
      <c:legendPos val="r"/>
      <c:layout>
        <c:manualLayout>
          <c:xMode val="edge"/>
          <c:yMode val="edge"/>
          <c:x val="0.80918897637795262"/>
          <c:y val="0.16138925342665497"/>
          <c:w val="0.17414435695538058"/>
          <c:h val="0.728147054534849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(4).xlsm]pivots!PivotTable5</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38FE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32BD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8FEB3"/>
          </a:solidFill>
          <a:ln>
            <a:noFill/>
          </a:ln>
          <a:effectLst>
            <a:glow rad="228600">
              <a:srgbClr val="38FEB3">
                <a:alpha val="40000"/>
              </a:srgbClr>
            </a:glow>
          </a:effectLst>
        </c:spPr>
        <c:marker>
          <c:symbol val="none"/>
        </c:marker>
      </c:pivotFmt>
      <c:pivotFmt>
        <c:idx val="7"/>
        <c:spPr>
          <a:solidFill>
            <a:srgbClr val="F32BD6"/>
          </a:solidFill>
          <a:ln>
            <a:noFill/>
          </a:ln>
          <a:effectLst>
            <a:glow rad="228600">
              <a:srgbClr val="F32BD6">
                <a:alpha val="40000"/>
              </a:srgbClr>
            </a:glow>
          </a:effectLst>
        </c:spPr>
        <c:marker>
          <c:symbol val="none"/>
        </c:marker>
      </c:pivotFmt>
    </c:pivotFmts>
    <c:plotArea>
      <c:layout>
        <c:manualLayout>
          <c:layoutTarget val="inner"/>
          <c:xMode val="edge"/>
          <c:yMode val="edge"/>
          <c:x val="6.1263641813422566E-2"/>
          <c:y val="0.12103186263306934"/>
          <c:w val="0.83928164690455243"/>
          <c:h val="0.4639206484982113"/>
        </c:manualLayout>
      </c:layout>
      <c:barChart>
        <c:barDir val="col"/>
        <c:grouping val="clustered"/>
        <c:varyColors val="0"/>
        <c:ser>
          <c:idx val="0"/>
          <c:order val="0"/>
          <c:tx>
            <c:strRef>
              <c:f>pivots!$E$10:$E$11</c:f>
              <c:strCache>
                <c:ptCount val="1"/>
                <c:pt idx="0">
                  <c:v>B.Tech in Computer Science and Engineering</c:v>
                </c:pt>
              </c:strCache>
            </c:strRef>
          </c:tx>
          <c:spPr>
            <a:solidFill>
              <a:srgbClr val="38FEB3"/>
            </a:solidFill>
            <a:ln>
              <a:noFill/>
            </a:ln>
            <a:effectLst>
              <a:glow rad="228600">
                <a:srgbClr val="38FEB3">
                  <a:alpha val="40000"/>
                </a:srgbClr>
              </a:glow>
            </a:effectLst>
          </c:spPr>
          <c:invertIfNegative val="0"/>
          <c:cat>
            <c:strRef>
              <c:f>pivots!$D$12:$D$21</c:f>
              <c:strCache>
                <c:ptCount val="10"/>
                <c:pt idx="0">
                  <c:v>Artificial Intelligence &amp; Machine Learning</c:v>
                </c:pt>
                <c:pt idx="1">
                  <c:v>Business Analytics &amp; Optimization</c:v>
                </c:pt>
                <c:pt idx="2">
                  <c:v>Cloud Computing &amp; Virtualization</c:v>
                </c:pt>
                <c:pt idx="3">
                  <c:v>Cyber Security and Digital Forensic</c:v>
                </c:pt>
                <c:pt idx="4">
                  <c:v>Data Analytics</c:v>
                </c:pt>
                <c:pt idx="5">
                  <c:v>Data Science</c:v>
                </c:pt>
                <c:pt idx="6">
                  <c:v>Full Stack Development</c:v>
                </c:pt>
                <c:pt idx="7">
                  <c:v>Gaming Technology</c:v>
                </c:pt>
                <c:pt idx="8">
                  <c:v>Geographical Information Systems and Remote Sensing</c:v>
                </c:pt>
                <c:pt idx="9">
                  <c:v>Internet of Things &amp; Cyber Security Including Blockchain Technology</c:v>
                </c:pt>
              </c:strCache>
            </c:strRef>
          </c:cat>
          <c:val>
            <c:numRef>
              <c:f>pivots!$E$12:$E$21</c:f>
              <c:numCache>
                <c:formatCode>General</c:formatCode>
                <c:ptCount val="10"/>
                <c:pt idx="0">
                  <c:v>137</c:v>
                </c:pt>
                <c:pt idx="1">
                  <c:v>114</c:v>
                </c:pt>
                <c:pt idx="2">
                  <c:v>127</c:v>
                </c:pt>
                <c:pt idx="3">
                  <c:v>114</c:v>
                </c:pt>
                <c:pt idx="4">
                  <c:v>126</c:v>
                </c:pt>
                <c:pt idx="5">
                  <c:v>130</c:v>
                </c:pt>
                <c:pt idx="6">
                  <c:v>116</c:v>
                </c:pt>
                <c:pt idx="7">
                  <c:v>111</c:v>
                </c:pt>
                <c:pt idx="8">
                  <c:v>95</c:v>
                </c:pt>
                <c:pt idx="9">
                  <c:v>129</c:v>
                </c:pt>
              </c:numCache>
            </c:numRef>
          </c:val>
          <c:extLst>
            <c:ext xmlns:c16="http://schemas.microsoft.com/office/drawing/2014/chart" uri="{C3380CC4-5D6E-409C-BE32-E72D297353CC}">
              <c16:uniqueId val="{00000000-FF6C-473D-AB9D-FE7B3D5319D3}"/>
            </c:ext>
          </c:extLst>
        </c:ser>
        <c:ser>
          <c:idx val="1"/>
          <c:order val="1"/>
          <c:tx>
            <c:strRef>
              <c:f>pivots!$F$10:$F$11</c:f>
              <c:strCache>
                <c:ptCount val="1"/>
                <c:pt idx="0">
                  <c:v>M.Tech in Computer Science Engineering</c:v>
                </c:pt>
              </c:strCache>
            </c:strRef>
          </c:tx>
          <c:spPr>
            <a:solidFill>
              <a:srgbClr val="F32BD6"/>
            </a:solidFill>
            <a:ln>
              <a:noFill/>
            </a:ln>
            <a:effectLst>
              <a:glow rad="228600">
                <a:srgbClr val="F32BD6">
                  <a:alpha val="40000"/>
                </a:srgbClr>
              </a:glow>
            </a:effectLst>
          </c:spPr>
          <c:invertIfNegative val="0"/>
          <c:cat>
            <c:strRef>
              <c:f>pivots!$D$12:$D$21</c:f>
              <c:strCache>
                <c:ptCount val="10"/>
                <c:pt idx="0">
                  <c:v>Artificial Intelligence &amp; Machine Learning</c:v>
                </c:pt>
                <c:pt idx="1">
                  <c:v>Business Analytics &amp; Optimization</c:v>
                </c:pt>
                <c:pt idx="2">
                  <c:v>Cloud Computing &amp; Virtualization</c:v>
                </c:pt>
                <c:pt idx="3">
                  <c:v>Cyber Security and Digital Forensic</c:v>
                </c:pt>
                <c:pt idx="4">
                  <c:v>Data Analytics</c:v>
                </c:pt>
                <c:pt idx="5">
                  <c:v>Data Science</c:v>
                </c:pt>
                <c:pt idx="6">
                  <c:v>Full Stack Development</c:v>
                </c:pt>
                <c:pt idx="7">
                  <c:v>Gaming Technology</c:v>
                </c:pt>
                <c:pt idx="8">
                  <c:v>Geographical Information Systems and Remote Sensing</c:v>
                </c:pt>
                <c:pt idx="9">
                  <c:v>Internet of Things &amp; Cyber Security Including Blockchain Technology</c:v>
                </c:pt>
              </c:strCache>
            </c:strRef>
          </c:cat>
          <c:val>
            <c:numRef>
              <c:f>pivots!$F$12:$F$21</c:f>
              <c:numCache>
                <c:formatCode>General</c:formatCode>
                <c:ptCount val="10"/>
                <c:pt idx="0">
                  <c:v>66</c:v>
                </c:pt>
                <c:pt idx="1">
                  <c:v>66</c:v>
                </c:pt>
                <c:pt idx="2">
                  <c:v>57</c:v>
                </c:pt>
                <c:pt idx="4">
                  <c:v>72</c:v>
                </c:pt>
                <c:pt idx="5">
                  <c:v>72</c:v>
                </c:pt>
                <c:pt idx="9">
                  <c:v>66</c:v>
                </c:pt>
              </c:numCache>
            </c:numRef>
          </c:val>
          <c:extLst>
            <c:ext xmlns:c16="http://schemas.microsoft.com/office/drawing/2014/chart" uri="{C3380CC4-5D6E-409C-BE32-E72D297353CC}">
              <c16:uniqueId val="{00000001-FF6C-473D-AB9D-FE7B3D5319D3}"/>
            </c:ext>
          </c:extLst>
        </c:ser>
        <c:dLbls>
          <c:showLegendKey val="0"/>
          <c:showVal val="0"/>
          <c:showCatName val="0"/>
          <c:showSerName val="0"/>
          <c:showPercent val="0"/>
          <c:showBubbleSize val="0"/>
        </c:dLbls>
        <c:gapWidth val="219"/>
        <c:overlap val="-27"/>
        <c:axId val="1766316383"/>
        <c:axId val="1766316799"/>
      </c:barChart>
      <c:catAx>
        <c:axId val="1766316383"/>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66316799"/>
        <c:crosses val="autoZero"/>
        <c:auto val="1"/>
        <c:lblAlgn val="ctr"/>
        <c:lblOffset val="100"/>
        <c:noMultiLvlLbl val="0"/>
      </c:catAx>
      <c:valAx>
        <c:axId val="17663167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3EAFB"/>
                </a:solidFill>
                <a:latin typeface="+mn-lt"/>
                <a:ea typeface="+mn-ea"/>
                <a:cs typeface="+mn-cs"/>
              </a:defRPr>
            </a:pPr>
            <a:endParaRPr lang="en-US"/>
          </a:p>
        </c:txPr>
        <c:crossAx val="1766316383"/>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(4).xlsm]pivots!PivotTable6</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gradFill flip="none" rotWithShape="1">
            <a:gsLst>
              <a:gs pos="33000">
                <a:srgbClr val="F32BD6"/>
              </a:gs>
              <a:gs pos="82000">
                <a:srgbClr val="00B0F0">
                  <a:lumMod val="60000"/>
                  <a:lumOff val="40000"/>
                </a:srgbClr>
              </a:gs>
            </a:gsLst>
            <a:path path="circle">
              <a:fillToRect l="50000" t="50000" r="50000" b="50000"/>
            </a:path>
            <a:tileRect/>
          </a:gradFill>
          <a:ln>
            <a:noFill/>
          </a:ln>
          <a:effectLst>
            <a:glow rad="88900">
              <a:srgbClr val="F32BD6">
                <a:alpha val="86000"/>
              </a:srgbClr>
            </a:glow>
            <a:softEdge rad="0"/>
          </a:effectLst>
        </c:spPr>
        <c:marker>
          <c:symbol val="none"/>
        </c:marker>
      </c:pivotFmt>
    </c:pivotFmts>
    <c:plotArea>
      <c:layout>
        <c:manualLayout>
          <c:layoutTarget val="inner"/>
          <c:xMode val="edge"/>
          <c:yMode val="edge"/>
          <c:x val="0.29321614256521494"/>
          <c:y val="0.1352059561649871"/>
          <c:w val="0.66506247027311505"/>
          <c:h val="0.66770766645037383"/>
        </c:manualLayout>
      </c:layout>
      <c:barChart>
        <c:barDir val="bar"/>
        <c:grouping val="clustered"/>
        <c:varyColors val="0"/>
        <c:ser>
          <c:idx val="0"/>
          <c:order val="0"/>
          <c:tx>
            <c:strRef>
              <c:f>pivots!$E$26</c:f>
              <c:strCache>
                <c:ptCount val="1"/>
                <c:pt idx="0">
                  <c:v>Total</c:v>
                </c:pt>
              </c:strCache>
            </c:strRef>
          </c:tx>
          <c:spPr>
            <a:gradFill flip="none" rotWithShape="1">
              <a:gsLst>
                <a:gs pos="33000">
                  <a:srgbClr val="F32BD6"/>
                </a:gs>
                <a:gs pos="82000">
                  <a:srgbClr val="00B0F0">
                    <a:lumMod val="60000"/>
                    <a:lumOff val="40000"/>
                  </a:srgbClr>
                </a:gs>
              </a:gsLst>
              <a:path path="circle">
                <a:fillToRect l="50000" t="50000" r="50000" b="50000"/>
              </a:path>
              <a:tileRect/>
            </a:gradFill>
            <a:ln>
              <a:noFill/>
            </a:ln>
            <a:effectLst>
              <a:glow rad="88900">
                <a:srgbClr val="F32BD6">
                  <a:alpha val="86000"/>
                </a:srgbClr>
              </a:glow>
              <a:softEdge rad="0"/>
            </a:effectLst>
          </c:spPr>
          <c:invertIfNegative val="0"/>
          <c:cat>
            <c:strRef>
              <c:f>pivots!$D$27:$D$35</c:f>
              <c:strCache>
                <c:ptCount val="9"/>
                <c:pt idx="0">
                  <c:v>Delhi</c:v>
                </c:pt>
                <c:pt idx="1">
                  <c:v>Gujarat</c:v>
                </c:pt>
                <c:pt idx="2">
                  <c:v>Karnataka</c:v>
                </c:pt>
                <c:pt idx="3">
                  <c:v>Maharashtra</c:v>
                </c:pt>
                <c:pt idx="4">
                  <c:v>Rajasthan</c:v>
                </c:pt>
                <c:pt idx="5">
                  <c:v>Tamil Nadu</c:v>
                </c:pt>
                <c:pt idx="6">
                  <c:v>Telangana</c:v>
                </c:pt>
                <c:pt idx="7">
                  <c:v>Uttar Pradesh</c:v>
                </c:pt>
                <c:pt idx="8">
                  <c:v>West Bengal</c:v>
                </c:pt>
              </c:strCache>
            </c:strRef>
          </c:cat>
          <c:val>
            <c:numRef>
              <c:f>pivots!$E$27:$E$35</c:f>
              <c:numCache>
                <c:formatCode>General</c:formatCode>
                <c:ptCount val="9"/>
                <c:pt idx="0">
                  <c:v>175</c:v>
                </c:pt>
                <c:pt idx="1">
                  <c:v>165</c:v>
                </c:pt>
                <c:pt idx="2">
                  <c:v>172</c:v>
                </c:pt>
                <c:pt idx="3">
                  <c:v>309</c:v>
                </c:pt>
                <c:pt idx="4">
                  <c:v>145</c:v>
                </c:pt>
                <c:pt idx="5">
                  <c:v>156</c:v>
                </c:pt>
                <c:pt idx="6">
                  <c:v>180</c:v>
                </c:pt>
                <c:pt idx="7">
                  <c:v>139</c:v>
                </c:pt>
                <c:pt idx="8">
                  <c:v>157</c:v>
                </c:pt>
              </c:numCache>
            </c:numRef>
          </c:val>
          <c:extLst>
            <c:ext xmlns:c16="http://schemas.microsoft.com/office/drawing/2014/chart" uri="{C3380CC4-5D6E-409C-BE32-E72D297353CC}">
              <c16:uniqueId val="{00000000-8CED-4EDB-A122-DD004D715EB9}"/>
            </c:ext>
          </c:extLst>
        </c:ser>
        <c:dLbls>
          <c:showLegendKey val="0"/>
          <c:showVal val="0"/>
          <c:showCatName val="0"/>
          <c:showSerName val="0"/>
          <c:showPercent val="0"/>
          <c:showBubbleSize val="0"/>
        </c:dLbls>
        <c:gapWidth val="100"/>
        <c:axId val="1469923759"/>
        <c:axId val="1469925007"/>
      </c:barChart>
      <c:catAx>
        <c:axId val="1469923759"/>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925007"/>
        <c:crosses val="autoZero"/>
        <c:auto val="1"/>
        <c:lblAlgn val="ctr"/>
        <c:lblOffset val="100"/>
        <c:noMultiLvlLbl val="0"/>
      </c:catAx>
      <c:valAx>
        <c:axId val="14699250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69923759"/>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[Updated_Engineering_college_enrollement_data - Copy (4).xlsm]pivots!PivotTable7</c:name>
    <c:fmtId val="20"/>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1"/>
          </a:solidFill>
          <a:ln>
            <a:noFill/>
          </a:ln>
          <a:effectLst>
            <a:glow rad="228600">
              <a:schemeClr val="tx2">
                <a:lumMod val="60000"/>
                <a:lumOff val="40000"/>
                <a:alpha val="40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6"/>
        <c:spPr>
          <a:solidFill>
            <a:srgbClr val="5650D0"/>
          </a:solidFill>
          <a:ln>
            <a:noFill/>
          </a:ln>
          <a:effectLst>
            <a:glow rad="228600">
              <a:srgbClr val="5650D0">
                <a:alpha val="40000"/>
              </a:srgbClr>
            </a:glow>
          </a:effectLst>
        </c:spPr>
      </c:pivotFmt>
      <c:pivotFmt>
        <c:idx val="17"/>
        <c:spPr>
          <a:solidFill>
            <a:srgbClr val="FF0000"/>
          </a:solidFill>
          <a:ln>
            <a:noFill/>
          </a:ln>
          <a:effectLst>
            <a:glow rad="228600">
              <a:srgbClr val="FF0000">
                <a:alpha val="40000"/>
              </a:srgbClr>
            </a:glow>
          </a:effectLst>
        </c:spPr>
      </c:pivotFmt>
      <c:pivotFmt>
        <c:idx val="18"/>
        <c:spPr>
          <a:solidFill>
            <a:srgbClr val="DA46C8"/>
          </a:solidFill>
          <a:ln>
            <a:noFill/>
          </a:ln>
          <a:effectLst>
            <a:glow rad="228600">
              <a:srgbClr val="DA46C8">
                <a:alpha val="40000"/>
              </a:srgbClr>
            </a:glow>
          </a:effectLst>
        </c:spPr>
      </c:pivotFmt>
      <c:pivotFmt>
        <c:idx val="19"/>
        <c:spPr>
          <a:solidFill>
            <a:srgbClr val="7DE3FB"/>
          </a:solidFill>
          <a:ln>
            <a:noFill/>
          </a:ln>
          <a:effectLst>
            <a:glow rad="228600">
              <a:srgbClr val="6EE0EC">
                <a:alpha val="40000"/>
              </a:srgbClr>
            </a:glow>
          </a:effectLst>
        </c:spPr>
      </c:pivotFmt>
      <c:pivotFmt>
        <c:idx val="20"/>
        <c:spPr>
          <a:solidFill>
            <a:srgbClr val="33D32B"/>
          </a:solidFill>
          <a:ln>
            <a:noFill/>
          </a:ln>
          <a:effectLst>
            <a:glow rad="228600">
              <a:srgbClr val="33D32B">
                <a:alpha val="40000"/>
              </a:srgbClr>
            </a:glow>
          </a:effectLst>
        </c:spPr>
      </c:pivotFmt>
    </c:pivotFmts>
    <c:plotArea>
      <c:layout>
        <c:manualLayout>
          <c:layoutTarget val="inner"/>
          <c:xMode val="edge"/>
          <c:yMode val="edge"/>
          <c:x val="0.21718000874890636"/>
          <c:y val="2.8438233786131962E-2"/>
          <c:w val="0.5859432852792511"/>
          <c:h val="0.93806620608754465"/>
        </c:manualLayout>
      </c:layout>
      <c:doughnutChart>
        <c:varyColors val="1"/>
        <c:ser>
          <c:idx val="0"/>
          <c:order val="0"/>
          <c:tx>
            <c:strRef>
              <c:f>pivots!$F$39</c:f>
              <c:strCache>
                <c:ptCount val="1"/>
                <c:pt idx="0">
                  <c:v>Total</c:v>
                </c:pt>
              </c:strCache>
            </c:strRef>
          </c:tx>
          <c:spPr>
            <a:effectLst>
              <a:glow rad="228600">
                <a:schemeClr val="tx2">
                  <a:lumMod val="60000"/>
                  <a:lumOff val="40000"/>
                  <a:alpha val="40000"/>
                </a:schemeClr>
              </a:glow>
            </a:effectLst>
          </c:spPr>
          <c:dPt>
            <c:idx val="0"/>
            <c:bubble3D val="0"/>
            <c:spPr>
              <a:solidFill>
                <a:srgbClr val="DA46C8"/>
              </a:solidFill>
              <a:ln>
                <a:noFill/>
              </a:ln>
              <a:effectLst>
                <a:glow rad="228600">
                  <a:srgbClr val="DA46C8">
                    <a:alpha val="40000"/>
                  </a:srgbClr>
                </a:glow>
              </a:effectLst>
            </c:spPr>
            <c:extLst>
              <c:ext xmlns:c16="http://schemas.microsoft.com/office/drawing/2014/chart" uri="{C3380CC4-5D6E-409C-BE32-E72D297353CC}">
                <c16:uniqueId val="{00000001-5AE7-4ACB-8F7A-503687A0F7A5}"/>
              </c:ext>
            </c:extLst>
          </c:dPt>
          <c:dPt>
            <c:idx val="1"/>
            <c:bubble3D val="0"/>
            <c:spPr>
              <a:solidFill>
                <a:srgbClr val="7DE3FB"/>
              </a:solidFill>
              <a:ln>
                <a:noFill/>
              </a:ln>
              <a:effectLst>
                <a:glow rad="228600">
                  <a:srgbClr val="6EE0EC">
                    <a:alpha val="40000"/>
                  </a:srgbClr>
                </a:glow>
              </a:effectLst>
            </c:spPr>
            <c:extLst>
              <c:ext xmlns:c16="http://schemas.microsoft.com/office/drawing/2014/chart" uri="{C3380CC4-5D6E-409C-BE32-E72D297353CC}">
                <c16:uniqueId val="{00000003-5AE7-4ACB-8F7A-503687A0F7A5}"/>
              </c:ext>
            </c:extLst>
          </c:dPt>
          <c:dPt>
            <c:idx val="2"/>
            <c:bubble3D val="0"/>
            <c:spPr>
              <a:solidFill>
                <a:srgbClr val="33D32B"/>
              </a:solidFill>
              <a:ln>
                <a:noFill/>
              </a:ln>
              <a:effectLst>
                <a:glow rad="228600">
                  <a:srgbClr val="33D32B">
                    <a:alpha val="40000"/>
                  </a:srgbClr>
                </a:glow>
              </a:effectLst>
            </c:spPr>
            <c:extLst>
              <c:ext xmlns:c16="http://schemas.microsoft.com/office/drawing/2014/chart" uri="{C3380CC4-5D6E-409C-BE32-E72D297353CC}">
                <c16:uniqueId val="{00000005-5AE7-4ACB-8F7A-503687A0F7A5}"/>
              </c:ext>
            </c:extLst>
          </c:dPt>
          <c:dPt>
            <c:idx val="3"/>
            <c:bubble3D val="0"/>
            <c:spPr>
              <a:solidFill>
                <a:srgbClr val="FF0000"/>
              </a:solidFill>
              <a:ln>
                <a:noFill/>
              </a:ln>
              <a:effectLst>
                <a:glow rad="228600">
                  <a:srgbClr val="FF0000">
                    <a:alpha val="40000"/>
                  </a:srgbClr>
                </a:glow>
              </a:effectLst>
            </c:spPr>
            <c:extLst>
              <c:ext xmlns:c16="http://schemas.microsoft.com/office/drawing/2014/chart" uri="{C3380CC4-5D6E-409C-BE32-E72D297353CC}">
                <c16:uniqueId val="{00000007-5AE7-4ACB-8F7A-503687A0F7A5}"/>
              </c:ext>
            </c:extLst>
          </c:dPt>
          <c:dPt>
            <c:idx val="4"/>
            <c:bubble3D val="0"/>
            <c:spPr>
              <a:solidFill>
                <a:srgbClr val="5650D0"/>
              </a:solidFill>
              <a:ln>
                <a:noFill/>
              </a:ln>
              <a:effectLst>
                <a:glow rad="228600">
                  <a:srgbClr val="5650D0">
                    <a:alpha val="40000"/>
                  </a:srgbClr>
                </a:glow>
              </a:effectLst>
            </c:spPr>
            <c:extLst>
              <c:ext xmlns:c16="http://schemas.microsoft.com/office/drawing/2014/chart" uri="{C3380CC4-5D6E-409C-BE32-E72D297353CC}">
                <c16:uniqueId val="{00000009-5AE7-4ACB-8F7A-503687A0F7A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pivots!$E$40:$E$44</c:f>
              <c:strCache>
                <c:ptCount val="5"/>
                <c:pt idx="0">
                  <c:v>Cash</c:v>
                </c:pt>
                <c:pt idx="1">
                  <c:v>Cheque</c:v>
                </c:pt>
                <c:pt idx="2">
                  <c:v>DD</c:v>
                </c:pt>
                <c:pt idx="3">
                  <c:v>RTGS</c:v>
                </c:pt>
                <c:pt idx="4">
                  <c:v>UPI</c:v>
                </c:pt>
              </c:strCache>
            </c:strRef>
          </c:cat>
          <c:val>
            <c:numRef>
              <c:f>pivots!$F$40:$F$44</c:f>
              <c:numCache>
                <c:formatCode>General</c:formatCode>
                <c:ptCount val="5"/>
                <c:pt idx="0">
                  <c:v>334</c:v>
                </c:pt>
                <c:pt idx="1">
                  <c:v>296</c:v>
                </c:pt>
                <c:pt idx="2">
                  <c:v>302</c:v>
                </c:pt>
                <c:pt idx="3">
                  <c:v>321</c:v>
                </c:pt>
                <c:pt idx="4">
                  <c:v>345</c:v>
                </c:pt>
              </c:numCache>
            </c:numRef>
          </c:val>
          <c:extLst>
            <c:ext xmlns:c16="http://schemas.microsoft.com/office/drawing/2014/chart" uri="{C3380CC4-5D6E-409C-BE32-E72D297353CC}">
              <c16:uniqueId val="{0000000A-5AE7-4ACB-8F7A-503687A0F7A5}"/>
            </c:ext>
          </c:extLst>
        </c:ser>
        <c:dLbls>
          <c:showLegendKey val="0"/>
          <c:showVal val="0"/>
          <c:showCatName val="0"/>
          <c:showSerName val="0"/>
          <c:showPercent val="1"/>
          <c:showBubbleSize val="0"/>
          <c:showLeaderLines val="1"/>
        </c:dLbls>
        <c:firstSliceAng val="0"/>
        <c:holeSize val="70"/>
      </c:doughnutChart>
      <c:spPr>
        <a:noFill/>
        <a:ln>
          <a:noFill/>
        </a:ln>
        <a:effectLst>
          <a:glow rad="228600">
            <a:srgbClr val="00B0F0">
              <a:alpha val="40000"/>
            </a:srgbClr>
          </a:glow>
        </a:effectLst>
      </c:spPr>
    </c:plotArea>
    <c:plotVisOnly val="1"/>
    <c:dispBlanksAs val="gap"/>
    <c:showDLblsOverMax val="0"/>
  </c:chart>
  <c:spPr>
    <a:noFill/>
    <a:ln w="9525" cap="flat" cmpd="sng" algn="ctr">
      <a:solidFill>
        <a:schemeClr val="dk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[Updated_Engineering_college_enrollement_data - Copy (4).xlsm]pivots!PivotTable8</c:name>
    <c:fmtId val="3"/>
  </c:pivotSource>
  <c:chart>
    <c:autoTitleDeleted val="1"/>
    <c:pivotFmts>
      <c:pivotFmt>
        <c:idx val="0"/>
        <c:spPr>
          <a:solidFill>
            <a:schemeClr val="accent4"/>
          </a:solidFill>
          <a:ln w="19050">
            <a:solidFill>
              <a:schemeClr val="lt1"/>
            </a:solidFill>
          </a:ln>
          <a:effectLst/>
          <a:sp3d contourW="25400">
            <a:contourClr>
              <a:schemeClr val="lt1"/>
            </a:contourClr>
          </a:sp3d>
        </c:spPr>
        <c:marker>
          <c:symbol val="none"/>
        </c:marker>
      </c:pivotFmt>
      <c:pivotFmt>
        <c:idx val="1"/>
        <c:spPr>
          <a:solidFill>
            <a:schemeClr val="accent4"/>
          </a:solidFill>
          <a:ln w="19050">
            <a:solidFill>
              <a:schemeClr val="lt1"/>
            </a:solidFill>
          </a:ln>
          <a:effectLst/>
          <a:sp3d contourW="25400">
            <a:contourClr>
              <a:schemeClr val="lt1"/>
            </a:contourClr>
          </a:sp3d>
        </c:spPr>
        <c:marker>
          <c:symbol val="none"/>
        </c:marker>
      </c:pivotFmt>
      <c:pivotFmt>
        <c:idx val="2"/>
        <c:spPr>
          <a:solidFill>
            <a:schemeClr val="accent4"/>
          </a:solidFill>
          <a:ln w="19050">
            <a:solidFill>
              <a:schemeClr val="lt1"/>
            </a:solidFill>
          </a:ln>
          <a:effectLst/>
          <a:sp3d contourW="25400">
            <a:contourClr>
              <a:schemeClr val="lt1"/>
            </a:contourClr>
          </a:sp3d>
        </c:spPr>
      </c:pivotFmt>
      <c:pivotFmt>
        <c:idx val="3"/>
        <c:spPr>
          <a:solidFill>
            <a:schemeClr val="accent4"/>
          </a:solidFill>
          <a:ln w="19050">
            <a:solidFill>
              <a:schemeClr val="lt1"/>
            </a:solidFill>
          </a:ln>
          <a:effectLst/>
          <a:sp3d contourW="25400">
            <a:contourClr>
              <a:schemeClr val="lt1"/>
            </a:contourClr>
          </a:sp3d>
        </c:spPr>
      </c:pivotFmt>
      <c:pivotFmt>
        <c:idx val="4"/>
        <c:spPr>
          <a:solidFill>
            <a:schemeClr val="accent4"/>
          </a:solidFill>
          <a:ln w="19050">
            <a:solidFill>
              <a:schemeClr val="lt1"/>
            </a:solidFill>
          </a:ln>
          <a:effectLst/>
          <a:sp3d contourW="25400">
            <a:contourClr>
              <a:schemeClr val="lt1"/>
            </a:contourClr>
          </a:sp3d>
        </c:spPr>
      </c:pivotFmt>
      <c:pivotFmt>
        <c:idx val="5"/>
        <c:spPr>
          <a:solidFill>
            <a:schemeClr val="accent4"/>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w="25400">
            <a:solidFill>
              <a:schemeClr val="lt1"/>
            </a:solidFill>
          </a:ln>
          <a:effectLst/>
          <a:sp3d contourW="25400">
            <a:contourClr>
              <a:schemeClr val="lt1"/>
            </a:contourClr>
          </a:sp3d>
        </c:spPr>
      </c:pivotFmt>
      <c:pivotFmt>
        <c:idx val="7"/>
        <c:spPr>
          <a:solidFill>
            <a:schemeClr val="accent4"/>
          </a:solidFill>
          <a:ln w="25400">
            <a:solidFill>
              <a:schemeClr val="lt1"/>
            </a:solidFill>
          </a:ln>
          <a:effectLst/>
          <a:sp3d contourW="25400">
            <a:contourClr>
              <a:schemeClr val="lt1"/>
            </a:contourClr>
          </a:sp3d>
        </c:spPr>
      </c:pivotFmt>
      <c:pivotFmt>
        <c:idx val="8"/>
        <c:spPr>
          <a:solidFill>
            <a:schemeClr val="accent4"/>
          </a:solidFill>
          <a:ln w="25400">
            <a:solidFill>
              <a:schemeClr val="lt1"/>
            </a:solidFill>
          </a:ln>
          <a:effectLst/>
          <a:sp3d contourW="25400">
            <a:contourClr>
              <a:schemeClr val="lt1"/>
            </a:contourClr>
          </a:sp3d>
        </c:spPr>
      </c:pivotFmt>
      <c:pivotFmt>
        <c:idx val="9"/>
        <c:spPr>
          <a:solidFill>
            <a:schemeClr val="accent3"/>
          </a:solidFill>
          <a:ln w="25400">
            <a:solidFill>
              <a:schemeClr val="accent1">
                <a:shade val="50000"/>
              </a:schemeClr>
            </a:solidFill>
          </a:ln>
          <a:effectLst/>
          <a:sp3d contourW="25400">
            <a:contourClr>
              <a:schemeClr val="accent1">
                <a:shade val="50000"/>
              </a:schemeClr>
            </a:contourClr>
          </a:sp3d>
        </c:spPr>
      </c:pivotFmt>
      <c:pivotFmt>
        <c:idx val="10"/>
        <c:spPr>
          <a:solidFill>
            <a:srgbClr val="FF0000"/>
          </a:solidFill>
          <a:ln w="25400">
            <a:solidFill>
              <a:schemeClr val="accent1">
                <a:shade val="50000"/>
              </a:schemeClr>
            </a:solidFill>
          </a:ln>
          <a:effectLst/>
          <a:sp3d contourW="25400">
            <a:contourClr>
              <a:schemeClr val="accent1">
                <a:shade val="50000"/>
              </a:schemeClr>
            </a:contourClr>
          </a:sp3d>
        </c:spPr>
      </c:pivotFmt>
      <c:pivotFmt>
        <c:idx val="11"/>
        <c:spPr>
          <a:solidFill>
            <a:srgbClr val="38FEB3"/>
          </a:solidFill>
          <a:ln w="25400">
            <a:solidFill>
              <a:schemeClr val="accent1">
                <a:shade val="50000"/>
              </a:schemeClr>
            </a:solidFill>
          </a:ln>
          <a:effectLst/>
          <a:sp3d contourW="25400">
            <a:contourClr>
              <a:schemeClr val="accent1">
                <a:shade val="50000"/>
              </a:schemeClr>
            </a:contourClr>
          </a:sp3d>
        </c:spPr>
      </c:pivotFmt>
      <c:pivotFmt>
        <c:idx val="12"/>
        <c:spPr>
          <a:solidFill>
            <a:schemeClr val="tx1"/>
          </a:solidFill>
          <a:ln w="25400">
            <a:solidFill>
              <a:schemeClr val="accent1">
                <a:shade val="50000"/>
              </a:schemeClr>
            </a:solidFill>
          </a:ln>
          <a:effectLst/>
          <a:sp3d contourW="25400">
            <a:contourClr>
              <a:schemeClr val="accent1">
                <a:shade val="50000"/>
              </a:schemeClr>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698630136986301E-2"/>
          <c:y val="0.21041487461126179"/>
          <c:w val="0.98630136986301364"/>
          <c:h val="0.78958512538873815"/>
        </c:manualLayout>
      </c:layout>
      <c:pie3DChart>
        <c:varyColors val="1"/>
        <c:ser>
          <c:idx val="0"/>
          <c:order val="0"/>
          <c:tx>
            <c:strRef>
              <c:f>pivots!$H$24</c:f>
              <c:strCache>
                <c:ptCount val="1"/>
                <c:pt idx="0">
                  <c:v>Total</c:v>
                </c:pt>
              </c:strCache>
            </c:strRef>
          </c:tx>
          <c:spPr>
            <a:solidFill>
              <a:schemeClr val="tx1"/>
            </a:solidFill>
            <a:ln>
              <a:solidFill>
                <a:schemeClr val="accent1">
                  <a:shade val="50000"/>
                </a:schemeClr>
              </a:solidFill>
            </a:ln>
          </c:spPr>
          <c:explosion val="2"/>
          <c:dPt>
            <c:idx val="0"/>
            <c:bubble3D val="0"/>
            <c:spPr>
              <a:solidFill>
                <a:schemeClr val="accent3"/>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1-514D-4013-B04B-6B897C614843}"/>
              </c:ext>
            </c:extLst>
          </c:dPt>
          <c:dPt>
            <c:idx val="1"/>
            <c:bubble3D val="0"/>
            <c:spPr>
              <a:solidFill>
                <a:srgbClr val="FF0000"/>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3-514D-4013-B04B-6B897C614843}"/>
              </c:ext>
            </c:extLst>
          </c:dPt>
          <c:dPt>
            <c:idx val="2"/>
            <c:bubble3D val="0"/>
            <c:explosion val="0"/>
            <c:spPr>
              <a:solidFill>
                <a:srgbClr val="38FEB3"/>
              </a:solidFill>
              <a:ln w="25400">
                <a:solidFill>
                  <a:schemeClr val="accent1">
                    <a:shade val="50000"/>
                  </a:schemeClr>
                </a:solidFill>
              </a:ln>
              <a:effectLst/>
              <a:sp3d contourW="25400">
                <a:contourClr>
                  <a:schemeClr val="accent1">
                    <a:shade val="50000"/>
                  </a:schemeClr>
                </a:contourClr>
              </a:sp3d>
            </c:spPr>
            <c:extLst>
              <c:ext xmlns:c16="http://schemas.microsoft.com/office/drawing/2014/chart" uri="{C3380CC4-5D6E-409C-BE32-E72D297353CC}">
                <c16:uniqueId val="{00000005-514D-4013-B04B-6B897C614843}"/>
              </c:ext>
            </c:extLst>
          </c:dPt>
          <c:cat>
            <c:strRef>
              <c:f>pivots!$G$25:$G$27</c:f>
              <c:strCache>
                <c:ptCount val="3"/>
                <c:pt idx="0">
                  <c:v>Double Occupancy</c:v>
                </c:pt>
                <c:pt idx="1">
                  <c:v>Single Occupancy</c:v>
                </c:pt>
                <c:pt idx="2">
                  <c:v>Triple Occupancy</c:v>
                </c:pt>
              </c:strCache>
            </c:strRef>
          </c:cat>
          <c:val>
            <c:numRef>
              <c:f>pivots!$H$25:$H$27</c:f>
              <c:numCache>
                <c:formatCode>General</c:formatCode>
                <c:ptCount val="3"/>
                <c:pt idx="0">
                  <c:v>546</c:v>
                </c:pt>
                <c:pt idx="1">
                  <c:v>511</c:v>
                </c:pt>
                <c:pt idx="2">
                  <c:v>541</c:v>
                </c:pt>
              </c:numCache>
            </c:numRef>
          </c:val>
          <c:extLst>
            <c:ext xmlns:c16="http://schemas.microsoft.com/office/drawing/2014/chart" uri="{C3380CC4-5D6E-409C-BE32-E72D297353CC}">
              <c16:uniqueId val="{00000006-514D-4013-B04B-6B897C61484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a:glow rad="228600">
        <a:srgbClr val="00B0F0">
          <a:alpha val="40000"/>
        </a:srgb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16</xdr:row>
      <xdr:rowOff>100012</xdr:rowOff>
    </xdr:from>
    <xdr:to>
      <xdr:col>5</xdr:col>
      <xdr:colOff>180975</xdr:colOff>
      <xdr:row>31</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266701</xdr:colOff>
      <xdr:row>0</xdr:row>
      <xdr:rowOff>0</xdr:rowOff>
    </xdr:from>
    <xdr:to>
      <xdr:col>5</xdr:col>
      <xdr:colOff>314326</xdr:colOff>
      <xdr:row>2</xdr:row>
      <xdr:rowOff>82924</xdr:rowOff>
    </xdr:to>
    <xdr:sp macro="" textlink="">
      <xdr:nvSpPr>
        <xdr:cNvPr id="3" name="Rounded Rectangle 2"/>
        <xdr:cNvSpPr/>
      </xdr:nvSpPr>
      <xdr:spPr>
        <a:xfrm>
          <a:off x="876301" y="0"/>
          <a:ext cx="10725150" cy="463924"/>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effectLst>
                <a:glow rad="927100">
                  <a:schemeClr val="accent1">
                    <a:alpha val="40000"/>
                  </a:schemeClr>
                </a:glow>
              </a:effectLst>
              <a:latin typeface="Bahnschrift Light" panose="020B0502040204020203" pitchFamily="34" charset="0"/>
            </a:rPr>
            <a:t>Enrollment</a:t>
          </a:r>
          <a:r>
            <a:rPr lang="en-GB" sz="2000" b="1" baseline="0">
              <a:effectLst>
                <a:glow rad="927100">
                  <a:schemeClr val="accent1">
                    <a:alpha val="40000"/>
                  </a:schemeClr>
                </a:glow>
              </a:effectLst>
              <a:latin typeface="Bahnschrift Light" panose="020B0502040204020203" pitchFamily="34" charset="0"/>
            </a:rPr>
            <a:t> Forecasting as per Historical Data</a:t>
          </a:r>
          <a:endParaRPr lang="en-GB" sz="2000" b="1">
            <a:effectLst>
              <a:glow rad="927100">
                <a:schemeClr val="accent1">
                  <a:alpha val="40000"/>
                </a:schemeClr>
              </a:glow>
            </a:effectLst>
            <a:latin typeface="Bahnschrift Light"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67235</xdr:colOff>
      <xdr:row>0</xdr:row>
      <xdr:rowOff>67236</xdr:rowOff>
    </xdr:from>
    <xdr:to>
      <xdr:col>19</xdr:col>
      <xdr:colOff>145677</xdr:colOff>
      <xdr:row>4</xdr:row>
      <xdr:rowOff>44824</xdr:rowOff>
    </xdr:to>
    <xdr:sp macro="" textlink="">
      <xdr:nvSpPr>
        <xdr:cNvPr id="4" name="Rounded Rectangle 3"/>
        <xdr:cNvSpPr/>
      </xdr:nvSpPr>
      <xdr:spPr>
        <a:xfrm>
          <a:off x="67235" y="67236"/>
          <a:ext cx="11575677" cy="750794"/>
        </a:xfrm>
        <a:prstGeom prst="roundRect">
          <a:avLst/>
        </a:prstGeom>
        <a:gradFill>
          <a:gsLst>
            <a:gs pos="0">
              <a:schemeClr val="tx1"/>
            </a:gs>
            <a:gs pos="62000">
              <a:srgbClr val="00B0F0"/>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0" i="0" cap="none" spc="0">
              <a:ln w="0"/>
              <a:solidFill>
                <a:schemeClr val="bg1"/>
              </a:solidFill>
              <a:effectLst>
                <a:glow rad="228600">
                  <a:schemeClr val="bg1">
                    <a:alpha val="40000"/>
                  </a:schemeClr>
                </a:glow>
                <a:outerShdw blurRad="38100" dist="19050" dir="2700000" algn="tl" rotWithShape="0">
                  <a:schemeClr val="dk1">
                    <a:alpha val="40000"/>
                  </a:schemeClr>
                </a:outerShdw>
              </a:effectLst>
              <a:latin typeface="Yu Gothic UI Semilight" panose="020B0400000000000000" pitchFamily="34" charset="-128"/>
              <a:ea typeface="Yu Gothic UI Semilight" panose="020B0400000000000000" pitchFamily="34" charset="-128"/>
            </a:rPr>
            <a:t>Comprehensive-Engineering-College-Admission-Analysis</a:t>
          </a:r>
          <a:endParaRPr lang="en-GB" sz="1200" b="0" i="0" cap="none" spc="0">
            <a:ln w="0"/>
            <a:solidFill>
              <a:schemeClr val="bg1"/>
            </a:solidFill>
            <a:effectLst>
              <a:glow rad="228600">
                <a:schemeClr val="bg1">
                  <a:alpha val="40000"/>
                </a:schemeClr>
              </a:glow>
              <a:outerShdw blurRad="38100" dist="19050" dir="2700000" algn="tl" rotWithShape="0">
                <a:schemeClr val="dk1">
                  <a:alpha val="40000"/>
                </a:schemeClr>
              </a:outerShdw>
            </a:effectLst>
            <a:latin typeface="Yu Gothic UI Semilight" panose="020B0400000000000000" pitchFamily="34" charset="-128"/>
            <a:ea typeface="Yu Gothic UI Semilight" panose="020B0400000000000000" pitchFamily="34" charset="-128"/>
          </a:endParaRPr>
        </a:p>
      </xdr:txBody>
    </xdr:sp>
    <xdr:clientData/>
  </xdr:twoCellAnchor>
  <xdr:twoCellAnchor>
    <xdr:from>
      <xdr:col>0</xdr:col>
      <xdr:colOff>88524</xdr:colOff>
      <xdr:row>4</xdr:row>
      <xdr:rowOff>36419</xdr:rowOff>
    </xdr:from>
    <xdr:to>
      <xdr:col>5</xdr:col>
      <xdr:colOff>183775</xdr:colOff>
      <xdr:row>6</xdr:row>
      <xdr:rowOff>52107</xdr:rowOff>
    </xdr:to>
    <xdr:sp macro="" textlink="">
      <xdr:nvSpPr>
        <xdr:cNvPr id="6" name="Rounded Rectangle 5"/>
        <xdr:cNvSpPr/>
      </xdr:nvSpPr>
      <xdr:spPr>
        <a:xfrm>
          <a:off x="88524" y="809625"/>
          <a:ext cx="3120839" cy="396688"/>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Year Wise </a:t>
          </a:r>
          <a:r>
            <a:rPr lang="en-GB" sz="1600" b="1">
              <a:effectLst>
                <a:glow rad="965200">
                  <a:schemeClr val="accent1">
                    <a:alpha val="40000"/>
                  </a:schemeClr>
                </a:glow>
              </a:effectLst>
              <a:latin typeface="Bahnschrift Light" panose="020B0502040204020203" pitchFamily="34" charset="0"/>
            </a:rPr>
            <a:t>Enrollement</a:t>
          </a:r>
          <a:r>
            <a:rPr lang="en-GB" sz="1600" b="1">
              <a:effectLst>
                <a:glow rad="927100">
                  <a:schemeClr val="accent1">
                    <a:alpha val="40000"/>
                  </a:schemeClr>
                </a:glow>
              </a:effectLst>
              <a:latin typeface="Bahnschrift Light" panose="020B0502040204020203" pitchFamily="34" charset="0"/>
            </a:rPr>
            <a:t> Trends</a:t>
          </a:r>
        </a:p>
      </xdr:txBody>
    </xdr:sp>
    <xdr:clientData/>
  </xdr:twoCellAnchor>
  <xdr:twoCellAnchor>
    <xdr:from>
      <xdr:col>0</xdr:col>
      <xdr:colOff>0</xdr:colOff>
      <xdr:row>6</xdr:row>
      <xdr:rowOff>36979</xdr:rowOff>
    </xdr:from>
    <xdr:to>
      <xdr:col>5</xdr:col>
      <xdr:colOff>346822</xdr:colOff>
      <xdr:row>15</xdr:row>
      <xdr:rowOff>179294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67230</xdr:colOff>
      <xdr:row>4</xdr:row>
      <xdr:rowOff>11206</xdr:rowOff>
    </xdr:from>
    <xdr:to>
      <xdr:col>10</xdr:col>
      <xdr:colOff>179288</xdr:colOff>
      <xdr:row>6</xdr:row>
      <xdr:rowOff>26894</xdr:rowOff>
    </xdr:to>
    <xdr:sp macro="" textlink="">
      <xdr:nvSpPr>
        <xdr:cNvPr id="8" name="Rounded Rectangle 7"/>
        <xdr:cNvSpPr/>
      </xdr:nvSpPr>
      <xdr:spPr>
        <a:xfrm>
          <a:off x="3697936" y="784412"/>
          <a:ext cx="2532528" cy="407894"/>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Course</a:t>
          </a:r>
          <a:r>
            <a:rPr lang="en-GB" sz="1600" b="1" baseline="0">
              <a:effectLst>
                <a:glow rad="927100">
                  <a:schemeClr val="accent1">
                    <a:alpha val="40000"/>
                  </a:schemeClr>
                </a:glow>
              </a:effectLst>
              <a:latin typeface="Bahnschrift Light" panose="020B0502040204020203" pitchFamily="34" charset="0"/>
            </a:rPr>
            <a:t> Wise Stats</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5</xdr:col>
      <xdr:colOff>358029</xdr:colOff>
      <xdr:row>6</xdr:row>
      <xdr:rowOff>33619</xdr:rowOff>
    </xdr:from>
    <xdr:to>
      <xdr:col>10</xdr:col>
      <xdr:colOff>347383</xdr:colOff>
      <xdr:row>15</xdr:row>
      <xdr:rowOff>179295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504265</xdr:colOff>
      <xdr:row>3</xdr:row>
      <xdr:rowOff>152400</xdr:rowOff>
    </xdr:from>
    <xdr:to>
      <xdr:col>16</xdr:col>
      <xdr:colOff>65942</xdr:colOff>
      <xdr:row>6</xdr:row>
      <xdr:rowOff>22412</xdr:rowOff>
    </xdr:to>
    <xdr:sp macro="" textlink="">
      <xdr:nvSpPr>
        <xdr:cNvPr id="12" name="Rounded Rectangle 11"/>
        <xdr:cNvSpPr/>
      </xdr:nvSpPr>
      <xdr:spPr>
        <a:xfrm>
          <a:off x="6585611" y="723900"/>
          <a:ext cx="3210485" cy="456166"/>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Demographic</a:t>
          </a:r>
          <a:r>
            <a:rPr lang="en-GB" sz="1600" b="1" baseline="0">
              <a:effectLst>
                <a:glow rad="927100">
                  <a:schemeClr val="accent1">
                    <a:alpha val="40000"/>
                  </a:schemeClr>
                </a:glow>
              </a:effectLst>
              <a:latin typeface="Bahnschrift Light" panose="020B0502040204020203" pitchFamily="34" charset="0"/>
            </a:rPr>
            <a:t> BreakDown</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10</xdr:col>
      <xdr:colOff>363980</xdr:colOff>
      <xdr:row>6</xdr:row>
      <xdr:rowOff>39570</xdr:rowOff>
    </xdr:from>
    <xdr:to>
      <xdr:col>16</xdr:col>
      <xdr:colOff>161925</xdr:colOff>
      <xdr:row>16</xdr:row>
      <xdr:rowOff>5953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33616</xdr:rowOff>
    </xdr:from>
    <xdr:to>
      <xdr:col>6</xdr:col>
      <xdr:colOff>349168</xdr:colOff>
      <xdr:row>32</xdr:row>
      <xdr:rowOff>181955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16564</xdr:colOff>
      <xdr:row>16</xdr:row>
      <xdr:rowOff>22414</xdr:rowOff>
    </xdr:from>
    <xdr:to>
      <xdr:col>7</xdr:col>
      <xdr:colOff>173934</xdr:colOff>
      <xdr:row>17</xdr:row>
      <xdr:rowOff>161366</xdr:rowOff>
    </xdr:to>
    <xdr:sp macro="" textlink="">
      <xdr:nvSpPr>
        <xdr:cNvPr id="16" name="Rounded Rectangle 15"/>
        <xdr:cNvSpPr/>
      </xdr:nvSpPr>
      <xdr:spPr>
        <a:xfrm>
          <a:off x="16564" y="3078697"/>
          <a:ext cx="4447761" cy="329452"/>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Year Wise </a:t>
          </a:r>
          <a:r>
            <a:rPr lang="en-GB" sz="1600" b="1">
              <a:effectLst>
                <a:glow rad="965200">
                  <a:schemeClr val="accent1">
                    <a:alpha val="40000"/>
                  </a:schemeClr>
                </a:glow>
              </a:effectLst>
              <a:latin typeface="Bahnschrift Light" panose="020B0502040204020203" pitchFamily="34" charset="0"/>
            </a:rPr>
            <a:t>Academic</a:t>
          </a:r>
          <a:r>
            <a:rPr lang="en-GB" sz="1600" b="1" baseline="0">
              <a:effectLst>
                <a:glow rad="965200">
                  <a:schemeClr val="accent1">
                    <a:alpha val="40000"/>
                  </a:schemeClr>
                </a:glow>
              </a:effectLst>
              <a:latin typeface="Bahnschrift Light" panose="020B0502040204020203" pitchFamily="34" charset="0"/>
            </a:rPr>
            <a:t> Performance   10th   12th</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6</xdr:col>
      <xdr:colOff>358589</xdr:colOff>
      <xdr:row>18</xdr:row>
      <xdr:rowOff>44822</xdr:rowOff>
    </xdr:from>
    <xdr:to>
      <xdr:col>14</xdr:col>
      <xdr:colOff>224118</xdr:colOff>
      <xdr:row>32</xdr:row>
      <xdr:rowOff>181857</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265044</xdr:colOff>
      <xdr:row>16</xdr:row>
      <xdr:rowOff>62755</xdr:rowOff>
    </xdr:from>
    <xdr:to>
      <xdr:col>13</xdr:col>
      <xdr:colOff>515471</xdr:colOff>
      <xdr:row>18</xdr:row>
      <xdr:rowOff>1</xdr:rowOff>
    </xdr:to>
    <xdr:sp macro="" textlink="">
      <xdr:nvSpPr>
        <xdr:cNvPr id="18" name="Rounded Rectangle 17"/>
        <xdr:cNvSpPr/>
      </xdr:nvSpPr>
      <xdr:spPr>
        <a:xfrm>
          <a:off x="4555435" y="3119038"/>
          <a:ext cx="3927906" cy="326528"/>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Specialization</a:t>
          </a:r>
          <a:r>
            <a:rPr lang="en-GB" sz="1600" b="1" baseline="0">
              <a:effectLst>
                <a:glow rad="927100">
                  <a:schemeClr val="accent1">
                    <a:alpha val="40000"/>
                  </a:schemeClr>
                </a:glow>
              </a:effectLst>
              <a:latin typeface="Bahnschrift Light" panose="020B0502040204020203" pitchFamily="34" charset="0"/>
            </a:rPr>
            <a:t> Tends    Btech   Mtech</a:t>
          </a:r>
          <a:endParaRPr lang="en-GB" sz="1600" b="1">
            <a:effectLst>
              <a:glow rad="927100">
                <a:schemeClr val="accent1">
                  <a:alpha val="40000"/>
                </a:schemeClr>
              </a:glow>
            </a:effectLst>
            <a:latin typeface="Bahnschrift Light" panose="020B0502040204020203" pitchFamily="34" charset="0"/>
          </a:endParaRPr>
        </a:p>
      </xdr:txBody>
    </xdr:sp>
    <xdr:clientData/>
  </xdr:twoCellAnchor>
  <xdr:twoCellAnchor>
    <xdr:from>
      <xdr:col>14</xdr:col>
      <xdr:colOff>237677</xdr:colOff>
      <xdr:row>18</xdr:row>
      <xdr:rowOff>19051</xdr:rowOff>
    </xdr:from>
    <xdr:to>
      <xdr:col>21</xdr:col>
      <xdr:colOff>95250</xdr:colOff>
      <xdr:row>33</xdr:row>
      <xdr:rowOff>1</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34830</xdr:colOff>
      <xdr:row>17</xdr:row>
      <xdr:rowOff>3016</xdr:rowOff>
    </xdr:from>
    <xdr:to>
      <xdr:col>11</xdr:col>
      <xdr:colOff>149082</xdr:colOff>
      <xdr:row>17</xdr:row>
      <xdr:rowOff>117230</xdr:rowOff>
    </xdr:to>
    <xdr:sp macro="" textlink="">
      <xdr:nvSpPr>
        <xdr:cNvPr id="20" name="Flowchart: Connector 19"/>
        <xdr:cNvSpPr/>
      </xdr:nvSpPr>
      <xdr:spPr>
        <a:xfrm>
          <a:off x="6776873" y="3249799"/>
          <a:ext cx="114252" cy="114214"/>
        </a:xfrm>
        <a:prstGeom prst="flowChartConnector">
          <a:avLst/>
        </a:prstGeom>
        <a:solidFill>
          <a:srgbClr val="38FEB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156396</xdr:colOff>
      <xdr:row>16</xdr:row>
      <xdr:rowOff>184723</xdr:rowOff>
    </xdr:from>
    <xdr:to>
      <xdr:col>12</xdr:col>
      <xdr:colOff>270650</xdr:colOff>
      <xdr:row>17</xdr:row>
      <xdr:rowOff>108437</xdr:rowOff>
    </xdr:to>
    <xdr:sp macro="" textlink="">
      <xdr:nvSpPr>
        <xdr:cNvPr id="21" name="Flowchart: Connector 20"/>
        <xdr:cNvSpPr/>
      </xdr:nvSpPr>
      <xdr:spPr>
        <a:xfrm>
          <a:off x="7417808" y="3243929"/>
          <a:ext cx="114254" cy="114214"/>
        </a:xfrm>
        <a:prstGeom prst="flowChartConnector">
          <a:avLst/>
        </a:prstGeom>
        <a:solidFill>
          <a:srgbClr val="F32BD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162628</xdr:colOff>
      <xdr:row>16</xdr:row>
      <xdr:rowOff>146623</xdr:rowOff>
    </xdr:from>
    <xdr:to>
      <xdr:col>6</xdr:col>
      <xdr:colOff>262609</xdr:colOff>
      <xdr:row>17</xdr:row>
      <xdr:rowOff>66260</xdr:rowOff>
    </xdr:to>
    <xdr:sp macro="" textlink="">
      <xdr:nvSpPr>
        <xdr:cNvPr id="22" name="Flowchart: Connector 21"/>
        <xdr:cNvSpPr/>
      </xdr:nvSpPr>
      <xdr:spPr>
        <a:xfrm>
          <a:off x="3793334" y="3205829"/>
          <a:ext cx="99981" cy="110137"/>
        </a:xfrm>
        <a:prstGeom prst="flowChartConnector">
          <a:avLst/>
        </a:prstGeom>
        <a:solidFill>
          <a:srgbClr val="38FEB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279460</xdr:colOff>
      <xdr:row>16</xdr:row>
      <xdr:rowOff>141654</xdr:rowOff>
    </xdr:from>
    <xdr:to>
      <xdr:col>5</xdr:col>
      <xdr:colOff>376126</xdr:colOff>
      <xdr:row>17</xdr:row>
      <xdr:rowOff>49695</xdr:rowOff>
    </xdr:to>
    <xdr:sp macro="" textlink="">
      <xdr:nvSpPr>
        <xdr:cNvPr id="23" name="Flowchart: Connector 22"/>
        <xdr:cNvSpPr/>
      </xdr:nvSpPr>
      <xdr:spPr>
        <a:xfrm>
          <a:off x="3305048" y="3200860"/>
          <a:ext cx="96666" cy="98541"/>
        </a:xfrm>
        <a:prstGeom prst="flowChartConnector">
          <a:avLst/>
        </a:prstGeom>
        <a:solidFill>
          <a:srgbClr val="F32BD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203879</xdr:colOff>
      <xdr:row>8</xdr:row>
      <xdr:rowOff>185247</xdr:rowOff>
    </xdr:from>
    <xdr:to>
      <xdr:col>19</xdr:col>
      <xdr:colOff>35790</xdr:colOff>
      <xdr:row>15</xdr:row>
      <xdr:rowOff>181955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92169</xdr:colOff>
      <xdr:row>7</xdr:row>
      <xdr:rowOff>124876</xdr:rowOff>
    </xdr:from>
    <xdr:to>
      <xdr:col>17</xdr:col>
      <xdr:colOff>38589</xdr:colOff>
      <xdr:row>8</xdr:row>
      <xdr:rowOff>154640</xdr:rowOff>
    </xdr:to>
    <xdr:sp macro="" textlink="">
      <xdr:nvSpPr>
        <xdr:cNvPr id="36" name="Round Diagonal Corner Rectangle 35"/>
        <xdr:cNvSpPr/>
      </xdr:nvSpPr>
      <xdr:spPr>
        <a:xfrm>
          <a:off x="9845769" y="1506001"/>
          <a:ext cx="556020"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32BD6"/>
              </a:solidFill>
              <a:effectLst>
                <a:glow rad="228600">
                  <a:srgbClr val="F32BD6">
                    <a:alpha val="40000"/>
                  </a:srgbClr>
                </a:glow>
                <a:outerShdw blurRad="63500" sx="102000" sy="102000" algn="ctr" rotWithShape="0">
                  <a:srgbClr val="F32BD6">
                    <a:alpha val="40000"/>
                  </a:srgbClr>
                </a:outerShdw>
              </a:effectLst>
            </a:rPr>
            <a:t>CASH</a:t>
          </a:r>
          <a:endParaRPr lang="en-GB" sz="900">
            <a:solidFill>
              <a:srgbClr val="F32BD6"/>
            </a:solidFill>
            <a:effectLst>
              <a:glow rad="228600">
                <a:srgbClr val="F32BD6">
                  <a:alpha val="40000"/>
                </a:srgbClr>
              </a:glow>
              <a:outerShdw blurRad="63500" sx="102000" sy="102000" algn="ctr" rotWithShape="0">
                <a:srgbClr val="F32BD6">
                  <a:alpha val="40000"/>
                </a:srgbClr>
              </a:outerShdw>
            </a:effectLst>
          </a:endParaRPr>
        </a:p>
      </xdr:txBody>
    </xdr:sp>
    <xdr:clientData/>
  </xdr:twoCellAnchor>
  <xdr:twoCellAnchor>
    <xdr:from>
      <xdr:col>17</xdr:col>
      <xdr:colOff>185317</xdr:colOff>
      <xdr:row>7</xdr:row>
      <xdr:rowOff>128449</xdr:rowOff>
    </xdr:from>
    <xdr:to>
      <xdr:col>18</xdr:col>
      <xdr:colOff>268659</xdr:colOff>
      <xdr:row>8</xdr:row>
      <xdr:rowOff>158213</xdr:rowOff>
    </xdr:to>
    <xdr:sp macro="" textlink="">
      <xdr:nvSpPr>
        <xdr:cNvPr id="37" name="Round Diagonal Corner Rectangle 36"/>
        <xdr:cNvSpPr/>
      </xdr:nvSpPr>
      <xdr:spPr>
        <a:xfrm>
          <a:off x="10548517" y="1509574"/>
          <a:ext cx="692942"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7DE3FB"/>
              </a:solidFill>
              <a:effectLst>
                <a:glow rad="228600">
                  <a:srgbClr val="7DE3FB">
                    <a:alpha val="40000"/>
                  </a:srgbClr>
                </a:glow>
                <a:outerShdw blurRad="63500" sx="102000" sy="102000" algn="ctr" rotWithShape="0">
                  <a:srgbClr val="F32BD6">
                    <a:alpha val="40000"/>
                  </a:srgbClr>
                </a:outerShdw>
              </a:effectLst>
            </a:rPr>
            <a:t>CHEQUE</a:t>
          </a:r>
          <a:endParaRPr lang="en-GB" sz="900">
            <a:solidFill>
              <a:srgbClr val="7DE3FB"/>
            </a:solidFill>
            <a:effectLst>
              <a:glow rad="228600">
                <a:srgbClr val="7DE3FB">
                  <a:alpha val="40000"/>
                </a:srgbClr>
              </a:glow>
              <a:outerShdw blurRad="63500" sx="102000" sy="102000" algn="ctr" rotWithShape="0">
                <a:srgbClr val="F32BD6">
                  <a:alpha val="40000"/>
                </a:srgbClr>
              </a:outerShdw>
            </a:effectLst>
          </a:endParaRPr>
        </a:p>
      </xdr:txBody>
    </xdr:sp>
    <xdr:clientData/>
  </xdr:twoCellAnchor>
  <xdr:twoCellAnchor>
    <xdr:from>
      <xdr:col>18</xdr:col>
      <xdr:colOff>111219</xdr:colOff>
      <xdr:row>7</xdr:row>
      <xdr:rowOff>120114</xdr:rowOff>
    </xdr:from>
    <xdr:to>
      <xdr:col>19</xdr:col>
      <xdr:colOff>57640</xdr:colOff>
      <xdr:row>8</xdr:row>
      <xdr:rowOff>149878</xdr:rowOff>
    </xdr:to>
    <xdr:sp macro="" textlink="">
      <xdr:nvSpPr>
        <xdr:cNvPr id="38" name="Round Diagonal Corner Rectangle 37"/>
        <xdr:cNvSpPr/>
      </xdr:nvSpPr>
      <xdr:spPr>
        <a:xfrm>
          <a:off x="11084019" y="1501239"/>
          <a:ext cx="55602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3D32B"/>
              </a:solidFill>
              <a:effectLst>
                <a:glow rad="228600">
                  <a:srgbClr val="33D32B">
                    <a:alpha val="40000"/>
                  </a:srgbClr>
                </a:glow>
                <a:outerShdw blurRad="63500" sx="102000" sy="102000" algn="ctr" rotWithShape="0">
                  <a:srgbClr val="F32BD6">
                    <a:alpha val="40000"/>
                  </a:srgbClr>
                </a:outerShdw>
              </a:effectLst>
            </a:rPr>
            <a:t>DD</a:t>
          </a:r>
          <a:endParaRPr lang="en-GB" sz="900">
            <a:solidFill>
              <a:srgbClr val="33D32B"/>
            </a:solidFill>
            <a:effectLst>
              <a:glow rad="228600">
                <a:srgbClr val="33D32B">
                  <a:alpha val="40000"/>
                </a:srgbClr>
              </a:glow>
              <a:outerShdw blurRad="63500" sx="102000" sy="102000" algn="ctr" rotWithShape="0">
                <a:srgbClr val="F32BD6">
                  <a:alpha val="40000"/>
                </a:srgbClr>
              </a:outerShdw>
            </a:effectLst>
          </a:endParaRPr>
        </a:p>
      </xdr:txBody>
    </xdr:sp>
    <xdr:clientData/>
  </xdr:twoCellAnchor>
  <xdr:twoCellAnchor>
    <xdr:from>
      <xdr:col>18</xdr:col>
      <xdr:colOff>315796</xdr:colOff>
      <xdr:row>7</xdr:row>
      <xdr:rowOff>129639</xdr:rowOff>
    </xdr:from>
    <xdr:to>
      <xdr:col>19</xdr:col>
      <xdr:colOff>262217</xdr:colOff>
      <xdr:row>8</xdr:row>
      <xdr:rowOff>159403</xdr:rowOff>
    </xdr:to>
    <xdr:sp macro="" textlink="">
      <xdr:nvSpPr>
        <xdr:cNvPr id="39" name="Round Diagonal Corner Rectangle 38"/>
        <xdr:cNvSpPr/>
      </xdr:nvSpPr>
      <xdr:spPr>
        <a:xfrm>
          <a:off x="11288596" y="1510764"/>
          <a:ext cx="55602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5650D0"/>
              </a:solidFill>
              <a:effectLst>
                <a:glow rad="228600">
                  <a:srgbClr val="5650D0">
                    <a:alpha val="40000"/>
                  </a:srgbClr>
                </a:glow>
                <a:outerShdw blurRad="63500" sx="102000" sy="102000" algn="ctr" rotWithShape="0">
                  <a:srgbClr val="F32BD6">
                    <a:alpha val="40000"/>
                  </a:srgbClr>
                </a:outerShdw>
              </a:effectLst>
            </a:rPr>
            <a:t>UPI</a:t>
          </a:r>
          <a:endParaRPr lang="en-GB" sz="900">
            <a:solidFill>
              <a:srgbClr val="5650D0"/>
            </a:solidFill>
            <a:effectLst>
              <a:glow rad="228600">
                <a:srgbClr val="5650D0">
                  <a:alpha val="40000"/>
                </a:srgbClr>
              </a:glow>
              <a:outerShdw blurRad="63500" sx="102000" sy="102000" algn="ctr" rotWithShape="0">
                <a:srgbClr val="F32BD6">
                  <a:alpha val="40000"/>
                </a:srgbClr>
              </a:outerShdw>
            </a:effectLst>
          </a:endParaRPr>
        </a:p>
      </xdr:txBody>
    </xdr:sp>
    <xdr:clientData/>
  </xdr:twoCellAnchor>
  <xdr:twoCellAnchor>
    <xdr:from>
      <xdr:col>16</xdr:col>
      <xdr:colOff>448166</xdr:colOff>
      <xdr:row>7</xdr:row>
      <xdr:rowOff>127258</xdr:rowOff>
    </xdr:from>
    <xdr:to>
      <xdr:col>17</xdr:col>
      <xdr:colOff>394586</xdr:colOff>
      <xdr:row>8</xdr:row>
      <xdr:rowOff>157022</xdr:rowOff>
    </xdr:to>
    <xdr:sp macro="" textlink="">
      <xdr:nvSpPr>
        <xdr:cNvPr id="40" name="Round Diagonal Corner Rectangle 39"/>
        <xdr:cNvSpPr/>
      </xdr:nvSpPr>
      <xdr:spPr>
        <a:xfrm>
          <a:off x="10201766" y="1508383"/>
          <a:ext cx="556020"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F0000"/>
              </a:solidFill>
              <a:effectLst>
                <a:glow rad="228600">
                  <a:srgbClr val="FF0000">
                    <a:alpha val="40000"/>
                  </a:srgbClr>
                </a:glow>
                <a:outerShdw blurRad="63500" sx="102000" sy="102000" algn="ctr" rotWithShape="0">
                  <a:srgbClr val="F32BD6">
                    <a:alpha val="40000"/>
                  </a:srgbClr>
                </a:outerShdw>
              </a:effectLst>
            </a:rPr>
            <a:t>RTGS</a:t>
          </a:r>
          <a:endParaRPr lang="en-GB" sz="900">
            <a:solidFill>
              <a:srgbClr val="FF0000"/>
            </a:solidFill>
            <a:effectLst>
              <a:glow rad="228600">
                <a:srgbClr val="FF0000">
                  <a:alpha val="40000"/>
                </a:srgbClr>
              </a:glow>
              <a:outerShdw blurRad="63500" sx="102000" sy="102000" algn="ctr" rotWithShape="0">
                <a:srgbClr val="F32BD6">
                  <a:alpha val="40000"/>
                </a:srgbClr>
              </a:outerShdw>
            </a:effectLst>
          </a:endParaRPr>
        </a:p>
      </xdr:txBody>
    </xdr:sp>
    <xdr:clientData/>
  </xdr:twoCellAnchor>
  <xdr:twoCellAnchor>
    <xdr:from>
      <xdr:col>16</xdr:col>
      <xdr:colOff>197084</xdr:colOff>
      <xdr:row>6</xdr:row>
      <xdr:rowOff>68636</xdr:rowOff>
    </xdr:from>
    <xdr:to>
      <xdr:col>19</xdr:col>
      <xdr:colOff>79071</xdr:colOff>
      <xdr:row>7</xdr:row>
      <xdr:rowOff>151981</xdr:rowOff>
    </xdr:to>
    <xdr:sp macro="" textlink="">
      <xdr:nvSpPr>
        <xdr:cNvPr id="41" name="Rounded Rectangle 40"/>
        <xdr:cNvSpPr/>
      </xdr:nvSpPr>
      <xdr:spPr>
        <a:xfrm>
          <a:off x="9950684" y="1230686"/>
          <a:ext cx="1710787" cy="30242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Payment</a:t>
          </a:r>
          <a:r>
            <a:rPr lang="en-GB" sz="1200" b="1" baseline="0">
              <a:effectLst>
                <a:glow rad="927100">
                  <a:schemeClr val="accent1">
                    <a:alpha val="40000"/>
                  </a:schemeClr>
                </a:glow>
              </a:effectLst>
              <a:latin typeface="Bahnschrift Light" panose="020B0502040204020203" pitchFamily="34" charset="0"/>
            </a:rPr>
            <a:t> Modes Ratio</a:t>
          </a:r>
          <a:endParaRPr lang="en-GB" sz="1200" b="1">
            <a:effectLst>
              <a:glow rad="927100">
                <a:schemeClr val="accent1">
                  <a:alpha val="40000"/>
                </a:schemeClr>
              </a:glow>
            </a:effectLst>
            <a:latin typeface="Bahnschrift Light" panose="020B0502040204020203" pitchFamily="34" charset="0"/>
          </a:endParaRPr>
        </a:p>
      </xdr:txBody>
    </xdr:sp>
    <xdr:clientData/>
  </xdr:twoCellAnchor>
  <xdr:twoCellAnchor>
    <xdr:from>
      <xdr:col>7</xdr:col>
      <xdr:colOff>39781</xdr:colOff>
      <xdr:row>13</xdr:row>
      <xdr:rowOff>112058</xdr:rowOff>
    </xdr:from>
    <xdr:to>
      <xdr:col>8</xdr:col>
      <xdr:colOff>185458</xdr:colOff>
      <xdr:row>15</xdr:row>
      <xdr:rowOff>22411</xdr:rowOff>
    </xdr:to>
    <xdr:sp macro="" textlink="">
      <xdr:nvSpPr>
        <xdr:cNvPr id="42" name="Round Diagonal Corner Rectangle 41"/>
        <xdr:cNvSpPr/>
      </xdr:nvSpPr>
      <xdr:spPr>
        <a:xfrm>
          <a:off x="4306981" y="2750483"/>
          <a:ext cx="755277" cy="291353"/>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7DE3FB"/>
              </a:solidFill>
              <a:effectLst>
                <a:glow rad="228600">
                  <a:srgbClr val="7DE3FB">
                    <a:alpha val="40000"/>
                  </a:srgbClr>
                </a:glow>
                <a:outerShdw blurRad="63500" sx="102000" sy="102000" algn="ctr" rotWithShape="0">
                  <a:srgbClr val="F32BD6">
                    <a:alpha val="40000"/>
                  </a:srgbClr>
                </a:outerShdw>
              </a:effectLst>
            </a:rPr>
            <a:t>BTECH</a:t>
          </a:r>
          <a:endParaRPr lang="en-GB" sz="900">
            <a:solidFill>
              <a:srgbClr val="7DE3FB"/>
            </a:solidFill>
            <a:effectLst>
              <a:glow rad="228600">
                <a:srgbClr val="7DE3FB">
                  <a:alpha val="40000"/>
                </a:srgbClr>
              </a:glow>
              <a:outerShdw blurRad="63500" sx="102000" sy="102000" algn="ctr" rotWithShape="0">
                <a:srgbClr val="F32BD6">
                  <a:alpha val="40000"/>
                </a:srgbClr>
              </a:outerShdw>
            </a:effectLst>
          </a:endParaRPr>
        </a:p>
      </xdr:txBody>
    </xdr:sp>
    <xdr:clientData/>
  </xdr:twoCellAnchor>
  <xdr:twoCellAnchor>
    <xdr:from>
      <xdr:col>8</xdr:col>
      <xdr:colOff>167528</xdr:colOff>
      <xdr:row>13</xdr:row>
      <xdr:rowOff>107576</xdr:rowOff>
    </xdr:from>
    <xdr:to>
      <xdr:col>9</xdr:col>
      <xdr:colOff>228040</xdr:colOff>
      <xdr:row>14</xdr:row>
      <xdr:rowOff>145677</xdr:rowOff>
    </xdr:to>
    <xdr:sp macro="" textlink="">
      <xdr:nvSpPr>
        <xdr:cNvPr id="43" name="Round Diagonal Corner Rectangle 42"/>
        <xdr:cNvSpPr/>
      </xdr:nvSpPr>
      <xdr:spPr>
        <a:xfrm>
          <a:off x="5044328" y="2746001"/>
          <a:ext cx="670112" cy="228601"/>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32BD6"/>
              </a:solidFill>
              <a:effectLst>
                <a:glow rad="228600">
                  <a:srgbClr val="F32BD6">
                    <a:alpha val="40000"/>
                  </a:srgbClr>
                </a:glow>
                <a:outerShdw blurRad="63500" sx="102000" sy="102000" algn="ctr" rotWithShape="0">
                  <a:srgbClr val="F32BD6">
                    <a:alpha val="40000"/>
                  </a:srgbClr>
                </a:outerShdw>
              </a:effectLst>
            </a:rPr>
            <a:t>MTECH</a:t>
          </a:r>
          <a:endParaRPr lang="en-GB" sz="900">
            <a:solidFill>
              <a:srgbClr val="F32BD6"/>
            </a:solidFill>
            <a:effectLst>
              <a:glow rad="228600">
                <a:srgbClr val="F32BD6">
                  <a:alpha val="40000"/>
                </a:srgbClr>
              </a:glow>
              <a:outerShdw blurRad="63500" sx="102000" sy="102000" algn="ctr" rotWithShape="0">
                <a:srgbClr val="F32BD6">
                  <a:alpha val="40000"/>
                </a:srgbClr>
              </a:outerShdw>
            </a:effectLst>
          </a:endParaRPr>
        </a:p>
      </xdr:txBody>
    </xdr:sp>
    <xdr:clientData/>
  </xdr:twoCellAnchor>
  <xdr:twoCellAnchor>
    <xdr:from>
      <xdr:col>19</xdr:col>
      <xdr:colOff>66675</xdr:colOff>
      <xdr:row>8</xdr:row>
      <xdr:rowOff>190500</xdr:rowOff>
    </xdr:from>
    <xdr:to>
      <xdr:col>21</xdr:col>
      <xdr:colOff>142875</xdr:colOff>
      <xdr:row>15</xdr:row>
      <xdr:rowOff>180975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111359</xdr:colOff>
      <xdr:row>6</xdr:row>
      <xdr:rowOff>59111</xdr:rowOff>
    </xdr:from>
    <xdr:to>
      <xdr:col>21</xdr:col>
      <xdr:colOff>201704</xdr:colOff>
      <xdr:row>7</xdr:row>
      <xdr:rowOff>161925</xdr:rowOff>
    </xdr:to>
    <xdr:sp macro="" textlink="">
      <xdr:nvSpPr>
        <xdr:cNvPr id="45" name="Rounded Rectangle 44"/>
        <xdr:cNvSpPr/>
      </xdr:nvSpPr>
      <xdr:spPr>
        <a:xfrm>
          <a:off x="11608594" y="1224523"/>
          <a:ext cx="1300581" cy="326931"/>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Occupany</a:t>
          </a:r>
        </a:p>
      </xdr:txBody>
    </xdr:sp>
    <xdr:clientData/>
  </xdr:twoCellAnchor>
  <xdr:twoCellAnchor>
    <xdr:from>
      <xdr:col>14</xdr:col>
      <xdr:colOff>240610</xdr:colOff>
      <xdr:row>16</xdr:row>
      <xdr:rowOff>32939</xdr:rowOff>
    </xdr:from>
    <xdr:to>
      <xdr:col>21</xdr:col>
      <xdr:colOff>133350</xdr:colOff>
      <xdr:row>17</xdr:row>
      <xdr:rowOff>152401</xdr:rowOff>
    </xdr:to>
    <xdr:sp macro="" textlink="">
      <xdr:nvSpPr>
        <xdr:cNvPr id="46" name="Rounded Rectangle 45"/>
        <xdr:cNvSpPr/>
      </xdr:nvSpPr>
      <xdr:spPr>
        <a:xfrm>
          <a:off x="8775010" y="3242864"/>
          <a:ext cx="4159940" cy="309962"/>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State Wise Enroll. Demography</a:t>
          </a:r>
        </a:p>
      </xdr:txBody>
    </xdr:sp>
    <xdr:clientData/>
  </xdr:twoCellAnchor>
  <xdr:twoCellAnchor>
    <xdr:from>
      <xdr:col>18</xdr:col>
      <xdr:colOff>561975</xdr:colOff>
      <xdr:row>7</xdr:row>
      <xdr:rowOff>143926</xdr:rowOff>
    </xdr:from>
    <xdr:to>
      <xdr:col>20</xdr:col>
      <xdr:colOff>76201</xdr:colOff>
      <xdr:row>8</xdr:row>
      <xdr:rowOff>173690</xdr:rowOff>
    </xdr:to>
    <xdr:sp macro="" textlink="">
      <xdr:nvSpPr>
        <xdr:cNvPr id="47" name="Round Diagonal Corner Rectangle 46"/>
        <xdr:cNvSpPr/>
      </xdr:nvSpPr>
      <xdr:spPr>
        <a:xfrm>
          <a:off x="11534775" y="1525051"/>
          <a:ext cx="733426" cy="239314"/>
        </a:xfrm>
        <a:prstGeom prst="round2DiagRect">
          <a:avLst>
            <a:gd name="adj1" fmla="val 48508"/>
            <a:gd name="adj2" fmla="val 0"/>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a:solidFill>
                <a:schemeClr val="accent2"/>
              </a:solidFill>
              <a:effectLst>
                <a:glow rad="228600">
                  <a:schemeClr val="accent2">
                    <a:alpha val="40000"/>
                  </a:schemeClr>
                </a:glow>
                <a:outerShdw blurRad="63500" sx="102000" sy="102000" algn="ctr" rotWithShape="0">
                  <a:srgbClr val="F32BD6">
                    <a:alpha val="40000"/>
                  </a:srgbClr>
                </a:outerShdw>
              </a:effectLst>
            </a:rPr>
            <a:t>DOUBLE</a:t>
          </a:r>
          <a:endParaRPr lang="en-GB" sz="900">
            <a:solidFill>
              <a:schemeClr val="accent2"/>
            </a:solidFill>
            <a:effectLst>
              <a:glow rad="228600">
                <a:schemeClr val="accent2">
                  <a:alpha val="40000"/>
                </a:schemeClr>
              </a:glow>
              <a:outerShdw blurRad="63500" sx="102000" sy="102000" algn="ctr" rotWithShape="0">
                <a:srgbClr val="F32BD6">
                  <a:alpha val="40000"/>
                </a:srgbClr>
              </a:outerShdw>
            </a:effectLst>
          </a:endParaRPr>
        </a:p>
      </xdr:txBody>
    </xdr:sp>
    <xdr:clientData/>
  </xdr:twoCellAnchor>
  <xdr:twoCellAnchor>
    <xdr:from>
      <xdr:col>19</xdr:col>
      <xdr:colOff>457200</xdr:colOff>
      <xdr:row>7</xdr:row>
      <xdr:rowOff>153451</xdr:rowOff>
    </xdr:from>
    <xdr:to>
      <xdr:col>20</xdr:col>
      <xdr:colOff>505314</xdr:colOff>
      <xdr:row>8</xdr:row>
      <xdr:rowOff>183215</xdr:rowOff>
    </xdr:to>
    <xdr:sp macro="" textlink="">
      <xdr:nvSpPr>
        <xdr:cNvPr id="48" name="Round Diagonal Corner Rectangle 47"/>
        <xdr:cNvSpPr/>
      </xdr:nvSpPr>
      <xdr:spPr>
        <a:xfrm>
          <a:off x="12039600" y="1534576"/>
          <a:ext cx="657714"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FF0000"/>
              </a:solidFill>
              <a:effectLst>
                <a:glow rad="228600">
                  <a:srgbClr val="FF0000">
                    <a:alpha val="40000"/>
                  </a:srgbClr>
                </a:glow>
                <a:outerShdw blurRad="63500" sx="102000" sy="102000" algn="ctr" rotWithShape="0">
                  <a:srgbClr val="F32BD6">
                    <a:alpha val="40000"/>
                  </a:srgbClr>
                </a:outerShdw>
              </a:effectLst>
            </a:rPr>
            <a:t>SINGLE</a:t>
          </a:r>
          <a:endParaRPr lang="en-GB" sz="900">
            <a:solidFill>
              <a:srgbClr val="FF0000"/>
            </a:solidFill>
            <a:effectLst>
              <a:glow rad="228600">
                <a:srgbClr val="FF0000">
                  <a:alpha val="40000"/>
                </a:srgbClr>
              </a:glow>
              <a:outerShdw blurRad="63500" sx="102000" sy="102000" algn="ctr" rotWithShape="0">
                <a:srgbClr val="F32BD6">
                  <a:alpha val="40000"/>
                </a:srgbClr>
              </a:outerShdw>
            </a:effectLst>
          </a:endParaRPr>
        </a:p>
      </xdr:txBody>
    </xdr:sp>
    <xdr:clientData/>
  </xdr:twoCellAnchor>
  <xdr:twoCellAnchor>
    <xdr:from>
      <xdr:col>20</xdr:col>
      <xdr:colOff>292193</xdr:colOff>
      <xdr:row>7</xdr:row>
      <xdr:rowOff>143926</xdr:rowOff>
    </xdr:from>
    <xdr:to>
      <xdr:col>21</xdr:col>
      <xdr:colOff>295274</xdr:colOff>
      <xdr:row>8</xdr:row>
      <xdr:rowOff>173690</xdr:rowOff>
    </xdr:to>
    <xdr:sp macro="" textlink="">
      <xdr:nvSpPr>
        <xdr:cNvPr id="49" name="Round Diagonal Corner Rectangle 48"/>
        <xdr:cNvSpPr/>
      </xdr:nvSpPr>
      <xdr:spPr>
        <a:xfrm>
          <a:off x="12484193" y="1525051"/>
          <a:ext cx="612681" cy="239314"/>
        </a:xfrm>
        <a:prstGeom prst="round2DiagRect">
          <a:avLst/>
        </a:prstGeom>
        <a:noFill/>
        <a:ln>
          <a:noFill/>
        </a:ln>
        <a:effectLst>
          <a:glow rad="228600">
            <a:srgbClr val="00B0F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rgbClr val="38FEB3"/>
              </a:solidFill>
              <a:effectLst>
                <a:glow rad="228600">
                  <a:srgbClr val="38FEB3">
                    <a:alpha val="40000"/>
                  </a:srgbClr>
                </a:glow>
                <a:outerShdw blurRad="63500" sx="102000" sy="102000" algn="ctr" rotWithShape="0">
                  <a:srgbClr val="F32BD6">
                    <a:alpha val="40000"/>
                  </a:srgbClr>
                </a:outerShdw>
              </a:effectLst>
            </a:rPr>
            <a:t>TRIPLE</a:t>
          </a:r>
          <a:endParaRPr lang="en-GB" sz="900">
            <a:solidFill>
              <a:srgbClr val="38FEB3"/>
            </a:solidFill>
            <a:effectLst>
              <a:glow rad="228600">
                <a:srgbClr val="38FEB3">
                  <a:alpha val="40000"/>
                </a:srgbClr>
              </a:glow>
              <a:outerShdw blurRad="63500" sx="102000" sy="102000" algn="ctr" rotWithShape="0">
                <a:srgbClr val="F32BD6">
                  <a:alpha val="40000"/>
                </a:srgbClr>
              </a:outerShdw>
            </a:effectLst>
          </a:endParaRPr>
        </a:p>
      </xdr:txBody>
    </xdr:sp>
    <xdr:clientData/>
  </xdr:twoCellAnchor>
  <xdr:twoCellAnchor editAs="oneCell">
    <xdr:from>
      <xdr:col>16</xdr:col>
      <xdr:colOff>41202</xdr:colOff>
      <xdr:row>4</xdr:row>
      <xdr:rowOff>21981</xdr:rowOff>
    </xdr:from>
    <xdr:to>
      <xdr:col>21</xdr:col>
      <xdr:colOff>313764</xdr:colOff>
      <xdr:row>6</xdr:row>
      <xdr:rowOff>29307</xdr:rowOff>
    </xdr:to>
    <mc:AlternateContent xmlns:mc="http://schemas.openxmlformats.org/markup-compatibility/2006" xmlns:a14="http://schemas.microsoft.com/office/drawing/2010/main">
      <mc:Choice Requires="a14">
        <xdr:graphicFrame macro="">
          <xdr:nvGraphicFramePr>
            <xdr:cNvPr id="50"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23084" y="795187"/>
              <a:ext cx="3298151" cy="3995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254116</xdr:colOff>
      <xdr:row>4</xdr:row>
      <xdr:rowOff>21982</xdr:rowOff>
    </xdr:from>
    <xdr:to>
      <xdr:col>23</xdr:col>
      <xdr:colOff>300836</xdr:colOff>
      <xdr:row>8</xdr:row>
      <xdr:rowOff>57583</xdr:rowOff>
    </xdr:to>
    <xdr:sp macro="" textlink="">
      <xdr:nvSpPr>
        <xdr:cNvPr id="35" name="Rounded Rectangle 34"/>
        <xdr:cNvSpPr/>
      </xdr:nvSpPr>
      <xdr:spPr>
        <a:xfrm>
          <a:off x="12961587" y="795188"/>
          <a:ext cx="1256955" cy="864836"/>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effectLst>
                <a:glow rad="927100">
                  <a:schemeClr val="accent1">
                    <a:alpha val="40000"/>
                  </a:schemeClr>
                </a:glow>
              </a:effectLst>
              <a:latin typeface="Bahnschrift Light" panose="020B0502040204020203" pitchFamily="34" charset="0"/>
            </a:rPr>
            <a:t>Hostel</a:t>
          </a:r>
          <a:r>
            <a:rPr lang="en-GB" sz="1200" b="1" baseline="0">
              <a:effectLst>
                <a:glow rad="927100">
                  <a:schemeClr val="accent1">
                    <a:alpha val="40000"/>
                  </a:schemeClr>
                </a:glow>
              </a:effectLst>
              <a:latin typeface="Bahnschrift Light" panose="020B0502040204020203" pitchFamily="34" charset="0"/>
            </a:rPr>
            <a:t> Accomodation Status</a:t>
          </a:r>
          <a:endParaRPr lang="en-GB" sz="1200" b="1">
            <a:effectLst>
              <a:glow rad="927100">
                <a:schemeClr val="accent1">
                  <a:alpha val="40000"/>
                </a:schemeClr>
              </a:glow>
            </a:effectLst>
            <a:latin typeface="Bahnschrift Light" panose="020B0502040204020203" pitchFamily="34" charset="0"/>
          </a:endParaRPr>
        </a:p>
      </xdr:txBody>
    </xdr:sp>
    <xdr:clientData/>
  </xdr:twoCellAnchor>
  <xdr:twoCellAnchor>
    <xdr:from>
      <xdr:col>21</xdr:col>
      <xdr:colOff>322385</xdr:colOff>
      <xdr:row>8</xdr:row>
      <xdr:rowOff>146539</xdr:rowOff>
    </xdr:from>
    <xdr:to>
      <xdr:col>23</xdr:col>
      <xdr:colOff>271097</xdr:colOff>
      <xdr:row>15</xdr:row>
      <xdr:rowOff>7327</xdr:rowOff>
    </xdr:to>
    <xdr:sp macro="" textlink="">
      <xdr:nvSpPr>
        <xdr:cNvPr id="3" name="Flowchart: Document 2"/>
        <xdr:cNvSpPr/>
      </xdr:nvSpPr>
      <xdr:spPr>
        <a:xfrm>
          <a:off x="13093212" y="1736481"/>
          <a:ext cx="1164981" cy="1289538"/>
        </a:xfrm>
        <a:prstGeom prst="flowChartDocument">
          <a:avLst/>
        </a:prstGeom>
        <a:noFill/>
        <a:ln>
          <a:solidFill>
            <a:schemeClr val="accent1"/>
          </a:solidFill>
        </a:ln>
        <a:effectLst>
          <a:glow rad="228600">
            <a:schemeClr val="accent1">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21</xdr:col>
      <xdr:colOff>424960</xdr:colOff>
      <xdr:row>8</xdr:row>
      <xdr:rowOff>256443</xdr:rowOff>
    </xdr:from>
    <xdr:ext cx="1043010" cy="864578"/>
    <xdr:sp macro="" textlink="pivots!H32">
      <xdr:nvSpPr>
        <xdr:cNvPr id="5" name="TextBox 4"/>
        <xdr:cNvSpPr txBox="1"/>
      </xdr:nvSpPr>
      <xdr:spPr>
        <a:xfrm>
          <a:off x="13132431" y="1858884"/>
          <a:ext cx="1043010" cy="864578"/>
        </a:xfrm>
        <a:prstGeom prst="rect">
          <a:avLst/>
        </a:prstGeom>
        <a:noFill/>
        <a:ln>
          <a:noFill/>
        </a:ln>
      </xdr:spPr>
      <xdr:style>
        <a:lnRef idx="0">
          <a:scrgbClr r="0" g="0" b="0"/>
        </a:lnRef>
        <a:fillRef idx="0">
          <a:scrgbClr r="0" g="0" b="0"/>
        </a:fillRef>
        <a:effectRef idx="0">
          <a:scrgbClr r="0" g="0" b="0"/>
        </a:effectRef>
        <a:fontRef idx="minor">
          <a:schemeClr val="accent3"/>
        </a:fontRef>
      </xdr:style>
      <xdr:txBody>
        <a:bodyPr vertOverflow="clip" horzOverflow="clip" wrap="square" rtlCol="0" anchor="t">
          <a:noAutofit/>
        </a:bodyPr>
        <a:lstStyle/>
        <a:p>
          <a:fld id="{B2345C5B-0B03-4971-8CEA-11165CF5ECC6}" type="TxLink">
            <a:rPr lang="en-US" sz="3600" b="0" i="0" u="none" strike="noStrike" cap="none" spc="0">
              <a:ln w="0">
                <a:solidFill>
                  <a:schemeClr val="accent2">
                    <a:lumMod val="60000"/>
                    <a:lumOff val="40000"/>
                  </a:schemeClr>
                </a:solidFill>
              </a:ln>
              <a:solidFill>
                <a:schemeClr val="accent2">
                  <a:lumMod val="60000"/>
                  <a:lumOff val="40000"/>
                </a:schemeClr>
              </a:solidFill>
              <a:effectLst>
                <a:glow rad="228600">
                  <a:schemeClr val="accent4">
                    <a:satMod val="175000"/>
                    <a:alpha val="40000"/>
                  </a:schemeClr>
                </a:glow>
                <a:outerShdw blurRad="38100" dist="19050" dir="2700000" algn="tl" rotWithShape="0">
                  <a:schemeClr val="dk1">
                    <a:alpha val="40000"/>
                  </a:schemeClr>
                </a:outerShdw>
                <a:reflection blurRad="6350" stA="55000" endA="300" endPos="45500" dir="5400000" sy="-100000" algn="bl" rotWithShape="0"/>
              </a:effectLst>
              <a:latin typeface="Gill Sans MT Ext Condensed Bold" panose="020B0902020104020203" pitchFamily="34" charset="0"/>
              <a:cs typeface="Calibri"/>
            </a:rPr>
            <a:pPr/>
            <a:t>97.43%</a:t>
          </a:fld>
          <a:endParaRPr lang="en-US" sz="3600" b="0" cap="none" spc="0">
            <a:ln w="0">
              <a:solidFill>
                <a:schemeClr val="accent2">
                  <a:lumMod val="60000"/>
                  <a:lumOff val="40000"/>
                </a:schemeClr>
              </a:solidFill>
            </a:ln>
            <a:solidFill>
              <a:schemeClr val="accent2">
                <a:lumMod val="60000"/>
                <a:lumOff val="40000"/>
              </a:schemeClr>
            </a:solidFill>
            <a:effectLst>
              <a:glow rad="228600">
                <a:schemeClr val="accent4">
                  <a:satMod val="175000"/>
                  <a:alpha val="40000"/>
                </a:schemeClr>
              </a:glow>
              <a:outerShdw blurRad="38100" dist="19050" dir="2700000" algn="tl" rotWithShape="0">
                <a:schemeClr val="dk1">
                  <a:alpha val="40000"/>
                </a:schemeClr>
              </a:outerShdw>
              <a:reflection blurRad="6350" stA="55000" endA="300" endPos="45500" dir="5400000" sy="-100000" algn="bl" rotWithShape="0"/>
            </a:effectLst>
            <a:latin typeface="Gill Sans MT Ext Condensed Bold" panose="020B0902020104020203" pitchFamily="34" charset="0"/>
          </a:endParaRPr>
        </a:p>
      </xdr:txBody>
    </xdr:sp>
    <xdr:clientData/>
  </xdr:oneCellAnchor>
  <xdr:twoCellAnchor>
    <xdr:from>
      <xdr:col>21</xdr:col>
      <xdr:colOff>267618</xdr:colOff>
      <xdr:row>19</xdr:row>
      <xdr:rowOff>155552</xdr:rowOff>
    </xdr:from>
    <xdr:to>
      <xdr:col>24</xdr:col>
      <xdr:colOff>324971</xdr:colOff>
      <xdr:row>35</xdr:row>
      <xdr:rowOff>134469</xdr:rowOff>
    </xdr:to>
    <xdr:sp macro="" textlink="">
      <xdr:nvSpPr>
        <xdr:cNvPr id="10" name="Parallelogram 9"/>
        <xdr:cNvSpPr/>
      </xdr:nvSpPr>
      <xdr:spPr>
        <a:xfrm>
          <a:off x="12975089" y="4010376"/>
          <a:ext cx="1872706" cy="3026917"/>
        </a:xfrm>
        <a:custGeom>
          <a:avLst/>
          <a:gdLst>
            <a:gd name="connsiteX0" fmla="*/ 0 w 1568824"/>
            <a:gd name="connsiteY0" fmla="*/ 1972235 h 1972235"/>
            <a:gd name="connsiteX1" fmla="*/ 392206 w 1568824"/>
            <a:gd name="connsiteY1" fmla="*/ 0 h 1972235"/>
            <a:gd name="connsiteX2" fmla="*/ 1568824 w 1568824"/>
            <a:gd name="connsiteY2" fmla="*/ 0 h 1972235"/>
            <a:gd name="connsiteX3" fmla="*/ 1176618 w 1568824"/>
            <a:gd name="connsiteY3" fmla="*/ 1972235 h 1972235"/>
            <a:gd name="connsiteX4" fmla="*/ 0 w 1568824"/>
            <a:gd name="connsiteY4" fmla="*/ 1972235 h 1972235"/>
            <a:gd name="connsiteX0" fmla="*/ 750794 w 2319618"/>
            <a:gd name="connsiteY0" fmla="*/ 1972235 h 1972235"/>
            <a:gd name="connsiteX1" fmla="*/ 0 w 2319618"/>
            <a:gd name="connsiteY1" fmla="*/ 156882 h 1972235"/>
            <a:gd name="connsiteX2" fmla="*/ 2319618 w 2319618"/>
            <a:gd name="connsiteY2" fmla="*/ 0 h 1972235"/>
            <a:gd name="connsiteX3" fmla="*/ 1927412 w 2319618"/>
            <a:gd name="connsiteY3" fmla="*/ 1972235 h 1972235"/>
            <a:gd name="connsiteX4" fmla="*/ 750794 w 2319618"/>
            <a:gd name="connsiteY4" fmla="*/ 1972235 h 1972235"/>
            <a:gd name="connsiteX0" fmla="*/ 22412 w 2319618"/>
            <a:gd name="connsiteY0" fmla="*/ 1972235 h 1972235"/>
            <a:gd name="connsiteX1" fmla="*/ 0 w 2319618"/>
            <a:gd name="connsiteY1" fmla="*/ 156882 h 1972235"/>
            <a:gd name="connsiteX2" fmla="*/ 2319618 w 2319618"/>
            <a:gd name="connsiteY2" fmla="*/ 0 h 1972235"/>
            <a:gd name="connsiteX3" fmla="*/ 1927412 w 2319618"/>
            <a:gd name="connsiteY3" fmla="*/ 1972235 h 1972235"/>
            <a:gd name="connsiteX4" fmla="*/ 22412 w 2319618"/>
            <a:gd name="connsiteY4" fmla="*/ 1972235 h 1972235"/>
            <a:gd name="connsiteX0" fmla="*/ 22412 w 1927412"/>
            <a:gd name="connsiteY0" fmla="*/ 1815353 h 1815353"/>
            <a:gd name="connsiteX1" fmla="*/ 0 w 1927412"/>
            <a:gd name="connsiteY1" fmla="*/ 0 h 1815353"/>
            <a:gd name="connsiteX2" fmla="*/ 1221442 w 1927412"/>
            <a:gd name="connsiteY2" fmla="*/ 89648 h 1815353"/>
            <a:gd name="connsiteX3" fmla="*/ 1927412 w 1927412"/>
            <a:gd name="connsiteY3" fmla="*/ 1815353 h 1815353"/>
            <a:gd name="connsiteX4" fmla="*/ 22412 w 1927412"/>
            <a:gd name="connsiteY4" fmla="*/ 1815353 h 1815353"/>
            <a:gd name="connsiteX0" fmla="*/ 22412 w 1333500"/>
            <a:gd name="connsiteY0" fmla="*/ 1815353 h 1848971"/>
            <a:gd name="connsiteX1" fmla="*/ 0 w 1333500"/>
            <a:gd name="connsiteY1" fmla="*/ 0 h 1848971"/>
            <a:gd name="connsiteX2" fmla="*/ 1221442 w 1333500"/>
            <a:gd name="connsiteY2" fmla="*/ 89648 h 1848971"/>
            <a:gd name="connsiteX3" fmla="*/ 1333500 w 1333500"/>
            <a:gd name="connsiteY3" fmla="*/ 1848971 h 1848971"/>
            <a:gd name="connsiteX4" fmla="*/ 22412 w 1333500"/>
            <a:gd name="connsiteY4" fmla="*/ 1815353 h 1848971"/>
            <a:gd name="connsiteX0" fmla="*/ 22412 w 1333500"/>
            <a:gd name="connsiteY0" fmla="*/ 1826558 h 1860176"/>
            <a:gd name="connsiteX1" fmla="*/ 0 w 1333500"/>
            <a:gd name="connsiteY1" fmla="*/ 11205 h 1860176"/>
            <a:gd name="connsiteX2" fmla="*/ 1277472 w 1333500"/>
            <a:gd name="connsiteY2" fmla="*/ 0 h 1860176"/>
            <a:gd name="connsiteX3" fmla="*/ 1333500 w 1333500"/>
            <a:gd name="connsiteY3" fmla="*/ 1860176 h 1860176"/>
            <a:gd name="connsiteX4" fmla="*/ 22412 w 1333500"/>
            <a:gd name="connsiteY4" fmla="*/ 1826558 h 1860176"/>
            <a:gd name="connsiteX0" fmla="*/ 22412 w 1322294"/>
            <a:gd name="connsiteY0" fmla="*/ 1826558 h 1837764"/>
            <a:gd name="connsiteX1" fmla="*/ 0 w 1322294"/>
            <a:gd name="connsiteY1" fmla="*/ 11205 h 1837764"/>
            <a:gd name="connsiteX2" fmla="*/ 1277472 w 1322294"/>
            <a:gd name="connsiteY2" fmla="*/ 0 h 1837764"/>
            <a:gd name="connsiteX3" fmla="*/ 1322294 w 1322294"/>
            <a:gd name="connsiteY3" fmla="*/ 1837764 h 1837764"/>
            <a:gd name="connsiteX4" fmla="*/ 22412 w 1322294"/>
            <a:gd name="connsiteY4" fmla="*/ 1826558 h 1837764"/>
            <a:gd name="connsiteX0" fmla="*/ 22412 w 1855331"/>
            <a:gd name="connsiteY0" fmla="*/ 1826558 h 1837764"/>
            <a:gd name="connsiteX1" fmla="*/ 0 w 1855331"/>
            <a:gd name="connsiteY1" fmla="*/ 11205 h 1837764"/>
            <a:gd name="connsiteX2" fmla="*/ 1277472 w 1855331"/>
            <a:gd name="connsiteY2" fmla="*/ 0 h 1837764"/>
            <a:gd name="connsiteX3" fmla="*/ 1322294 w 1855331"/>
            <a:gd name="connsiteY3" fmla="*/ 1837764 h 1837764"/>
            <a:gd name="connsiteX4" fmla="*/ 22412 w 1855331"/>
            <a:gd name="connsiteY4" fmla="*/ 1826558 h 1837764"/>
            <a:gd name="connsiteX0" fmla="*/ 22412 w 1943619"/>
            <a:gd name="connsiteY0" fmla="*/ 1972234 h 1983440"/>
            <a:gd name="connsiteX1" fmla="*/ 0 w 1943619"/>
            <a:gd name="connsiteY1" fmla="*/ 156881 h 1983440"/>
            <a:gd name="connsiteX2" fmla="*/ 1580031 w 1943619"/>
            <a:gd name="connsiteY2" fmla="*/ 0 h 1983440"/>
            <a:gd name="connsiteX3" fmla="*/ 1322294 w 1943619"/>
            <a:gd name="connsiteY3" fmla="*/ 1983440 h 1983440"/>
            <a:gd name="connsiteX4" fmla="*/ 22412 w 1943619"/>
            <a:gd name="connsiteY4" fmla="*/ 1972234 h 1983440"/>
            <a:gd name="connsiteX0" fmla="*/ 22412 w 1918117"/>
            <a:gd name="connsiteY0" fmla="*/ 1815353 h 1826559"/>
            <a:gd name="connsiteX1" fmla="*/ 0 w 1918117"/>
            <a:gd name="connsiteY1" fmla="*/ 0 h 1826559"/>
            <a:gd name="connsiteX2" fmla="*/ 1501590 w 1918117"/>
            <a:gd name="connsiteY2" fmla="*/ 112060 h 1826559"/>
            <a:gd name="connsiteX3" fmla="*/ 1322294 w 1918117"/>
            <a:gd name="connsiteY3" fmla="*/ 1826559 h 1826559"/>
            <a:gd name="connsiteX4" fmla="*/ 22412 w 1918117"/>
            <a:gd name="connsiteY4" fmla="*/ 1815353 h 1826559"/>
            <a:gd name="connsiteX0" fmla="*/ 22412 w 1918117"/>
            <a:gd name="connsiteY0" fmla="*/ 1947222 h 1958428"/>
            <a:gd name="connsiteX1" fmla="*/ 0 w 1918117"/>
            <a:gd name="connsiteY1" fmla="*/ 131869 h 1958428"/>
            <a:gd name="connsiteX2" fmla="*/ 1501590 w 1918117"/>
            <a:gd name="connsiteY2" fmla="*/ 243929 h 1958428"/>
            <a:gd name="connsiteX3" fmla="*/ 1322294 w 1918117"/>
            <a:gd name="connsiteY3" fmla="*/ 1958428 h 1958428"/>
            <a:gd name="connsiteX4" fmla="*/ 22412 w 1918117"/>
            <a:gd name="connsiteY4" fmla="*/ 1947222 h 1958428"/>
            <a:gd name="connsiteX0" fmla="*/ 0 w 1895705"/>
            <a:gd name="connsiteY0" fmla="*/ 2034400 h 2045606"/>
            <a:gd name="connsiteX1" fmla="*/ 22412 w 1895705"/>
            <a:gd name="connsiteY1" fmla="*/ 17342 h 2045606"/>
            <a:gd name="connsiteX2" fmla="*/ 1479178 w 1895705"/>
            <a:gd name="connsiteY2" fmla="*/ 331107 h 2045606"/>
            <a:gd name="connsiteX3" fmla="*/ 1299882 w 1895705"/>
            <a:gd name="connsiteY3" fmla="*/ 2045606 h 2045606"/>
            <a:gd name="connsiteX4" fmla="*/ 0 w 1895705"/>
            <a:gd name="connsiteY4" fmla="*/ 2034400 h 2045606"/>
            <a:gd name="connsiteX0" fmla="*/ 214238 w 2109943"/>
            <a:gd name="connsiteY0" fmla="*/ 2034400 h 2045606"/>
            <a:gd name="connsiteX1" fmla="*/ 236650 w 2109943"/>
            <a:gd name="connsiteY1" fmla="*/ 17342 h 2045606"/>
            <a:gd name="connsiteX2" fmla="*/ 1693416 w 2109943"/>
            <a:gd name="connsiteY2" fmla="*/ 331107 h 2045606"/>
            <a:gd name="connsiteX3" fmla="*/ 1514120 w 2109943"/>
            <a:gd name="connsiteY3" fmla="*/ 2045606 h 2045606"/>
            <a:gd name="connsiteX4" fmla="*/ 214238 w 2109943"/>
            <a:gd name="connsiteY4" fmla="*/ 2034400 h 2045606"/>
            <a:gd name="connsiteX0" fmla="*/ 214238 w 2109943"/>
            <a:gd name="connsiteY0" fmla="*/ 2199990 h 2211196"/>
            <a:gd name="connsiteX1" fmla="*/ 236650 w 2109943"/>
            <a:gd name="connsiteY1" fmla="*/ 182932 h 2211196"/>
            <a:gd name="connsiteX2" fmla="*/ 1693416 w 2109943"/>
            <a:gd name="connsiteY2" fmla="*/ 496697 h 2211196"/>
            <a:gd name="connsiteX3" fmla="*/ 1514120 w 2109943"/>
            <a:gd name="connsiteY3" fmla="*/ 2211196 h 2211196"/>
            <a:gd name="connsiteX4" fmla="*/ 214238 w 2109943"/>
            <a:gd name="connsiteY4" fmla="*/ 2199990 h 2211196"/>
            <a:gd name="connsiteX0" fmla="*/ 214238 w 2363841"/>
            <a:gd name="connsiteY0" fmla="*/ 2272584 h 2283790"/>
            <a:gd name="connsiteX1" fmla="*/ 236650 w 2363841"/>
            <a:gd name="connsiteY1" fmla="*/ 255526 h 2283790"/>
            <a:gd name="connsiteX2" fmla="*/ 2272725 w 2363841"/>
            <a:gd name="connsiteY2" fmla="*/ 376578 h 2283790"/>
            <a:gd name="connsiteX3" fmla="*/ 1514120 w 2363841"/>
            <a:gd name="connsiteY3" fmla="*/ 2283790 h 2283790"/>
            <a:gd name="connsiteX4" fmla="*/ 214238 w 2363841"/>
            <a:gd name="connsiteY4" fmla="*/ 2272584 h 22837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63841" h="2283790">
              <a:moveTo>
                <a:pt x="214238" y="2272584"/>
              </a:moveTo>
              <a:cubicBezTo>
                <a:pt x="221709" y="1600231"/>
                <a:pt x="-286292" y="983909"/>
                <a:pt x="236650" y="255526"/>
              </a:cubicBezTo>
              <a:cubicBezTo>
                <a:pt x="737180" y="-88121"/>
                <a:pt x="1772195" y="-120217"/>
                <a:pt x="2272725" y="376578"/>
              </a:cubicBezTo>
              <a:cubicBezTo>
                <a:pt x="2287666" y="989166"/>
                <a:pt x="2731827" y="1514320"/>
                <a:pt x="1514120" y="2283790"/>
              </a:cubicBezTo>
              <a:lnTo>
                <a:pt x="214238" y="2272584"/>
              </a:lnTo>
              <a:close/>
            </a:path>
          </a:pathLst>
        </a:custGeom>
        <a:noFill/>
        <a:ln>
          <a:noFill/>
        </a:ln>
        <a:effectLst>
          <a:glow rad="228600">
            <a:srgbClr val="2B9CF9">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100641-200640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200641-300640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300641-400640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400641-500640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500641-600640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600641-700640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r>
            <a:rPr lang="en-GB" sz="2400" b="0" i="0" u="none" strike="noStrike"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ea typeface="+mn-ea"/>
              <a:cs typeface="+mn-cs"/>
            </a:rPr>
            <a:t>700641-800640</a:t>
          </a:r>
          <a:r>
            <a:rPr lang="en-GB" sz="2400" b="0" cap="none" spc="0">
              <a:ln w="0">
                <a:solidFill>
                  <a:srgbClr val="2B9CF9"/>
                </a:solidFill>
              </a:ln>
              <a:solidFill>
                <a:schemeClr val="accent3">
                  <a:lumMod val="60000"/>
                  <a:lumOff val="40000"/>
                </a:schemeClr>
              </a:solidFill>
              <a:effectLst>
                <a:glow rad="228600">
                  <a:srgbClr val="2B9CF9">
                    <a:alpha val="40000"/>
                  </a:srgbClr>
                </a:glow>
                <a:outerShdw blurRad="38100" dist="19050" dir="2700000" algn="tl" rotWithShape="0">
                  <a:schemeClr val="dk1">
                    <a:alpha val="40000"/>
                  </a:schemeClr>
                </a:outerShdw>
              </a:effectLst>
              <a:latin typeface="Gill Sans MT Ext Condensed Bold" panose="020B0902020104020203" pitchFamily="34" charset="0"/>
            </a:rPr>
            <a:t> </a:t>
          </a:r>
        </a:p>
      </xdr:txBody>
    </xdr:sp>
    <xdr:clientData/>
  </xdr:twoCellAnchor>
  <xdr:twoCellAnchor>
    <xdr:from>
      <xdr:col>21</xdr:col>
      <xdr:colOff>112057</xdr:colOff>
      <xdr:row>13</xdr:row>
      <xdr:rowOff>78441</xdr:rowOff>
    </xdr:from>
    <xdr:to>
      <xdr:col>25</xdr:col>
      <xdr:colOff>156883</xdr:colOff>
      <xdr:row>18</xdr:row>
      <xdr:rowOff>33616</xdr:rowOff>
    </xdr:to>
    <xdr:sp macro="" textlink="">
      <xdr:nvSpPr>
        <xdr:cNvPr id="51" name="Rounded Rectangle 50"/>
        <xdr:cNvSpPr/>
      </xdr:nvSpPr>
      <xdr:spPr>
        <a:xfrm>
          <a:off x="12819528" y="2779059"/>
          <a:ext cx="2465296" cy="918881"/>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Annual Income vs</a:t>
          </a:r>
        </a:p>
        <a:p>
          <a:pPr algn="ctr"/>
          <a:r>
            <a:rPr lang="en-GB" sz="1600" b="1" baseline="0">
              <a:effectLst>
                <a:glow rad="927100">
                  <a:schemeClr val="accent1">
                    <a:alpha val="40000"/>
                  </a:schemeClr>
                </a:glow>
              </a:effectLst>
              <a:latin typeface="Bahnschrift Light" panose="020B0502040204020203" pitchFamily="34" charset="0"/>
            </a:rPr>
            <a:t> Enrollments</a:t>
          </a:r>
          <a:r>
            <a:rPr lang="en-GB" sz="1600" b="1">
              <a:effectLst>
                <a:glow rad="927100">
                  <a:schemeClr val="accent1">
                    <a:alpha val="40000"/>
                  </a:schemeClr>
                </a:glow>
              </a:effectLst>
              <a:latin typeface="Bahnschrift Light" panose="020B0502040204020203" pitchFamily="34" charset="0"/>
            </a:rPr>
            <a:t> </a:t>
          </a:r>
        </a:p>
      </xdr:txBody>
    </xdr:sp>
    <xdr:clientData/>
  </xdr:twoCellAnchor>
  <xdr:twoCellAnchor>
    <xdr:from>
      <xdr:col>20</xdr:col>
      <xdr:colOff>515469</xdr:colOff>
      <xdr:row>18</xdr:row>
      <xdr:rowOff>-1</xdr:rowOff>
    </xdr:from>
    <xdr:to>
      <xdr:col>25</xdr:col>
      <xdr:colOff>168089</xdr:colOff>
      <xdr:row>19</xdr:row>
      <xdr:rowOff>119462</xdr:rowOff>
    </xdr:to>
    <xdr:sp macro="" textlink="">
      <xdr:nvSpPr>
        <xdr:cNvPr id="52" name="Rounded Rectangle 51"/>
        <xdr:cNvSpPr/>
      </xdr:nvSpPr>
      <xdr:spPr>
        <a:xfrm>
          <a:off x="12617822" y="3664323"/>
          <a:ext cx="2678208" cy="309963"/>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effectLst>
                <a:glow rad="927100">
                  <a:schemeClr val="accent1">
                    <a:alpha val="40000"/>
                  </a:schemeClr>
                </a:glow>
              </a:effectLst>
              <a:latin typeface="Bahnschrift Light" panose="020B0502040204020203" pitchFamily="34" charset="0"/>
            </a:rPr>
            <a:t>Income</a:t>
          </a:r>
          <a:r>
            <a:rPr lang="en-GB" sz="1600" b="1" baseline="0">
              <a:effectLst>
                <a:glow rad="927100">
                  <a:schemeClr val="accent1">
                    <a:alpha val="40000"/>
                  </a:schemeClr>
                </a:glow>
              </a:effectLst>
              <a:latin typeface="Bahnschrift Light" panose="020B0502040204020203" pitchFamily="34" charset="0"/>
            </a:rPr>
            <a:t> Range-Percentage</a:t>
          </a:r>
          <a:endParaRPr lang="en-GB" sz="1600" b="1">
            <a:effectLst>
              <a:glow rad="927100">
                <a:schemeClr val="accent1">
                  <a:alpha val="40000"/>
                </a:schemeClr>
              </a:glow>
            </a:effectLst>
            <a:latin typeface="Bahnschrift Light" panose="020B0502040204020203" pitchFamily="34" charset="0"/>
          </a:endParaRPr>
        </a:p>
      </xdr:txBody>
    </xdr:sp>
    <xdr:clientData/>
  </xdr:twoCellAnchor>
  <xdr:oneCellAnchor>
    <xdr:from>
      <xdr:col>23</xdr:col>
      <xdr:colOff>313763</xdr:colOff>
      <xdr:row>19</xdr:row>
      <xdr:rowOff>145674</xdr:rowOff>
    </xdr:from>
    <xdr:ext cx="722314" cy="311496"/>
    <xdr:sp macro="" textlink="pivots!I40">
      <xdr:nvSpPr>
        <xdr:cNvPr id="15" name="TextBox 14"/>
        <xdr:cNvSpPr txBox="1"/>
      </xdr:nvSpPr>
      <xdr:spPr>
        <a:xfrm>
          <a:off x="14231469" y="4000498"/>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9F0151-2B26-4BA5-BE95-A77A56344201}" type="TxLink">
            <a:rPr lang="en-US" sz="1400" b="0" i="0" u="none" strike="noStrike"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latin typeface="Calibri"/>
              <a:cs typeface="Calibri"/>
            </a:rPr>
            <a:pPr/>
            <a:t>14.58%</a:t>
          </a:fld>
          <a:endParaRPr lang="en-GB" sz="14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311524</xdr:colOff>
      <xdr:row>21</xdr:row>
      <xdr:rowOff>165846</xdr:rowOff>
    </xdr:from>
    <xdr:ext cx="722314" cy="311496"/>
    <xdr:sp macro="" textlink="pivots!I41">
      <xdr:nvSpPr>
        <xdr:cNvPr id="55" name="TextBox 54"/>
        <xdr:cNvSpPr txBox="1"/>
      </xdr:nvSpPr>
      <xdr:spPr>
        <a:xfrm>
          <a:off x="14229230" y="4401670"/>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BEA2165-4725-40F5-B4A4-E0614B3CD611}"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14.27%</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351864</xdr:colOff>
      <xdr:row>23</xdr:row>
      <xdr:rowOff>161363</xdr:rowOff>
    </xdr:from>
    <xdr:ext cx="722314" cy="311496"/>
    <xdr:sp macro="" textlink="pivots!I42">
      <xdr:nvSpPr>
        <xdr:cNvPr id="56" name="TextBox 55"/>
        <xdr:cNvSpPr txBox="1"/>
      </xdr:nvSpPr>
      <xdr:spPr>
        <a:xfrm>
          <a:off x="14269570" y="4778187"/>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AAB72D5-03B5-4419-B031-EE20E212B989}"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14.46%</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324970</xdr:colOff>
      <xdr:row>25</xdr:row>
      <xdr:rowOff>134469</xdr:rowOff>
    </xdr:from>
    <xdr:ext cx="722314" cy="311496"/>
    <xdr:sp macro="" textlink="pivots!I43">
      <xdr:nvSpPr>
        <xdr:cNvPr id="57" name="TextBox 56"/>
        <xdr:cNvSpPr txBox="1"/>
      </xdr:nvSpPr>
      <xdr:spPr>
        <a:xfrm>
          <a:off x="14242676" y="5132293"/>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84026BE-7A08-462B-AA91-DF4156621BBD}"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15.64%</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365312</xdr:colOff>
      <xdr:row>27</xdr:row>
      <xdr:rowOff>141193</xdr:rowOff>
    </xdr:from>
    <xdr:ext cx="722314" cy="311496"/>
    <xdr:sp macro="" textlink="pivots!I44">
      <xdr:nvSpPr>
        <xdr:cNvPr id="58" name="TextBox 57"/>
        <xdr:cNvSpPr txBox="1"/>
      </xdr:nvSpPr>
      <xdr:spPr>
        <a:xfrm>
          <a:off x="14283018" y="5520017"/>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9BA8B3A-7187-4DC9-AF89-A729822353C8}"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14.21%</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372034</xdr:colOff>
      <xdr:row>29</xdr:row>
      <xdr:rowOff>159122</xdr:rowOff>
    </xdr:from>
    <xdr:ext cx="722314" cy="311496"/>
    <xdr:sp macro="" textlink="pivots!I45">
      <xdr:nvSpPr>
        <xdr:cNvPr id="59" name="TextBox 58"/>
        <xdr:cNvSpPr txBox="1"/>
      </xdr:nvSpPr>
      <xdr:spPr>
        <a:xfrm>
          <a:off x="14289740" y="5918946"/>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822EC4F-A053-4814-BAE9-7C2E3ACE3BB5}"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12.39%</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oneCellAnchor>
    <xdr:from>
      <xdr:col>23</xdr:col>
      <xdr:colOff>356346</xdr:colOff>
      <xdr:row>31</xdr:row>
      <xdr:rowOff>165845</xdr:rowOff>
    </xdr:from>
    <xdr:ext cx="722314" cy="311496"/>
    <xdr:sp macro="" textlink="pivots!I46">
      <xdr:nvSpPr>
        <xdr:cNvPr id="60" name="TextBox 59"/>
        <xdr:cNvSpPr txBox="1"/>
      </xdr:nvSpPr>
      <xdr:spPr>
        <a:xfrm>
          <a:off x="14274052" y="6306669"/>
          <a:ext cx="72231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65D9171-2A35-4F7B-B6D4-78A466AC48BA}" type="TxLink">
            <a:rPr lang="en-US" sz="1400" b="0" i="0" u="none" strike="noStrike" cap="none" spc="0">
              <a:ln w="0">
                <a:solidFill>
                  <a:srgbClr val="F32BD6"/>
                </a:solidFill>
              </a:ln>
              <a:solidFill>
                <a:srgbClr val="000000"/>
              </a:solidFill>
              <a:effectLst>
                <a:glow rad="228600">
                  <a:srgbClr val="F32BD6">
                    <a:alpha val="40000"/>
                  </a:srgbClr>
                </a:glow>
                <a:outerShdw blurRad="38100" dist="19050" dir="2700000" algn="tl" rotWithShape="0">
                  <a:schemeClr val="dk1">
                    <a:alpha val="40000"/>
                  </a:schemeClr>
                </a:outerShdw>
              </a:effectLst>
              <a:latin typeface="Calibri"/>
              <a:cs typeface="Calibri"/>
            </a:rPr>
            <a:pPr/>
            <a:t>14.46%</a:t>
          </a:fld>
          <a:endParaRPr lang="en-GB" sz="2000" b="0" i="0" cap="none" spc="0">
            <a:ln w="0">
              <a:solidFill>
                <a:srgbClr val="F32BD6"/>
              </a:solidFill>
            </a:ln>
            <a:solidFill>
              <a:srgbClr val="F32BD6"/>
            </a:solidFill>
            <a:effectLst>
              <a:glow rad="228600">
                <a:srgbClr val="F32BD6">
                  <a:alpha val="40000"/>
                </a:srgbClr>
              </a:glow>
              <a:outerShdw blurRad="38100" dist="19050" dir="2700000" algn="tl" rotWithShape="0">
                <a:schemeClr val="dk1">
                  <a:alpha val="40000"/>
                </a:schemeClr>
              </a:out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 refreshedDate="45482.01592395833" createdVersion="6" refreshedVersion="6" minRefreshableVersion="3" recordCount="1598">
  <cacheSource type="worksheet">
    <worksheetSource name="Table1"/>
  </cacheSource>
  <cacheFields count="29">
    <cacheField name="Student Name" numFmtId="0">
      <sharedItems/>
    </cacheField>
    <cacheField name="Student ID" numFmtId="0">
      <sharedItems/>
    </cacheField>
    <cacheField name="Enrollment Number" numFmtId="0">
      <sharedItems/>
    </cacheField>
    <cacheField name="Year" numFmtId="0">
      <sharedItems containsSemiMixedTypes="0" containsString="0" containsNumber="1" containsInteger="1" minValue="2018" maxValue="2023" count="6">
        <n v="2019"/>
        <n v="2018"/>
        <n v="2020"/>
        <n v="2021"/>
        <n v="2022"/>
        <n v="2023"/>
      </sharedItems>
    </cacheField>
    <cacheField name="Course Name" numFmtId="0">
      <sharedItems count="2">
        <s v="B.Tech in Computer Science and Engineering"/>
        <s v="M.Tech in Computer Science Engineering"/>
      </sharedItems>
    </cacheField>
    <cacheField name="Duration (Years)" numFmtId="0">
      <sharedItems containsSemiMixedTypes="0" containsString="0" containsNumber="1" containsInteger="1" minValue="2" maxValue="4"/>
    </cacheField>
    <cacheField name="Branch" numFmtId="0">
      <sharedItems/>
    </cacheField>
    <cacheField name="Specialization" numFmtId="0">
      <sharedItems count="10">
        <s v="Artificial Intelligence &amp; Machine Learning"/>
        <s v="Business Analytics &amp; Optimization"/>
        <s v="Cyber Security and Digital Forensic"/>
        <s v="Data Analytics"/>
        <s v="Data Science"/>
        <s v="Cloud Computing &amp; Virtualization"/>
        <s v="Internet of Things &amp; Cyber Security Including Blockchain Technology"/>
        <s v="Geographical Information Systems and Remote Sensing"/>
        <s v="Gaming Technology"/>
        <s v="Full Stack Development"/>
      </sharedItems>
    </cacheField>
    <cacheField name="Total Fees (Per Annum)" numFmtId="0">
      <sharedItems containsSemiMixedTypes="0" containsString="0" containsNumber="1" containsInteger="1" minValue="92000" maxValue="169000"/>
    </cacheField>
    <cacheField name="Yearly Fees" numFmtId="0">
      <sharedItems containsSemiMixedTypes="0" containsString="0" containsNumber="1" containsInteger="1" minValue="77000" maxValue="154000"/>
    </cacheField>
    <cacheField name="Exam Fees" numFmtId="0">
      <sharedItems containsSemiMixedTypes="0" containsString="0" containsNumber="1" containsInteger="1" minValue="15000" maxValue="15000"/>
    </cacheField>
    <cacheField name="Extra Fees" numFmtId="0">
      <sharedItems containsSemiMixedTypes="0" containsString="0" containsNumber="1" containsInteger="1" minValue="0" maxValue="0"/>
    </cacheField>
    <cacheField name="Hostel Accommodation" numFmtId="0">
      <sharedItems count="2">
        <s v="Yes"/>
        <s v="No"/>
      </sharedItems>
    </cacheField>
    <cacheField name="Occupancy" numFmtId="0">
      <sharedItems count="3">
        <s v="Double Occupancy"/>
        <s v="Triple Occupancy"/>
        <s v="Single Occupancy"/>
      </sharedItems>
    </cacheField>
    <cacheField name="City" numFmtId="0">
      <sharedItems count="10">
        <s v="Hyderabad"/>
        <s v="Ahmedabad"/>
        <s v="Delhi"/>
        <s v="Pune"/>
        <s v="Kolkata"/>
        <s v="Bengaluru"/>
        <s v="Mumbai"/>
        <s v="Chennai"/>
        <s v="Lucknow"/>
        <s v="Jaipur"/>
      </sharedItems>
    </cacheField>
    <cacheField name="State" numFmtId="0">
      <sharedItems count="9">
        <s v="Telangana"/>
        <s v="Gujarat"/>
        <s v="Delhi"/>
        <s v="Maharashtra"/>
        <s v="West Bengal"/>
        <s v="Karnataka"/>
        <s v="Tamil Nadu"/>
        <s v="Uttar Pradesh"/>
        <s v="Rajasthan"/>
      </sharedItems>
    </cacheField>
    <cacheField name="Country" numFmtId="0">
      <sharedItems/>
    </cacheField>
    <cacheField name="Email" numFmtId="0">
      <sharedItems/>
    </cacheField>
    <cacheField name="Phone" numFmtId="1">
      <sharedItems containsSemiMixedTypes="0" containsString="0" containsNumber="1" containsInteger="1" minValue="917003000000" maxValue="920000000000"/>
    </cacheField>
    <cacheField name="Payment Mode" numFmtId="0">
      <sharedItems count="5">
        <s v="RTGS"/>
        <s v="Cash"/>
        <s v="Cheque"/>
        <s v="DD"/>
        <s v="UPI"/>
      </sharedItems>
    </cacheField>
    <cacheField name="12th Percentage" numFmtId="0">
      <sharedItems containsSemiMixedTypes="0" containsString="0" containsNumber="1" containsInteger="1" minValue="60" maxValue="90"/>
    </cacheField>
    <cacheField name="10th Percentage" numFmtId="0">
      <sharedItems containsSemiMixedTypes="0" containsString="0" containsNumber="1" containsInteger="1" minValue="60" maxValue="92"/>
    </cacheField>
    <cacheField name="Hostel Room Type" numFmtId="0">
      <sharedItems/>
    </cacheField>
    <cacheField name="Annual Income" numFmtId="0">
      <sharedItems containsSemiMixedTypes="0" containsString="0" containsNumber="1" containsInteger="1" minValue="100641" maxValue="798989" count="1594">
        <n v="400412"/>
        <n v="428912"/>
        <n v="262058"/>
        <n v="688362"/>
        <n v="494055"/>
        <n v="107672"/>
        <n v="197539"/>
        <n v="654042"/>
        <n v="269842"/>
        <n v="335744"/>
        <n v="162264"/>
        <n v="521786"/>
        <n v="447665"/>
        <n v="763942"/>
        <n v="301076"/>
        <n v="528318"/>
        <n v="360726"/>
        <n v="786625"/>
        <n v="605573"/>
        <n v="212410"/>
        <n v="343510"/>
        <n v="229210"/>
        <n v="181510"/>
        <n v="448181"/>
        <n v="671798"/>
        <n v="681587"/>
        <n v="246354"/>
        <n v="720434"/>
        <n v="551854"/>
        <n v="192219"/>
        <n v="134733"/>
        <n v="346222"/>
        <n v="449753"/>
        <n v="388069"/>
        <n v="326288"/>
        <n v="700669"/>
        <n v="785809"/>
        <n v="755905"/>
        <n v="754720"/>
        <n v="435405"/>
        <n v="658374"/>
        <n v="191348"/>
        <n v="608847"/>
        <n v="645038"/>
        <n v="348882"/>
        <n v="331718"/>
        <n v="435651"/>
        <n v="782585"/>
        <n v="429351"/>
        <n v="251167"/>
        <n v="404544"/>
        <n v="510722"/>
        <n v="716375"/>
        <n v="298986"/>
        <n v="503993"/>
        <n v="377964"/>
        <n v="305837"/>
        <n v="363540"/>
        <n v="573253"/>
        <n v="542394"/>
        <n v="236024"/>
        <n v="719158"/>
        <n v="645306"/>
        <n v="476812"/>
        <n v="317337"/>
        <n v="432067"/>
        <n v="455723"/>
        <n v="324336"/>
        <n v="423884"/>
        <n v="323368"/>
        <n v="464763"/>
        <n v="721148"/>
        <n v="307059"/>
        <n v="102345"/>
        <n v="539953"/>
        <n v="127532"/>
        <n v="742922"/>
        <n v="317587"/>
        <n v="209588"/>
        <n v="242809"/>
        <n v="157064"/>
        <n v="349208"/>
        <n v="638017"/>
        <n v="452491"/>
        <n v="302492"/>
        <n v="415977"/>
        <n v="248770"/>
        <n v="252079"/>
        <n v="185574"/>
        <n v="423424"/>
        <n v="654522"/>
        <n v="710749"/>
        <n v="305517"/>
        <n v="634566"/>
        <n v="525750"/>
        <n v="358834"/>
        <n v="508877"/>
        <n v="757560"/>
        <n v="541814"/>
        <n v="631049"/>
        <n v="754175"/>
        <n v="695443"/>
        <n v="235310"/>
        <n v="682698"/>
        <n v="754042"/>
        <n v="484476"/>
        <n v="126464"/>
        <n v="207126"/>
        <n v="466909"/>
        <n v="562626"/>
        <n v="586552"/>
        <n v="450979"/>
        <n v="104272"/>
        <n v="452295"/>
        <n v="728715"/>
        <n v="114032"/>
        <n v="320889"/>
        <n v="361524"/>
        <n v="417192"/>
        <n v="271667"/>
        <n v="276739"/>
        <n v="491214"/>
        <n v="728031"/>
        <n v="507559"/>
        <n v="315710"/>
        <n v="535978"/>
        <n v="752227"/>
        <n v="598950"/>
        <n v="289925"/>
        <n v="311544"/>
        <n v="353820"/>
        <n v="299009"/>
        <n v="117605"/>
        <n v="758051"/>
        <n v="397458"/>
        <n v="781658"/>
        <n v="675307"/>
        <n v="684673"/>
        <n v="780134"/>
        <n v="599115"/>
        <n v="743113"/>
        <n v="346825"/>
        <n v="250975"/>
        <n v="380857"/>
        <n v="527171"/>
        <n v="110771"/>
        <n v="488707"/>
        <n v="128646"/>
        <n v="210635"/>
        <n v="711038"/>
        <n v="389962"/>
        <n v="479604"/>
        <n v="626996"/>
        <n v="294215"/>
        <n v="184845"/>
        <n v="690789"/>
        <n v="380200"/>
        <n v="309070"/>
        <n v="762677"/>
        <n v="213722"/>
        <n v="767168"/>
        <n v="672025"/>
        <n v="621647"/>
        <n v="608016"/>
        <n v="606588"/>
        <n v="199168"/>
        <n v="452733"/>
        <n v="446602"/>
        <n v="748814"/>
        <n v="246676"/>
        <n v="581731"/>
        <n v="421580"/>
        <n v="771217"/>
        <n v="208438"/>
        <n v="132957"/>
        <n v="729278"/>
        <n v="773727"/>
        <n v="777433"/>
        <n v="743889"/>
        <n v="759895"/>
        <n v="297097"/>
        <n v="113839"/>
        <n v="116237"/>
        <n v="675500"/>
        <n v="405826"/>
        <n v="682430"/>
        <n v="128897"/>
        <n v="165536"/>
        <n v="130717"/>
        <n v="459211"/>
        <n v="722691"/>
        <n v="277488"/>
        <n v="191491"/>
        <n v="711523"/>
        <n v="209861"/>
        <n v="110850"/>
        <n v="248189"/>
        <n v="214453"/>
        <n v="106917"/>
        <n v="250173"/>
        <n v="209900"/>
        <n v="106995"/>
        <n v="757719"/>
        <n v="380454"/>
        <n v="432962"/>
        <n v="373258"/>
        <n v="758626"/>
        <n v="400383"/>
        <n v="549301"/>
        <n v="279043"/>
        <n v="567401"/>
        <n v="473045"/>
        <n v="118124"/>
        <n v="760410"/>
        <n v="462529"/>
        <n v="596290"/>
        <n v="567925"/>
        <n v="196971"/>
        <n v="572033"/>
        <n v="630787"/>
        <n v="791528"/>
        <n v="664448"/>
        <n v="787429"/>
        <n v="738438"/>
        <n v="536751"/>
        <n v="190338"/>
        <n v="749349"/>
        <n v="166896"/>
        <n v="612800"/>
        <n v="226613"/>
        <n v="572309"/>
        <n v="619356"/>
        <n v="476489"/>
        <n v="433466"/>
        <n v="459362"/>
        <n v="149542"/>
        <n v="618909"/>
        <n v="782526"/>
        <n v="538098"/>
        <n v="162034"/>
        <n v="488998"/>
        <n v="388351"/>
        <n v="515651"/>
        <n v="301344"/>
        <n v="451882"/>
        <n v="686510"/>
        <n v="257838"/>
        <n v="112246"/>
        <n v="592546"/>
        <n v="542304"/>
        <n v="784930"/>
        <n v="591030"/>
        <n v="700951"/>
        <n v="566983"/>
        <n v="183480"/>
        <n v="739048"/>
        <n v="688903"/>
        <n v="311322"/>
        <n v="284419"/>
        <n v="365676"/>
        <n v="367377"/>
        <n v="563939"/>
        <n v="114066"/>
        <n v="713394"/>
        <n v="726164"/>
        <n v="427109"/>
        <n v="595730"/>
        <n v="285724"/>
        <n v="183226"/>
        <n v="602053"/>
        <n v="398366"/>
        <n v="526690"/>
        <n v="307071"/>
        <n v="365220"/>
        <n v="431670"/>
        <n v="205523"/>
        <n v="361123"/>
        <n v="209713"/>
        <n v="498755"/>
        <n v="458056"/>
        <n v="432818"/>
        <n v="693487"/>
        <n v="233185"/>
        <n v="725017"/>
        <n v="150795"/>
        <n v="722168"/>
        <n v="420330"/>
        <n v="610675"/>
        <n v="605403"/>
        <n v="205748"/>
        <n v="338493"/>
        <n v="457323"/>
        <n v="785268"/>
        <n v="318253"/>
        <n v="351971"/>
        <n v="480499"/>
        <n v="217795"/>
        <n v="438825"/>
        <n v="191238"/>
        <n v="129536"/>
        <n v="209775"/>
        <n v="533503"/>
        <n v="790502"/>
        <n v="519373"/>
        <n v="234012"/>
        <n v="692313"/>
        <n v="187768"/>
        <n v="754197"/>
        <n v="580472"/>
        <n v="589289"/>
        <n v="357146"/>
        <n v="732523"/>
        <n v="588512"/>
        <n v="458746"/>
        <n v="557320"/>
        <n v="391720"/>
        <n v="221727"/>
        <n v="516688"/>
        <n v="391343"/>
        <n v="100641"/>
        <n v="155846"/>
        <n v="669969"/>
        <n v="249032"/>
        <n v="534038"/>
        <n v="794873"/>
        <n v="519756"/>
        <n v="166867"/>
        <n v="268225"/>
        <n v="248187"/>
        <n v="537224"/>
        <n v="510472"/>
        <n v="784268"/>
        <n v="492502"/>
        <n v="514823"/>
        <n v="344372"/>
        <n v="378103"/>
        <n v="798056"/>
        <n v="301560"/>
        <n v="197206"/>
        <n v="316672"/>
        <n v="766257"/>
        <n v="447796"/>
        <n v="424691"/>
        <n v="422440"/>
        <n v="498464"/>
        <n v="458219"/>
        <n v="565290"/>
        <n v="521791"/>
        <n v="588284"/>
        <n v="682662"/>
        <n v="200816"/>
        <n v="484050"/>
        <n v="115746"/>
        <n v="302908"/>
        <n v="781519"/>
        <n v="479759"/>
        <n v="673977"/>
        <n v="168510"/>
        <n v="456213"/>
        <n v="443854"/>
        <n v="229327"/>
        <n v="662714"/>
        <n v="103705"/>
        <n v="430156"/>
        <n v="113618"/>
        <n v="321111"/>
        <n v="679683"/>
        <n v="737771"/>
        <n v="394891"/>
        <n v="232353"/>
        <n v="582551"/>
        <n v="175107"/>
        <n v="584831"/>
        <n v="454675"/>
        <n v="326446"/>
        <n v="534068"/>
        <n v="110928"/>
        <n v="658354"/>
        <n v="524793"/>
        <n v="586363"/>
        <n v="510031"/>
        <n v="698412"/>
        <n v="152944"/>
        <n v="506500"/>
        <n v="310274"/>
        <n v="697208"/>
        <n v="740813"/>
        <n v="294106"/>
        <n v="711147"/>
        <n v="652327"/>
        <n v="444994"/>
        <n v="274142"/>
        <n v="277861"/>
        <n v="458071"/>
        <n v="685581"/>
        <n v="529136"/>
        <n v="462017"/>
        <n v="720845"/>
        <n v="389137"/>
        <n v="246626"/>
        <n v="736183"/>
        <n v="615904"/>
        <n v="102350"/>
        <n v="170762"/>
        <n v="795950"/>
        <n v="667527"/>
        <n v="374917"/>
        <n v="237073"/>
        <n v="267508"/>
        <n v="752446"/>
        <n v="462513"/>
        <n v="439075"/>
        <n v="481630"/>
        <n v="242268"/>
        <n v="554630"/>
        <n v="120345"/>
        <n v="175022"/>
        <n v="718332"/>
        <n v="765925"/>
        <n v="518279"/>
        <n v="302663"/>
        <n v="727870"/>
        <n v="150967"/>
        <n v="506510"/>
        <n v="171179"/>
        <n v="481410"/>
        <n v="200249"/>
        <n v="583146"/>
        <n v="160822"/>
        <n v="170566"/>
        <n v="563080"/>
        <n v="357495"/>
        <n v="478797"/>
        <n v="155991"/>
        <n v="678635"/>
        <n v="172681"/>
        <n v="695264"/>
        <n v="773658"/>
        <n v="786512"/>
        <n v="613915"/>
        <n v="653654"/>
        <n v="342041"/>
        <n v="246657"/>
        <n v="772773"/>
        <n v="795155"/>
        <n v="572034"/>
        <n v="334262"/>
        <n v="473051"/>
        <n v="695857"/>
        <n v="794083"/>
        <n v="542513"/>
        <n v="300263"/>
        <n v="426037"/>
        <n v="214457"/>
        <n v="417633"/>
        <n v="162253"/>
        <n v="218246"/>
        <n v="208422"/>
        <n v="325440"/>
        <n v="369238"/>
        <n v="364981"/>
        <n v="570054"/>
        <n v="117166"/>
        <n v="610874"/>
        <n v="574687"/>
        <n v="599713"/>
        <n v="718395"/>
        <n v="636638"/>
        <n v="402042"/>
        <n v="585417"/>
        <n v="191428"/>
        <n v="251053"/>
        <n v="733633"/>
        <n v="183827"/>
        <n v="342246"/>
        <n v="307312"/>
        <n v="576173"/>
        <n v="615304"/>
        <n v="339825"/>
        <n v="573438"/>
        <n v="102036"/>
        <n v="393998"/>
        <n v="504097"/>
        <n v="158677"/>
        <n v="121242"/>
        <n v="409186"/>
        <n v="640223"/>
        <n v="259354"/>
        <n v="169674"/>
        <n v="447155"/>
        <n v="682483"/>
        <n v="689583"/>
        <n v="390360"/>
        <n v="345330"/>
        <n v="449234"/>
        <n v="340186"/>
        <n v="391271"/>
        <n v="115448"/>
        <n v="205634"/>
        <n v="557946"/>
        <n v="590917"/>
        <n v="298098"/>
        <n v="609563"/>
        <n v="215977"/>
        <n v="581552"/>
        <n v="194378"/>
        <n v="117306"/>
        <n v="778892"/>
        <n v="231905"/>
        <n v="319127"/>
        <n v="287399"/>
        <n v="711218"/>
        <n v="221080"/>
        <n v="683653"/>
        <n v="313586"/>
        <n v="128350"/>
        <n v="524718"/>
        <n v="299608"/>
        <n v="244928"/>
        <n v="322805"/>
        <n v="453531"/>
        <n v="770540"/>
        <n v="564912"/>
        <n v="711424"/>
        <n v="110280"/>
        <n v="233717"/>
        <n v="666586"/>
        <n v="300110"/>
        <n v="555695"/>
        <n v="122530"/>
        <n v="682154"/>
        <n v="663187"/>
        <n v="120413"/>
        <n v="153239"/>
        <n v="120569"/>
        <n v="471396"/>
        <n v="614480"/>
        <n v="190427"/>
        <n v="620394"/>
        <n v="777132"/>
        <n v="304153"/>
        <n v="689276"/>
        <n v="674247"/>
        <n v="498100"/>
        <n v="780498"/>
        <n v="528481"/>
        <n v="607284"/>
        <n v="449203"/>
        <n v="307620"/>
        <n v="482486"/>
        <n v="281034"/>
        <n v="101628"/>
        <n v="555392"/>
        <n v="302636"/>
        <n v="296019"/>
        <n v="573777"/>
        <n v="740256"/>
        <n v="513977"/>
        <n v="280873"/>
        <n v="576860"/>
        <n v="520975"/>
        <n v="365849"/>
        <n v="637775"/>
        <n v="295220"/>
        <n v="333065"/>
        <n v="670104"/>
        <n v="521123"/>
        <n v="240173"/>
        <n v="689646"/>
        <n v="260840"/>
        <n v="201895"/>
        <n v="682054"/>
        <n v="185269"/>
        <n v="444053"/>
        <n v="366080"/>
        <n v="443723"/>
        <n v="554521"/>
        <n v="338299"/>
        <n v="644660"/>
        <n v="727483"/>
        <n v="386823"/>
        <n v="370125"/>
        <n v="151184"/>
        <n v="166835"/>
        <n v="199691"/>
        <n v="384517"/>
        <n v="709041"/>
        <n v="418199"/>
        <n v="131346"/>
        <n v="667419"/>
        <n v="531390"/>
        <n v="325946"/>
        <n v="381124"/>
        <n v="372212"/>
        <n v="156900"/>
        <n v="756838"/>
        <n v="684012"/>
        <n v="677804"/>
        <n v="204844"/>
        <n v="172145"/>
        <n v="798531"/>
        <n v="617224"/>
        <n v="377113"/>
        <n v="563614"/>
        <n v="717200"/>
        <n v="279867"/>
        <n v="749867"/>
        <n v="709346"/>
        <n v="578374"/>
        <n v="179246"/>
        <n v="797702"/>
        <n v="273131"/>
        <n v="758172"/>
        <n v="518646"/>
        <n v="468919"/>
        <n v="784762"/>
        <n v="395162"/>
        <n v="498195"/>
        <n v="298574"/>
        <n v="727858"/>
        <n v="216433"/>
        <n v="136108"/>
        <n v="236722"/>
        <n v="298327"/>
        <n v="145126"/>
        <n v="490995"/>
        <n v="455109"/>
        <n v="787815"/>
        <n v="464830"/>
        <n v="600176"/>
        <n v="538433"/>
        <n v="581063"/>
        <n v="238853"/>
        <n v="599543"/>
        <n v="256722"/>
        <n v="186790"/>
        <n v="554122"/>
        <n v="178120"/>
        <n v="702147"/>
        <n v="118899"/>
        <n v="455752"/>
        <n v="182801"/>
        <n v="229021"/>
        <n v="537159"/>
        <n v="463487"/>
        <n v="571088"/>
        <n v="775739"/>
        <n v="271821"/>
        <n v="210646"/>
        <n v="201136"/>
        <n v="577387"/>
        <n v="535205"/>
        <n v="320488"/>
        <n v="112431"/>
        <n v="779794"/>
        <n v="209790"/>
        <n v="628938"/>
        <n v="678916"/>
        <n v="457377"/>
        <n v="428674"/>
        <n v="784811"/>
        <n v="667375"/>
        <n v="626698"/>
        <n v="220377"/>
        <n v="246588"/>
        <n v="798989"/>
        <n v="219761"/>
        <n v="313011"/>
        <n v="707395"/>
        <n v="644199"/>
        <n v="689648"/>
        <n v="633515"/>
        <n v="608209"/>
        <n v="714242"/>
        <n v="464380"/>
        <n v="248994"/>
        <n v="284272"/>
        <n v="281516"/>
        <n v="161289"/>
        <n v="270421"/>
        <n v="694371"/>
        <n v="765576"/>
        <n v="493969"/>
        <n v="371182"/>
        <n v="279138"/>
        <n v="772461"/>
        <n v="643716"/>
        <n v="151381"/>
        <n v="404773"/>
        <n v="679743"/>
        <n v="556650"/>
        <n v="207054"/>
        <n v="304540"/>
        <n v="780502"/>
        <n v="191206"/>
        <n v="696007"/>
        <n v="260726"/>
        <n v="427811"/>
        <n v="364941"/>
        <n v="718583"/>
        <n v="313873"/>
        <n v="496909"/>
        <n v="191814"/>
        <n v="765257"/>
        <n v="236379"/>
        <n v="437476"/>
        <n v="767064"/>
        <n v="467766"/>
        <n v="746510"/>
        <n v="140720"/>
        <n v="392481"/>
        <n v="584727"/>
        <n v="777690"/>
        <n v="292795"/>
        <n v="690797"/>
        <n v="196390"/>
        <n v="458373"/>
        <n v="350580"/>
        <n v="125004"/>
        <n v="454308"/>
        <n v="702434"/>
        <n v="631356"/>
        <n v="256055"/>
        <n v="404424"/>
        <n v="472716"/>
        <n v="462674"/>
        <n v="672938"/>
        <n v="292582"/>
        <n v="690824"/>
        <n v="416593"/>
        <n v="438078"/>
        <n v="213328"/>
        <n v="444771"/>
        <n v="266687"/>
        <n v="533155"/>
        <n v="416431"/>
        <n v="740123"/>
        <n v="471184"/>
        <n v="192460"/>
        <n v="783446"/>
        <n v="591523"/>
        <n v="202404"/>
        <n v="573538"/>
        <n v="617340"/>
        <n v="131047"/>
        <n v="184673"/>
        <n v="151266"/>
        <n v="456024"/>
        <n v="148027"/>
        <n v="594130"/>
        <n v="763587"/>
        <n v="706331"/>
        <n v="258414"/>
        <n v="420977"/>
        <n v="384010"/>
        <n v="435822"/>
        <n v="152813"/>
        <n v="204802"/>
        <n v="422285"/>
        <n v="217606"/>
        <n v="590357"/>
        <n v="638487"/>
        <n v="425325"/>
        <n v="171896"/>
        <n v="491431"/>
        <n v="223061"/>
        <n v="412768"/>
        <n v="635162"/>
        <n v="633855"/>
        <n v="239006"/>
        <n v="247976"/>
        <n v="137831"/>
        <n v="752720"/>
        <n v="128427"/>
        <n v="136941"/>
        <n v="230610"/>
        <n v="432088"/>
        <n v="219581"/>
        <n v="154300"/>
        <n v="418116"/>
        <n v="789154"/>
        <n v="742515"/>
        <n v="591358"/>
        <n v="535709"/>
        <n v="794320"/>
        <n v="435074"/>
        <n v="516530"/>
        <n v="554530"/>
        <n v="147243"/>
        <n v="549862"/>
        <n v="376011"/>
        <n v="346093"/>
        <n v="540614"/>
        <n v="406737"/>
        <n v="301586"/>
        <n v="545559"/>
        <n v="420490"/>
        <n v="349758"/>
        <n v="662088"/>
        <n v="422584"/>
        <n v="199379"/>
        <n v="625266"/>
        <n v="685517"/>
        <n v="279893"/>
        <n v="113331"/>
        <n v="326598"/>
        <n v="595358"/>
        <n v="704562"/>
        <n v="450989"/>
        <n v="315442"/>
        <n v="293634"/>
        <n v="316715"/>
        <n v="310138"/>
        <n v="655928"/>
        <n v="427260"/>
        <n v="659085"/>
        <n v="116585"/>
        <n v="125332"/>
        <n v="110946"/>
        <n v="535371"/>
        <n v="546705"/>
        <n v="769510"/>
        <n v="290144"/>
        <n v="280848"/>
        <n v="532701"/>
        <n v="371402"/>
        <n v="109133"/>
        <n v="265547"/>
        <n v="417154"/>
        <n v="184418"/>
        <n v="739926"/>
        <n v="766359"/>
        <n v="280033"/>
        <n v="309342"/>
        <n v="256050"/>
        <n v="192965"/>
        <n v="596500"/>
        <n v="739707"/>
        <n v="563309"/>
        <n v="524628"/>
        <n v="572656"/>
        <n v="492681"/>
        <n v="309356"/>
        <n v="566109"/>
        <n v="706939"/>
        <n v="481289"/>
        <n v="243111"/>
        <n v="399510"/>
        <n v="282815"/>
        <n v="323584"/>
        <n v="765458"/>
        <n v="538281"/>
        <n v="663373"/>
        <n v="267625"/>
        <n v="434305"/>
        <n v="302715"/>
        <n v="105880"/>
        <n v="538975"/>
        <n v="412813"/>
        <n v="281463"/>
        <n v="480905"/>
        <n v="124961"/>
        <n v="137825"/>
        <n v="152476"/>
        <n v="299975"/>
        <n v="732981"/>
        <n v="788690"/>
        <n v="339140"/>
        <n v="124134"/>
        <n v="149768"/>
        <n v="480936"/>
        <n v="128709"/>
        <n v="454589"/>
        <n v="479459"/>
        <n v="146390"/>
        <n v="228429"/>
        <n v="549637"/>
        <n v="772362"/>
        <n v="690553"/>
        <n v="425139"/>
        <n v="396989"/>
        <n v="249012"/>
        <n v="575906"/>
        <n v="691576"/>
        <n v="294411"/>
        <n v="515124"/>
        <n v="346129"/>
        <n v="368747"/>
        <n v="186078"/>
        <n v="147018"/>
        <n v="443070"/>
        <n v="339129"/>
        <n v="626275"/>
        <n v="524622"/>
        <n v="567131"/>
        <n v="535414"/>
        <n v="694221"/>
        <n v="224599"/>
        <n v="625199"/>
        <n v="497395"/>
        <n v="706820"/>
        <n v="558501"/>
        <n v="480974"/>
        <n v="107234"/>
        <n v="429502"/>
        <n v="542769"/>
        <n v="373456"/>
        <n v="247498"/>
        <n v="250544"/>
        <n v="110437"/>
        <n v="645965"/>
        <n v="425087"/>
        <n v="245055"/>
        <n v="311529"/>
        <n v="252948"/>
        <n v="528640"/>
        <n v="249121"/>
        <n v="668935"/>
        <n v="121207"/>
        <n v="282389"/>
        <n v="119634"/>
        <n v="221242"/>
        <n v="287465"/>
        <n v="294548"/>
        <n v="686671"/>
        <n v="607775"/>
        <n v="124734"/>
        <n v="313596"/>
        <n v="102902"/>
        <n v="764396"/>
        <n v="330675"/>
        <n v="380903"/>
        <n v="408135"/>
        <n v="703323"/>
        <n v="644947"/>
        <n v="267167"/>
        <n v="712148"/>
        <n v="573132"/>
        <n v="504923"/>
        <n v="405903"/>
        <n v="556424"/>
        <n v="287601"/>
        <n v="187355"/>
        <n v="729421"/>
        <n v="460103"/>
        <n v="241378"/>
        <n v="300600"/>
        <n v="514134"/>
        <n v="524669"/>
        <n v="548680"/>
        <n v="624087"/>
        <n v="796911"/>
        <n v="563059"/>
        <n v="631814"/>
        <n v="413491"/>
        <n v="108164"/>
        <n v="248082"/>
        <n v="124098"/>
        <n v="662921"/>
        <n v="716111"/>
        <n v="491472"/>
        <n v="158489"/>
        <n v="710829"/>
        <n v="192699"/>
        <n v="792836"/>
        <n v="287773"/>
        <n v="321434"/>
        <n v="719803"/>
        <n v="376879"/>
        <n v="653086"/>
        <n v="413446"/>
        <n v="424576"/>
        <n v="686310"/>
        <n v="701032"/>
        <n v="473601"/>
        <n v="332435"/>
        <n v="368662"/>
        <n v="414115"/>
        <n v="431416"/>
        <n v="137841"/>
        <n v="628916"/>
        <n v="433473"/>
        <n v="567319"/>
        <n v="352619"/>
        <n v="735461"/>
        <n v="296377"/>
        <n v="278931"/>
        <n v="398677"/>
        <n v="101693"/>
        <n v="320181"/>
        <n v="245862"/>
        <n v="784163"/>
        <n v="478696"/>
        <n v="437198"/>
        <n v="389891"/>
        <n v="442496"/>
        <n v="705119"/>
        <n v="358107"/>
        <n v="350145"/>
        <n v="420853"/>
        <n v="569800"/>
        <n v="340906"/>
        <n v="748878"/>
        <n v="594431"/>
        <n v="243661"/>
        <n v="218640"/>
        <n v="364395"/>
        <n v="170160"/>
        <n v="110527"/>
        <n v="352114"/>
        <n v="403954"/>
        <n v="728595"/>
        <n v="139385"/>
        <n v="388591"/>
        <n v="717442"/>
        <n v="792441"/>
        <n v="222836"/>
        <n v="471199"/>
        <n v="652009"/>
        <n v="674790"/>
        <n v="681695"/>
        <n v="580183"/>
        <n v="489617"/>
        <n v="429685"/>
        <n v="551117"/>
        <n v="388804"/>
        <n v="101568"/>
        <n v="456978"/>
        <n v="162072"/>
        <n v="192005"/>
        <n v="511732"/>
        <n v="541954"/>
        <n v="670228"/>
        <n v="439240"/>
        <n v="493205"/>
        <n v="204492"/>
        <n v="230399"/>
        <n v="186025"/>
        <n v="625539"/>
        <n v="465253"/>
        <n v="410979"/>
        <n v="156768"/>
        <n v="280720"/>
        <n v="781987"/>
        <n v="546216"/>
        <n v="487477"/>
        <n v="307313"/>
        <n v="266693"/>
        <n v="659631"/>
        <n v="569383"/>
        <n v="273434"/>
        <n v="378572"/>
        <n v="694439"/>
        <n v="173345"/>
        <n v="710321"/>
        <n v="797821"/>
        <n v="450507"/>
        <n v="667250"/>
        <n v="394507"/>
        <n v="692755"/>
        <n v="173800"/>
        <n v="601985"/>
        <n v="398726"/>
        <n v="795070"/>
        <n v="356863"/>
        <n v="196917"/>
        <n v="794729"/>
        <n v="690828"/>
        <n v="404888"/>
        <n v="602126"/>
        <n v="654415"/>
        <n v="565989"/>
        <n v="423286"/>
        <n v="575526"/>
        <n v="112206"/>
        <n v="271267"/>
        <n v="232792"/>
        <n v="549405"/>
        <n v="769377"/>
        <n v="598035"/>
        <n v="706666"/>
        <n v="131870"/>
        <n v="713021"/>
        <n v="530719"/>
        <n v="777259"/>
        <n v="265129"/>
        <n v="237876"/>
        <n v="308607"/>
        <n v="375699"/>
        <n v="438172"/>
        <n v="688675"/>
        <n v="505317"/>
        <n v="429599"/>
        <n v="110379"/>
        <n v="381348"/>
        <n v="525677"/>
        <n v="670952"/>
        <n v="119610"/>
        <n v="591230"/>
        <n v="750071"/>
        <n v="384427"/>
        <n v="689697"/>
        <n v="462055"/>
        <n v="120273"/>
        <n v="127614"/>
        <n v="126426"/>
        <n v="452933"/>
        <n v="587126"/>
        <n v="380227"/>
        <n v="567927"/>
        <n v="289035"/>
        <n v="356793"/>
        <n v="761118"/>
        <n v="299159"/>
        <n v="155157"/>
        <n v="751953"/>
        <n v="262528"/>
        <n v="426595"/>
        <n v="166619"/>
        <n v="165902"/>
        <n v="730442"/>
        <n v="626523"/>
        <n v="153521"/>
        <n v="186583"/>
        <n v="441823"/>
        <n v="184876"/>
        <n v="564864"/>
        <n v="681647"/>
        <n v="554739"/>
        <n v="292906"/>
        <n v="690303"/>
        <n v="328696"/>
        <n v="614187"/>
        <n v="706052"/>
        <n v="128675"/>
        <n v="434655"/>
        <n v="247308"/>
        <n v="482089"/>
        <n v="391755"/>
        <n v="727685"/>
        <n v="739578"/>
        <n v="484507"/>
        <n v="659171"/>
        <n v="581140"/>
        <n v="732092"/>
        <n v="422864"/>
        <n v="144398"/>
        <n v="198555"/>
        <n v="387522"/>
        <n v="469328"/>
        <n v="102836"/>
        <n v="527112"/>
        <n v="725081"/>
        <n v="655348"/>
        <n v="345459"/>
        <n v="474222"/>
        <n v="790228"/>
        <n v="493737"/>
        <n v="485237"/>
        <n v="475216"/>
        <n v="428313"/>
        <n v="608427"/>
        <n v="221665"/>
        <n v="782307"/>
        <n v="530277"/>
        <n v="712113"/>
        <n v="738905"/>
        <n v="104666"/>
        <n v="631710"/>
        <n v="159513"/>
        <n v="365621"/>
        <n v="188806"/>
        <n v="546423"/>
        <n v="758583"/>
        <n v="411494"/>
        <n v="597978"/>
        <n v="491292"/>
        <n v="470527"/>
        <n v="130538"/>
        <n v="291508"/>
        <n v="611677"/>
        <n v="685704"/>
        <n v="201222"/>
        <n v="542964"/>
        <n v="544194"/>
        <n v="399437"/>
        <n v="679823"/>
        <n v="384993"/>
        <n v="731803"/>
        <n v="718436"/>
        <n v="764459"/>
        <n v="189493"/>
        <n v="148860"/>
        <n v="133017"/>
        <n v="373640"/>
        <n v="797418"/>
        <n v="355677"/>
        <n v="738142"/>
        <n v="744746"/>
        <n v="373325"/>
        <n v="699552"/>
        <n v="595298"/>
        <n v="257438"/>
        <n v="264854"/>
        <n v="541261"/>
        <n v="218182"/>
        <n v="277262"/>
        <n v="427640"/>
        <n v="704796"/>
        <n v="333052"/>
        <n v="197747"/>
        <n v="274219"/>
        <n v="490600"/>
        <n v="717741"/>
        <n v="245606"/>
        <n v="374247"/>
        <n v="766186"/>
        <n v="136011"/>
        <n v="258178"/>
        <n v="566305"/>
        <n v="401548"/>
        <n v="768915"/>
        <n v="371940"/>
        <n v="638856"/>
        <n v="327807"/>
        <n v="310846"/>
        <n v="372290"/>
        <n v="485142"/>
        <n v="441777"/>
        <n v="748644"/>
        <n v="355228"/>
        <n v="778310"/>
        <n v="350952"/>
        <n v="349926"/>
        <n v="699953"/>
        <n v="329355"/>
        <n v="545875"/>
        <n v="744140"/>
        <n v="765155"/>
        <n v="182017"/>
        <n v="566233"/>
        <n v="259064"/>
        <n v="548909"/>
        <n v="388132"/>
        <n v="531689"/>
        <n v="559742"/>
        <n v="146567"/>
        <n v="250927"/>
        <n v="561646"/>
        <n v="724534"/>
        <n v="393897"/>
        <n v="344625"/>
        <n v="461530"/>
        <n v="501207"/>
        <n v="287064"/>
        <n v="545350"/>
        <n v="527517"/>
        <n v="429070"/>
        <n v="704794"/>
        <n v="451741"/>
        <n v="739936"/>
        <n v="296608"/>
        <n v="570153"/>
        <n v="302569"/>
        <n v="584372"/>
        <n v="471378"/>
        <n v="334562"/>
        <n v="587438"/>
        <n v="353524"/>
        <n v="773699"/>
        <n v="476268"/>
        <n v="473716"/>
        <n v="790648"/>
        <n v="725820"/>
        <n v="491648"/>
        <n v="592556"/>
        <n v="586072"/>
        <n v="174131"/>
        <n v="290911"/>
        <n v="421348"/>
        <n v="560178"/>
        <n v="636429"/>
        <n v="253318"/>
        <n v="731898"/>
        <n v="481739"/>
        <n v="198599"/>
        <n v="523299"/>
        <n v="576883"/>
        <n v="226278"/>
        <n v="580797"/>
        <n v="761888"/>
        <n v="597814"/>
        <n v="357612"/>
        <n v="330038"/>
        <n v="661848"/>
        <n v="239875"/>
        <n v="132248"/>
        <n v="358747"/>
        <n v="264902"/>
        <n v="422448"/>
        <n v="104295"/>
        <n v="365336"/>
        <n v="714669"/>
        <n v="331590"/>
        <n v="320493"/>
        <n v="131737"/>
        <n v="636205"/>
        <n v="214701"/>
        <n v="488157"/>
        <n v="622975"/>
        <n v="405960"/>
        <n v="384551"/>
        <n v="245513"/>
        <n v="440709"/>
        <n v="162737"/>
        <n v="214524"/>
        <n v="689993"/>
        <n v="653604"/>
        <n v="531950"/>
        <n v="619335"/>
        <n v="198234"/>
        <n v="166193"/>
        <n v="135233"/>
        <n v="391908"/>
        <n v="407533"/>
        <n v="404571"/>
        <n v="791570"/>
        <n v="388701"/>
        <n v="611921"/>
        <n v="285665"/>
        <n v="715571"/>
        <n v="116537"/>
        <n v="138866"/>
        <n v="377162"/>
        <n v="769205"/>
        <n v="625452"/>
        <n v="618449"/>
        <n v="474623"/>
        <n v="531099"/>
        <n v="191962"/>
        <n v="727725"/>
        <n v="234348"/>
        <n v="722527"/>
        <n v="192301"/>
        <n v="546437"/>
        <n v="246105"/>
        <n v="315339"/>
        <n v="186024"/>
        <n v="178319"/>
        <n v="177567"/>
        <n v="298934"/>
        <n v="451274"/>
        <n v="371926"/>
        <n v="303135"/>
        <n v="501714"/>
        <n v="706818"/>
        <n v="398821"/>
        <n v="585546"/>
        <n v="133678"/>
        <n v="631392"/>
        <n v="538751"/>
        <n v="148348"/>
        <n v="291865"/>
        <n v="578443"/>
        <n v="611145"/>
        <n v="536139"/>
        <n v="596017"/>
        <n v="231237"/>
        <n v="608022"/>
        <n v="424790"/>
        <n v="541199"/>
        <n v="299890"/>
        <n v="357494"/>
        <n v="190906"/>
        <n v="124235"/>
        <n v="767001"/>
        <n v="507061"/>
        <n v="672080"/>
        <n v="135870"/>
        <n v="337523"/>
        <n v="530583"/>
        <n v="126137"/>
        <n v="703989"/>
        <n v="457105"/>
        <n v="483259"/>
        <n v="587464"/>
        <n v="540137"/>
        <n v="524178"/>
        <n v="748627"/>
        <n v="223689"/>
        <n v="485450"/>
        <n v="333904"/>
        <n v="494535"/>
        <n v="436308"/>
        <n v="377377"/>
        <n v="439977"/>
        <n v="485510"/>
        <n v="350827"/>
        <n v="296431"/>
        <n v="321716"/>
        <n v="305094"/>
        <n v="539342"/>
        <n v="571371"/>
        <n v="464010"/>
        <n v="258681"/>
        <n v="350463"/>
        <n v="641061"/>
        <n v="534946"/>
        <n v="623918"/>
        <n v="447028"/>
        <n v="428662"/>
        <n v="334378"/>
        <n v="356792"/>
        <n v="653188"/>
        <n v="483202"/>
        <n v="732265"/>
        <n v="210134"/>
        <n v="371871"/>
        <n v="606928"/>
        <n v="276248"/>
        <n v="523394"/>
        <n v="118044"/>
        <n v="288053"/>
        <n v="511155"/>
        <n v="569370"/>
        <n v="706514"/>
        <n v="706349"/>
        <n v="350338"/>
        <n v="178957"/>
        <n v="501724"/>
        <n v="471871"/>
        <n v="638050"/>
        <n v="415599"/>
        <n v="241575"/>
        <n v="704034"/>
        <n v="640363"/>
        <n v="103416"/>
        <n v="593925"/>
        <n v="528685"/>
        <n v="107645"/>
        <n v="279611"/>
        <n v="662986"/>
        <n v="106264"/>
        <n v="727747"/>
        <n v="103885"/>
        <n v="408476"/>
        <n v="227675"/>
        <n v="603986"/>
        <n v="244988"/>
        <n v="494731"/>
        <n v="733950"/>
        <n v="446038"/>
        <n v="390018"/>
        <n v="614795"/>
        <n v="580032"/>
        <n v="244624"/>
        <n v="275549"/>
        <n v="318761"/>
        <n v="658449"/>
        <n v="480904"/>
        <n v="277295"/>
        <n v="367748"/>
        <n v="327564"/>
        <n v="148462"/>
        <n v="415728"/>
        <n v="778738"/>
        <n v="482639"/>
        <n v="446177"/>
        <n v="684264"/>
        <n v="207952"/>
        <n v="594188"/>
        <n v="163711"/>
        <n v="695122"/>
        <n v="218588"/>
        <n v="245087"/>
        <n v="736515"/>
        <n v="102365"/>
        <n v="794439"/>
        <n v="366407"/>
        <n v="327391"/>
        <n v="498768"/>
        <n v="418086"/>
        <n v="108954"/>
        <n v="749607"/>
        <n v="366825"/>
        <n v="581421"/>
        <n v="267299"/>
        <n v="110646"/>
        <n v="583311"/>
        <n v="688693"/>
        <n v="374645"/>
        <n v="291495"/>
        <n v="168553"/>
        <n v="369102"/>
        <n v="300922"/>
        <n v="782240"/>
        <n v="643788"/>
        <n v="327528"/>
        <n v="429138"/>
        <n v="725960"/>
        <n v="195501"/>
        <n v="758764"/>
        <n v="406336"/>
        <n v="725323"/>
        <n v="496347"/>
        <n v="671976"/>
        <n v="312873"/>
        <n v="761857"/>
        <n v="675030"/>
        <n v="668427"/>
        <n v="346163"/>
        <n v="735900"/>
        <n v="782029"/>
        <n v="639438"/>
        <n v="375004"/>
        <n v="756417"/>
        <n v="114422"/>
        <n v="494697"/>
        <n v="301538"/>
        <n v="305337"/>
        <n v="760607"/>
        <n v="506367"/>
        <n v="649104"/>
        <n v="720817"/>
        <n v="345891"/>
        <n v="674000"/>
        <n v="404407"/>
        <n v="161713"/>
        <n v="555649"/>
        <n v="405138"/>
        <n v="588928"/>
        <n v="306734"/>
        <n v="583887"/>
        <n v="668487"/>
        <n v="168523"/>
        <n v="486861"/>
        <n v="681255"/>
        <n v="238959"/>
        <n v="444505"/>
        <n v="255055"/>
        <n v="474783"/>
        <n v="355396"/>
        <n v="583760"/>
        <n v="757278"/>
        <n v="388852"/>
        <n v="798873"/>
        <n v="284423"/>
        <n v="612860"/>
        <n v="671664"/>
        <n v="115250"/>
        <n v="258026"/>
        <n v="610496"/>
        <n v="173018"/>
        <n v="751013"/>
        <n v="626302"/>
        <n v="424181"/>
        <n v="762842"/>
        <n v="307765"/>
        <n v="581910"/>
        <n v="104437"/>
        <n v="679344"/>
        <n v="786466"/>
        <n v="788947"/>
        <n v="163936"/>
        <n v="444105"/>
        <n v="642182"/>
        <n v="435793"/>
        <n v="469735"/>
        <n v="281170"/>
        <n v="611264"/>
        <n v="369272"/>
        <n v="375332"/>
        <n v="464267"/>
        <n v="488146"/>
        <n v="450188"/>
        <n v="560102"/>
        <n v="724132"/>
        <n v="147364"/>
        <n v="201677"/>
        <n v="132282"/>
        <n v="164638"/>
        <n v="267298"/>
        <n v="253480"/>
        <n v="645768"/>
        <n v="427755"/>
        <n v="337788"/>
        <n v="792894"/>
        <n v="678444"/>
        <n v="341849"/>
        <n v="675330"/>
        <n v="599382"/>
        <n v="468889"/>
        <n v="612703"/>
        <n v="244773"/>
      </sharedItems>
      <fieldGroup base="23">
        <rangePr startNum="100641" endNum="798989" groupInterval="100000"/>
        <groupItems count="9">
          <s v="&lt;100641"/>
          <s v="100641-200640"/>
          <s v="200641-300640"/>
          <s v="300641-400640"/>
          <s v="400641-500640"/>
          <s v="500641-600640"/>
          <s v="600641-700640"/>
          <s v="700641-800640"/>
          <s v="&gt;800641"/>
        </groupItems>
      </fieldGroup>
    </cacheField>
    <cacheField name="Date of Birth" numFmtId="14">
      <sharedItems containsSemiMixedTypes="0" containsNonDate="0" containsDate="1" containsString="0" minDate="1996-07-03T00:00:00" maxDate="2006-07-02T00:00:00"/>
    </cacheField>
    <cacheField name="mean_marks_distances" numFmtId="0">
      <sharedItems containsSemiMixedTypes="0" containsString="0" containsNumber="1" minValue="-14.8210262828535" maxValue="15.1789737171464"/>
    </cacheField>
    <cacheField name="Age" numFmtId="0">
      <sharedItems containsSemiMixedTypes="0" containsString="0" containsNumber="1" containsInteger="1" minValue="18" maxValue="28" count="11">
        <n v="23"/>
        <n v="24"/>
        <n v="21"/>
        <n v="20"/>
        <n v="18"/>
        <n v="19"/>
        <n v="22"/>
        <n v="25"/>
        <n v="27"/>
        <n v="26"/>
        <n v="28"/>
      </sharedItems>
      <fieldGroup base="26">
        <rangePr startNum="18" endNum="28" groupInterval="2"/>
        <groupItems count="7">
          <s v="&lt;18"/>
          <s v="18-19"/>
          <s v="20-21"/>
          <s v="22-23"/>
          <s v="24-25"/>
          <s v="26-28"/>
          <s v="&gt;28"/>
        </groupItems>
      </fieldGroup>
    </cacheField>
    <cacheField name="total_fees" numFmtId="0">
      <sharedItems containsSemiMixedTypes="0" containsString="0" containsNumber="1" containsInteger="1" minValue="184000" maxValue="676000"/>
    </cacheField>
    <cacheField name="CoTotal_fess_including_exam_feeslumn1" numFmtId="0">
      <sharedItems containsSemiMixedTypes="0" containsString="0" containsNumber="1" containsInteger="1" minValue="214000" maxValue="736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98">
  <r>
    <s v="Shalv Ramaswamy"/>
    <s v="STU001"/>
    <s v="ENR001"/>
    <x v="0"/>
    <x v="0"/>
    <n v="4"/>
    <s v="Computer Science and Engineering"/>
    <x v="0"/>
    <n v="169000"/>
    <n v="154000"/>
    <n v="15000"/>
    <n v="0"/>
    <x v="0"/>
    <x v="0"/>
    <x v="0"/>
    <x v="0"/>
    <s v="India"/>
    <s v="xsule@example.org"/>
    <n v="917483000000"/>
    <x v="0"/>
    <n v="90"/>
    <n v="78"/>
    <s v="Non-AC"/>
    <x v="0"/>
    <d v="2001-06-08T00:00:00"/>
    <n v="15.1789737171464"/>
    <x v="0"/>
    <n v="676000"/>
    <n v="736000"/>
  </r>
  <r>
    <s v="Neelofar Comar"/>
    <s v="STU281"/>
    <s v="ENR281"/>
    <x v="1"/>
    <x v="1"/>
    <n v="2"/>
    <s v="Computer Science Engineering"/>
    <x v="1"/>
    <n v="92000"/>
    <n v="77000"/>
    <n v="15000"/>
    <n v="0"/>
    <x v="0"/>
    <x v="0"/>
    <x v="1"/>
    <x v="1"/>
    <s v="India"/>
    <s v="darshit58@example.org"/>
    <n v="917084000000"/>
    <x v="1"/>
    <n v="90"/>
    <n v="78"/>
    <s v="AC"/>
    <x v="1"/>
    <d v="2000-03-11T00:00:00"/>
    <n v="15.1789737171464"/>
    <x v="1"/>
    <n v="184000"/>
    <n v="214000"/>
  </r>
  <r>
    <s v="Hansh Manda"/>
    <s v="STU173"/>
    <s v="ENR173"/>
    <x v="2"/>
    <x v="0"/>
    <n v="4"/>
    <s v="Computer Science and Engineering"/>
    <x v="2"/>
    <n v="169000"/>
    <n v="154000"/>
    <n v="15000"/>
    <n v="0"/>
    <x v="0"/>
    <x v="0"/>
    <x v="2"/>
    <x v="2"/>
    <s v="India"/>
    <s v="nayantara27@example.org"/>
    <n v="919863000000"/>
    <x v="1"/>
    <n v="90"/>
    <n v="60"/>
    <s v="Non-AC"/>
    <x v="2"/>
    <d v="2003-01-14T00:00:00"/>
    <n v="15.1789737171464"/>
    <x v="2"/>
    <n v="676000"/>
    <n v="736000"/>
  </r>
  <r>
    <s v="Priyansh Ravel"/>
    <s v="STU176"/>
    <s v="ENR176"/>
    <x v="3"/>
    <x v="0"/>
    <n v="4"/>
    <s v="Computer Science and Engineering"/>
    <x v="3"/>
    <n v="169000"/>
    <n v="154000"/>
    <n v="15000"/>
    <n v="0"/>
    <x v="0"/>
    <x v="1"/>
    <x v="3"/>
    <x v="3"/>
    <s v="India"/>
    <s v="talwarindranil@example.com"/>
    <n v="917743000000"/>
    <x v="0"/>
    <n v="90"/>
    <n v="89"/>
    <s v="Non-AC"/>
    <x v="3"/>
    <d v="2003-02-15T00:00:00"/>
    <n v="15.1789737171464"/>
    <x v="2"/>
    <n v="676000"/>
    <n v="736000"/>
  </r>
  <r>
    <s v="Shayak Shah"/>
    <s v="STU177"/>
    <s v="ENR177"/>
    <x v="1"/>
    <x v="0"/>
    <n v="4"/>
    <s v="Computer Science and Engineering"/>
    <x v="2"/>
    <n v="169000"/>
    <n v="154000"/>
    <n v="15000"/>
    <n v="0"/>
    <x v="0"/>
    <x v="2"/>
    <x v="4"/>
    <x v="4"/>
    <s v="India"/>
    <s v="hridaanmallick@example.net"/>
    <n v="918299000000"/>
    <x v="2"/>
    <n v="90"/>
    <n v="60"/>
    <s v="AC"/>
    <x v="4"/>
    <d v="2003-10-11T00:00:00"/>
    <n v="15.1789737171464"/>
    <x v="3"/>
    <n v="676000"/>
    <n v="736000"/>
  </r>
  <r>
    <s v="Yuvaan Sankaran"/>
    <s v="STU854"/>
    <s v="ENR854"/>
    <x v="0"/>
    <x v="0"/>
    <n v="4"/>
    <s v="Computer Science and Engineering"/>
    <x v="1"/>
    <n v="169000"/>
    <n v="154000"/>
    <n v="15000"/>
    <n v="0"/>
    <x v="0"/>
    <x v="0"/>
    <x v="5"/>
    <x v="5"/>
    <s v="India"/>
    <s v="agarwalazad@example.net"/>
    <n v="918162000000"/>
    <x v="0"/>
    <n v="90"/>
    <n v="81"/>
    <s v="AC"/>
    <x v="5"/>
    <d v="2005-11-28T00:00:00"/>
    <n v="15.1789737171464"/>
    <x v="4"/>
    <n v="676000"/>
    <n v="736000"/>
  </r>
  <r>
    <s v="Fateh Buch"/>
    <s v="STU452"/>
    <s v="ENR452"/>
    <x v="0"/>
    <x v="0"/>
    <n v="4"/>
    <s v="Computer Science and Engineering"/>
    <x v="0"/>
    <n v="169000"/>
    <n v="154000"/>
    <n v="15000"/>
    <n v="0"/>
    <x v="0"/>
    <x v="0"/>
    <x v="6"/>
    <x v="3"/>
    <s v="India"/>
    <s v="nchahal@example.com"/>
    <n v="918593000000"/>
    <x v="3"/>
    <n v="90"/>
    <n v="73"/>
    <s v="AC"/>
    <x v="6"/>
    <d v="2000-10-16T00:00:00"/>
    <n v="15.1789737171464"/>
    <x v="0"/>
    <n v="676000"/>
    <n v="736000"/>
  </r>
  <r>
    <s v="Pari Chaudhary"/>
    <s v="STU687"/>
    <s v="ENR687"/>
    <x v="2"/>
    <x v="0"/>
    <n v="4"/>
    <s v="Computer Science and Engineering"/>
    <x v="4"/>
    <n v="169000"/>
    <n v="154000"/>
    <n v="15000"/>
    <n v="0"/>
    <x v="0"/>
    <x v="2"/>
    <x v="7"/>
    <x v="6"/>
    <s v="India"/>
    <s v="pkeer@example.org"/>
    <n v="918847000000"/>
    <x v="2"/>
    <n v="90"/>
    <n v="77"/>
    <s v="Non-AC"/>
    <x v="7"/>
    <d v="2003-11-17T00:00:00"/>
    <n v="15.1789737171464"/>
    <x v="3"/>
    <n v="676000"/>
    <n v="736000"/>
  </r>
  <r>
    <s v="Samar Dewan"/>
    <s v="STU872"/>
    <s v="ENR872"/>
    <x v="1"/>
    <x v="0"/>
    <n v="4"/>
    <s v="Computer Science and Engineering"/>
    <x v="2"/>
    <n v="169000"/>
    <n v="154000"/>
    <n v="15000"/>
    <n v="0"/>
    <x v="1"/>
    <x v="1"/>
    <x v="0"/>
    <x v="0"/>
    <s v="India"/>
    <s v="eshanijaggi@example.net"/>
    <n v="919691000000"/>
    <x v="4"/>
    <n v="90"/>
    <n v="91"/>
    <s v="Non-AC"/>
    <x v="8"/>
    <d v="2000-07-29T00:00:00"/>
    <n v="15.1789737171464"/>
    <x v="0"/>
    <n v="676000"/>
    <n v="736000"/>
  </r>
  <r>
    <s v="Sahil Handa"/>
    <s v="STU184"/>
    <s v="ENR184"/>
    <x v="4"/>
    <x v="0"/>
    <n v="4"/>
    <s v="Computer Science and Engineering"/>
    <x v="5"/>
    <n v="169000"/>
    <n v="154000"/>
    <n v="15000"/>
    <n v="0"/>
    <x v="1"/>
    <x v="1"/>
    <x v="8"/>
    <x v="7"/>
    <s v="India"/>
    <s v="ykalita@example.org"/>
    <n v="919637000000"/>
    <x v="3"/>
    <n v="90"/>
    <n v="63"/>
    <s v="Non-AC"/>
    <x v="9"/>
    <d v="2004-09-29T00:00:00"/>
    <n v="15.1789737171464"/>
    <x v="5"/>
    <n v="676000"/>
    <n v="736000"/>
  </r>
  <r>
    <s v="Heer Keer"/>
    <s v="STU053"/>
    <s v="ENR053"/>
    <x v="2"/>
    <x v="0"/>
    <n v="4"/>
    <s v="Computer Science and Engineering"/>
    <x v="3"/>
    <n v="169000"/>
    <n v="154000"/>
    <n v="15000"/>
    <n v="0"/>
    <x v="1"/>
    <x v="2"/>
    <x v="1"/>
    <x v="1"/>
    <s v="India"/>
    <s v="mehul50@example.net"/>
    <n v="919832000000"/>
    <x v="3"/>
    <n v="90"/>
    <n v="65"/>
    <s v="AC"/>
    <x v="10"/>
    <d v="2004-02-19T00:00:00"/>
    <n v="15.1789737171464"/>
    <x v="3"/>
    <n v="676000"/>
    <n v="736000"/>
  </r>
  <r>
    <s v="Mehul Kapoor"/>
    <s v="STU887"/>
    <s v="ENR887"/>
    <x v="5"/>
    <x v="0"/>
    <n v="4"/>
    <s v="Computer Science and Engineering"/>
    <x v="6"/>
    <n v="169000"/>
    <n v="154000"/>
    <n v="15000"/>
    <n v="0"/>
    <x v="1"/>
    <x v="1"/>
    <x v="5"/>
    <x v="5"/>
    <s v="India"/>
    <s v="advikaupadhyay@example.net"/>
    <n v="919784000000"/>
    <x v="0"/>
    <n v="90"/>
    <n v="64"/>
    <s v="Non-AC"/>
    <x v="11"/>
    <d v="2001-02-20T00:00:00"/>
    <n v="15.1789737171464"/>
    <x v="0"/>
    <n v="676000"/>
    <n v="736000"/>
  </r>
  <r>
    <s v="Mamooty Chada"/>
    <s v="STU1120"/>
    <s v="ENR1120"/>
    <x v="3"/>
    <x v="0"/>
    <n v="4"/>
    <s v="Computer Science and Engineering"/>
    <x v="4"/>
    <n v="169000"/>
    <n v="154000"/>
    <n v="15000"/>
    <n v="0"/>
    <x v="1"/>
    <x v="0"/>
    <x v="5"/>
    <x v="5"/>
    <s v="India"/>
    <s v="chadafarhan@example.com"/>
    <n v="918406000000"/>
    <x v="1"/>
    <n v="90"/>
    <n v="76"/>
    <s v="Non-AC"/>
    <x v="12"/>
    <d v="2000-10-05T00:00:00"/>
    <n v="15.1789737171464"/>
    <x v="0"/>
    <n v="676000"/>
    <n v="736000"/>
  </r>
  <r>
    <s v="Devansh Sarin"/>
    <s v="STU916"/>
    <s v="ENR916"/>
    <x v="0"/>
    <x v="0"/>
    <n v="4"/>
    <s v="Computer Science and Engineering"/>
    <x v="7"/>
    <n v="169000"/>
    <n v="154000"/>
    <n v="15000"/>
    <n v="0"/>
    <x v="1"/>
    <x v="0"/>
    <x v="3"/>
    <x v="3"/>
    <s v="India"/>
    <s v="sumerdevi@example.net"/>
    <n v="919592000000"/>
    <x v="4"/>
    <n v="90"/>
    <n v="88"/>
    <s v="AC"/>
    <x v="13"/>
    <d v="2000-09-21T00:00:00"/>
    <n v="15.1789737171464"/>
    <x v="0"/>
    <n v="676000"/>
    <n v="736000"/>
  </r>
  <r>
    <s v="Anya Shankar"/>
    <s v="STU1103"/>
    <s v="ENR1103"/>
    <x v="0"/>
    <x v="0"/>
    <n v="4"/>
    <s v="Computer Science and Engineering"/>
    <x v="3"/>
    <n v="169000"/>
    <n v="154000"/>
    <n v="15000"/>
    <n v="0"/>
    <x v="1"/>
    <x v="1"/>
    <x v="0"/>
    <x v="0"/>
    <s v="India"/>
    <s v="chahalmahika@example.net"/>
    <n v="917650000000"/>
    <x v="0"/>
    <n v="90"/>
    <n v="87"/>
    <s v="AC"/>
    <x v="14"/>
    <d v="2006-05-21T00:00:00"/>
    <n v="15.1789737171464"/>
    <x v="4"/>
    <n v="676000"/>
    <n v="736000"/>
  </r>
  <r>
    <s v="Shanaya Balakrishnan"/>
    <s v="STU416"/>
    <s v="ENR416"/>
    <x v="4"/>
    <x v="0"/>
    <n v="4"/>
    <s v="Computer Science and Engineering"/>
    <x v="0"/>
    <n v="169000"/>
    <n v="154000"/>
    <n v="15000"/>
    <n v="0"/>
    <x v="1"/>
    <x v="0"/>
    <x v="5"/>
    <x v="5"/>
    <s v="India"/>
    <s v="ayesha17@example.org"/>
    <n v="918344000000"/>
    <x v="1"/>
    <n v="90"/>
    <n v="77"/>
    <s v="Non-AC"/>
    <x v="15"/>
    <d v="2005-02-10T00:00:00"/>
    <n v="15.1789737171464"/>
    <x v="5"/>
    <n v="676000"/>
    <n v="736000"/>
  </r>
  <r>
    <s v="Gokul Ganguly"/>
    <s v="STU937"/>
    <s v="ENR937"/>
    <x v="1"/>
    <x v="0"/>
    <n v="4"/>
    <s v="Computer Science and Engineering"/>
    <x v="7"/>
    <n v="169000"/>
    <n v="154000"/>
    <n v="15000"/>
    <n v="0"/>
    <x v="1"/>
    <x v="2"/>
    <x v="8"/>
    <x v="7"/>
    <s v="India"/>
    <s v="manjarichoudhury@example.com"/>
    <n v="918013000000"/>
    <x v="0"/>
    <n v="90"/>
    <n v="91"/>
    <s v="Non-AC"/>
    <x v="16"/>
    <d v="2002-03-18T00:00:00"/>
    <n v="15.1789737171464"/>
    <x v="6"/>
    <n v="676000"/>
    <n v="736000"/>
  </r>
  <r>
    <s v="Ayesha Shankar"/>
    <s v="STU442"/>
    <s v="ENR442"/>
    <x v="1"/>
    <x v="1"/>
    <n v="2"/>
    <s v="Computer Science Engineering"/>
    <x v="0"/>
    <n v="92000"/>
    <n v="77000"/>
    <n v="15000"/>
    <n v="0"/>
    <x v="1"/>
    <x v="2"/>
    <x v="1"/>
    <x v="1"/>
    <s v="India"/>
    <s v="chakrabortyela@example.com"/>
    <n v="919020000000"/>
    <x v="3"/>
    <n v="90"/>
    <n v="80"/>
    <s v="AC"/>
    <x v="17"/>
    <d v="1999-03-30T00:00:00"/>
    <n v="15.1789737171464"/>
    <x v="7"/>
    <n v="184000"/>
    <n v="214000"/>
  </r>
  <r>
    <s v="Elakshi Varughese"/>
    <s v="STU489"/>
    <s v="ENR489"/>
    <x v="4"/>
    <x v="0"/>
    <n v="4"/>
    <s v="Computer Science and Engineering"/>
    <x v="4"/>
    <n v="169000"/>
    <n v="154000"/>
    <n v="15000"/>
    <n v="0"/>
    <x v="0"/>
    <x v="2"/>
    <x v="5"/>
    <x v="5"/>
    <s v="India"/>
    <s v="chanderyuvaan@example.com"/>
    <n v="918981000000"/>
    <x v="3"/>
    <n v="90"/>
    <n v="72"/>
    <s v="AC"/>
    <x v="18"/>
    <d v="2000-08-24T00:00:00"/>
    <n v="15.1789737171464"/>
    <x v="0"/>
    <n v="676000"/>
    <n v="736000"/>
  </r>
  <r>
    <s v="Anvi Bhagat"/>
    <s v="STU396"/>
    <s v="ENR396"/>
    <x v="0"/>
    <x v="0"/>
    <n v="4"/>
    <s v="Computer Science and Engineering"/>
    <x v="0"/>
    <n v="169000"/>
    <n v="154000"/>
    <n v="15000"/>
    <n v="0"/>
    <x v="0"/>
    <x v="1"/>
    <x v="4"/>
    <x v="4"/>
    <s v="India"/>
    <s v="gdhillon@example.com"/>
    <n v="917832000000"/>
    <x v="1"/>
    <n v="90"/>
    <n v="62"/>
    <s v="Non-AC"/>
    <x v="19"/>
    <d v="2003-09-24T00:00:00"/>
    <n v="15.1789737171464"/>
    <x v="3"/>
    <n v="676000"/>
    <n v="736000"/>
  </r>
  <r>
    <s v="Hiran Rattan"/>
    <s v="STU506"/>
    <s v="ENR506"/>
    <x v="1"/>
    <x v="0"/>
    <n v="4"/>
    <s v="Computer Science and Engineering"/>
    <x v="8"/>
    <n v="169000"/>
    <n v="154000"/>
    <n v="15000"/>
    <n v="0"/>
    <x v="0"/>
    <x v="1"/>
    <x v="5"/>
    <x v="5"/>
    <s v="India"/>
    <s v="veergill@example.com"/>
    <n v="918536000000"/>
    <x v="3"/>
    <n v="90"/>
    <n v="69"/>
    <s v="Non-AC"/>
    <x v="20"/>
    <d v="2005-07-24T00:00:00"/>
    <n v="15.1789737171464"/>
    <x v="4"/>
    <n v="676000"/>
    <n v="736000"/>
  </r>
  <r>
    <s v="Rasha Tella"/>
    <s v="STU459"/>
    <s v="ENR459"/>
    <x v="1"/>
    <x v="1"/>
    <n v="2"/>
    <s v="Computer Science Engineering"/>
    <x v="4"/>
    <n v="92000"/>
    <n v="77000"/>
    <n v="15000"/>
    <n v="0"/>
    <x v="0"/>
    <x v="2"/>
    <x v="1"/>
    <x v="1"/>
    <s v="India"/>
    <s v="khushi66@example.net"/>
    <n v="917033000000"/>
    <x v="1"/>
    <n v="90"/>
    <n v="86"/>
    <s v="Non-AC"/>
    <x v="21"/>
    <d v="1997-03-24T00:00:00"/>
    <n v="15.1789737171464"/>
    <x v="8"/>
    <n v="184000"/>
    <n v="214000"/>
  </r>
  <r>
    <s v="Purab Kalita"/>
    <s v="STU175"/>
    <s v="ENR175"/>
    <x v="3"/>
    <x v="1"/>
    <n v="2"/>
    <s v="Computer Science Engineering"/>
    <x v="4"/>
    <n v="92000"/>
    <n v="77000"/>
    <n v="15000"/>
    <n v="0"/>
    <x v="0"/>
    <x v="1"/>
    <x v="1"/>
    <x v="1"/>
    <s v="India"/>
    <s v="jhanviaggarwal@example.com"/>
    <n v="917562000000"/>
    <x v="4"/>
    <n v="90"/>
    <n v="67"/>
    <s v="Non-AC"/>
    <x v="22"/>
    <d v="1998-02-23T00:00:00"/>
    <n v="15.1789737171464"/>
    <x v="9"/>
    <n v="184000"/>
    <n v="214000"/>
  </r>
  <r>
    <s v="Baiju Gokhale"/>
    <s v="STU194"/>
    <s v="ENR194"/>
    <x v="0"/>
    <x v="1"/>
    <n v="2"/>
    <s v="Computer Science Engineering"/>
    <x v="3"/>
    <n v="92000"/>
    <n v="77000"/>
    <n v="15000"/>
    <n v="0"/>
    <x v="0"/>
    <x v="0"/>
    <x v="2"/>
    <x v="2"/>
    <s v="India"/>
    <s v="aryaeshani@example.org"/>
    <n v="917116000000"/>
    <x v="1"/>
    <n v="90"/>
    <n v="61"/>
    <s v="AC"/>
    <x v="23"/>
    <d v="2001-08-29T00:00:00"/>
    <n v="15.1789737171464"/>
    <x v="6"/>
    <n v="184000"/>
    <n v="214000"/>
  </r>
  <r>
    <s v="Neysa Anne"/>
    <s v="STU715"/>
    <s v="ENR715"/>
    <x v="3"/>
    <x v="0"/>
    <n v="4"/>
    <s v="Computer Science and Engineering"/>
    <x v="6"/>
    <n v="169000"/>
    <n v="154000"/>
    <n v="15000"/>
    <n v="0"/>
    <x v="0"/>
    <x v="1"/>
    <x v="2"/>
    <x v="2"/>
    <s v="India"/>
    <s v="lakshay92@example.com"/>
    <n v="917190000000"/>
    <x v="3"/>
    <n v="90"/>
    <n v="69"/>
    <s v="Non-AC"/>
    <x v="24"/>
    <d v="2006-01-16T00:00:00"/>
    <n v="15.1789737171464"/>
    <x v="4"/>
    <n v="676000"/>
    <n v="736000"/>
  </r>
  <r>
    <s v="Akarsh Jha"/>
    <s v="STU720"/>
    <s v="ENR720"/>
    <x v="4"/>
    <x v="0"/>
    <n v="4"/>
    <s v="Computer Science and Engineering"/>
    <x v="5"/>
    <n v="169000"/>
    <n v="154000"/>
    <n v="15000"/>
    <n v="0"/>
    <x v="0"/>
    <x v="0"/>
    <x v="4"/>
    <x v="4"/>
    <s v="India"/>
    <s v="myrahora@example.net"/>
    <n v="918554000000"/>
    <x v="3"/>
    <n v="90"/>
    <n v="92"/>
    <s v="Non-AC"/>
    <x v="25"/>
    <d v="2003-04-14T00:00:00"/>
    <n v="15.1789737171464"/>
    <x v="2"/>
    <n v="676000"/>
    <n v="736000"/>
  </r>
  <r>
    <s v="Charvi Dora"/>
    <s v="STU166"/>
    <s v="ENR166"/>
    <x v="4"/>
    <x v="1"/>
    <n v="2"/>
    <s v="Computer Science Engineering"/>
    <x v="4"/>
    <n v="92000"/>
    <n v="77000"/>
    <n v="15000"/>
    <n v="0"/>
    <x v="0"/>
    <x v="2"/>
    <x v="1"/>
    <x v="1"/>
    <s v="India"/>
    <s v="kademyra@example.com"/>
    <n v="918862000000"/>
    <x v="0"/>
    <n v="90"/>
    <n v="63"/>
    <s v="AC"/>
    <x v="26"/>
    <d v="2002-03-29T00:00:00"/>
    <n v="15.1789737171464"/>
    <x v="6"/>
    <n v="184000"/>
    <n v="214000"/>
  </r>
  <r>
    <s v="Anaya Dugal"/>
    <s v="STU734"/>
    <s v="ENR734"/>
    <x v="3"/>
    <x v="0"/>
    <n v="4"/>
    <s v="Computer Science and Engineering"/>
    <x v="0"/>
    <n v="169000"/>
    <n v="154000"/>
    <n v="15000"/>
    <n v="0"/>
    <x v="0"/>
    <x v="2"/>
    <x v="2"/>
    <x v="2"/>
    <s v="India"/>
    <s v="desaiadira@example.net"/>
    <n v="918085000000"/>
    <x v="3"/>
    <n v="90"/>
    <n v="78"/>
    <s v="AC"/>
    <x v="27"/>
    <d v="2001-08-14T00:00:00"/>
    <n v="15.1789737171464"/>
    <x v="6"/>
    <n v="676000"/>
    <n v="736000"/>
  </r>
  <r>
    <s v="Aradhya Kunda"/>
    <s v="STU737"/>
    <s v="ENR737"/>
    <x v="2"/>
    <x v="0"/>
    <n v="4"/>
    <s v="Computer Science and Engineering"/>
    <x v="5"/>
    <n v="169000"/>
    <n v="154000"/>
    <n v="15000"/>
    <n v="0"/>
    <x v="0"/>
    <x v="2"/>
    <x v="8"/>
    <x v="7"/>
    <s v="India"/>
    <s v="baiju50@example.com"/>
    <n v="918401000000"/>
    <x v="2"/>
    <n v="90"/>
    <n v="61"/>
    <s v="Non-AC"/>
    <x v="28"/>
    <d v="2004-06-08T00:00:00"/>
    <n v="15.1789737171464"/>
    <x v="3"/>
    <n v="676000"/>
    <n v="736000"/>
  </r>
  <r>
    <s v="Taran Deol"/>
    <s v="STU601"/>
    <s v="ENR601"/>
    <x v="1"/>
    <x v="0"/>
    <n v="4"/>
    <s v="Computer Science and Engineering"/>
    <x v="2"/>
    <n v="169000"/>
    <n v="154000"/>
    <n v="15000"/>
    <n v="0"/>
    <x v="0"/>
    <x v="2"/>
    <x v="9"/>
    <x v="8"/>
    <s v="India"/>
    <s v="brarsamaira@example.net"/>
    <n v="918638000000"/>
    <x v="1"/>
    <n v="90"/>
    <n v="67"/>
    <s v="Non-AC"/>
    <x v="29"/>
    <d v="2005-04-03T00:00:00"/>
    <n v="15.1789737171464"/>
    <x v="5"/>
    <n v="676000"/>
    <n v="736000"/>
  </r>
  <r>
    <s v="Arhaan Tella"/>
    <s v="STU747"/>
    <s v="ENR747"/>
    <x v="1"/>
    <x v="0"/>
    <n v="4"/>
    <s v="Computer Science and Engineering"/>
    <x v="3"/>
    <n v="169000"/>
    <n v="154000"/>
    <n v="15000"/>
    <n v="0"/>
    <x v="0"/>
    <x v="2"/>
    <x v="9"/>
    <x v="8"/>
    <s v="India"/>
    <s v="suranirvi@example.org"/>
    <n v="917983000000"/>
    <x v="3"/>
    <n v="90"/>
    <n v="72"/>
    <s v="AC"/>
    <x v="30"/>
    <d v="2005-11-16T00:00:00"/>
    <n v="15.1789737171464"/>
    <x v="4"/>
    <n v="676000"/>
    <n v="736000"/>
  </r>
  <r>
    <s v="Hansh Raju"/>
    <s v="STU544"/>
    <s v="ENR544"/>
    <x v="4"/>
    <x v="0"/>
    <n v="4"/>
    <s v="Computer Science and Engineering"/>
    <x v="1"/>
    <n v="169000"/>
    <n v="154000"/>
    <n v="15000"/>
    <n v="0"/>
    <x v="0"/>
    <x v="1"/>
    <x v="6"/>
    <x v="3"/>
    <s v="India"/>
    <s v="raghavsaxena@example.net"/>
    <n v="918736000000"/>
    <x v="3"/>
    <n v="90"/>
    <n v="77"/>
    <s v="Non-AC"/>
    <x v="31"/>
    <d v="2002-12-03T00:00:00"/>
    <n v="15.1789737171464"/>
    <x v="2"/>
    <n v="676000"/>
    <n v="736000"/>
  </r>
  <r>
    <s v="Aniruddh Bali"/>
    <s v="STU250"/>
    <s v="ENR250"/>
    <x v="2"/>
    <x v="1"/>
    <n v="2"/>
    <s v="Computer Science Engineering"/>
    <x v="3"/>
    <n v="92000"/>
    <n v="77000"/>
    <n v="15000"/>
    <n v="0"/>
    <x v="0"/>
    <x v="0"/>
    <x v="9"/>
    <x v="8"/>
    <s v="India"/>
    <s v="jsani@example.org"/>
    <n v="918560000000"/>
    <x v="1"/>
    <n v="90"/>
    <n v="89"/>
    <s v="AC"/>
    <x v="32"/>
    <d v="1996-11-24T00:00:00"/>
    <n v="15.1789737171464"/>
    <x v="8"/>
    <n v="184000"/>
    <n v="214000"/>
  </r>
  <r>
    <s v="Yasmin Bansal"/>
    <s v="STU518"/>
    <s v="ENR518"/>
    <x v="0"/>
    <x v="0"/>
    <n v="4"/>
    <s v="Computer Science and Engineering"/>
    <x v="1"/>
    <n v="169000"/>
    <n v="154000"/>
    <n v="15000"/>
    <n v="0"/>
    <x v="0"/>
    <x v="1"/>
    <x v="5"/>
    <x v="5"/>
    <s v="India"/>
    <s v="ladanvi@example.net"/>
    <n v="918529000000"/>
    <x v="0"/>
    <n v="90"/>
    <n v="62"/>
    <s v="Non-AC"/>
    <x v="33"/>
    <d v="2003-06-25T00:00:00"/>
    <n v="15.1789737171464"/>
    <x v="2"/>
    <n v="676000"/>
    <n v="736000"/>
  </r>
  <r>
    <s v="Alia Trivedi"/>
    <s v="STU514"/>
    <s v="ENR514"/>
    <x v="4"/>
    <x v="0"/>
    <n v="4"/>
    <s v="Computer Science and Engineering"/>
    <x v="9"/>
    <n v="169000"/>
    <n v="154000"/>
    <n v="15000"/>
    <n v="0"/>
    <x v="0"/>
    <x v="1"/>
    <x v="7"/>
    <x v="6"/>
    <s v="India"/>
    <s v="chackoneysa@example.org"/>
    <n v="918039000000"/>
    <x v="0"/>
    <n v="90"/>
    <n v="75"/>
    <s v="AC"/>
    <x v="34"/>
    <d v="2005-02-24T00:00:00"/>
    <n v="15.1789737171464"/>
    <x v="5"/>
    <n v="676000"/>
    <n v="736000"/>
  </r>
  <r>
    <s v="Arnav Sama"/>
    <s v="STU476"/>
    <s v="ENR476"/>
    <x v="4"/>
    <x v="1"/>
    <n v="2"/>
    <s v="Computer Science Engineering"/>
    <x v="4"/>
    <n v="92000"/>
    <n v="77000"/>
    <n v="15000"/>
    <n v="0"/>
    <x v="0"/>
    <x v="0"/>
    <x v="4"/>
    <x v="4"/>
    <s v="India"/>
    <s v="dharmajanmani@example.org"/>
    <n v="918817000000"/>
    <x v="1"/>
    <n v="90"/>
    <n v="84"/>
    <s v="AC"/>
    <x v="35"/>
    <d v="1996-09-24T00:00:00"/>
    <n v="15.1789737171464"/>
    <x v="8"/>
    <n v="184000"/>
    <n v="214000"/>
  </r>
  <r>
    <s v="Indrajit Brahmbhatt"/>
    <s v="STU956"/>
    <s v="ENR956"/>
    <x v="2"/>
    <x v="0"/>
    <n v="4"/>
    <s v="Computer Science and Engineering"/>
    <x v="4"/>
    <n v="169000"/>
    <n v="154000"/>
    <n v="15000"/>
    <n v="0"/>
    <x v="0"/>
    <x v="0"/>
    <x v="0"/>
    <x v="0"/>
    <s v="India"/>
    <s v="ivan26@example.com"/>
    <n v="919432000000"/>
    <x v="2"/>
    <n v="90"/>
    <n v="69"/>
    <s v="AC"/>
    <x v="36"/>
    <d v="2005-09-15T00:00:00"/>
    <n v="15.1789737171464"/>
    <x v="4"/>
    <n v="676000"/>
    <n v="736000"/>
  </r>
  <r>
    <s v="Vihaan Bains"/>
    <s v="STU685"/>
    <s v="ENR685"/>
    <x v="5"/>
    <x v="0"/>
    <n v="4"/>
    <s v="Computer Science and Engineering"/>
    <x v="5"/>
    <n v="169000"/>
    <n v="154000"/>
    <n v="15000"/>
    <n v="0"/>
    <x v="0"/>
    <x v="0"/>
    <x v="2"/>
    <x v="2"/>
    <s v="India"/>
    <s v="ihari@example.org"/>
    <n v="918166000000"/>
    <x v="1"/>
    <n v="90"/>
    <n v="86"/>
    <s v="AC"/>
    <x v="37"/>
    <d v="2000-08-01T00:00:00"/>
    <n v="15.1789737171464"/>
    <x v="0"/>
    <n v="676000"/>
    <n v="736000"/>
  </r>
  <r>
    <s v="Kiara Ben"/>
    <s v="STU266"/>
    <s v="ENR266"/>
    <x v="1"/>
    <x v="0"/>
    <n v="4"/>
    <s v="Computer Science and Engineering"/>
    <x v="5"/>
    <n v="169000"/>
    <n v="154000"/>
    <n v="15000"/>
    <n v="0"/>
    <x v="0"/>
    <x v="2"/>
    <x v="1"/>
    <x v="1"/>
    <s v="India"/>
    <s v="gardeaaryahi@example.net"/>
    <n v="917799000000"/>
    <x v="0"/>
    <n v="90"/>
    <n v="90"/>
    <s v="AC"/>
    <x v="38"/>
    <d v="2002-03-18T00:00:00"/>
    <n v="15.1789737171464"/>
    <x v="6"/>
    <n v="676000"/>
    <n v="736000"/>
  </r>
  <r>
    <s v="Yakshit Shah"/>
    <s v="STU1043"/>
    <s v="ENR1043"/>
    <x v="0"/>
    <x v="0"/>
    <n v="4"/>
    <s v="Computer Science and Engineering"/>
    <x v="5"/>
    <n v="169000"/>
    <n v="154000"/>
    <n v="15000"/>
    <n v="0"/>
    <x v="0"/>
    <x v="0"/>
    <x v="8"/>
    <x v="7"/>
    <s v="India"/>
    <s v="navyaray@example.org"/>
    <n v="917719000000"/>
    <x v="4"/>
    <n v="90"/>
    <n v="68"/>
    <s v="Non-AC"/>
    <x v="39"/>
    <d v="2003-02-19T00:00:00"/>
    <n v="15.1789737171464"/>
    <x v="2"/>
    <n v="676000"/>
    <n v="736000"/>
  </r>
  <r>
    <s v="Anahi Gour"/>
    <s v="STU341"/>
    <s v="ENR341"/>
    <x v="5"/>
    <x v="0"/>
    <n v="4"/>
    <s v="Computer Science and Engineering"/>
    <x v="2"/>
    <n v="169000"/>
    <n v="154000"/>
    <n v="15000"/>
    <n v="0"/>
    <x v="0"/>
    <x v="2"/>
    <x v="9"/>
    <x v="8"/>
    <s v="India"/>
    <s v="parinaazsood@example.org"/>
    <n v="917539000000"/>
    <x v="2"/>
    <n v="90"/>
    <n v="71"/>
    <s v="AC"/>
    <x v="40"/>
    <d v="2002-03-13T00:00:00"/>
    <n v="15.1789737171464"/>
    <x v="6"/>
    <n v="676000"/>
    <n v="736000"/>
  </r>
  <r>
    <s v="Darshit Gaba"/>
    <s v="STU367"/>
    <s v="ENR367"/>
    <x v="0"/>
    <x v="1"/>
    <n v="2"/>
    <s v="Computer Science Engineering"/>
    <x v="1"/>
    <n v="92000"/>
    <n v="77000"/>
    <n v="15000"/>
    <n v="0"/>
    <x v="0"/>
    <x v="1"/>
    <x v="6"/>
    <x v="3"/>
    <s v="India"/>
    <s v="frajagopal@example.org"/>
    <n v="919402000000"/>
    <x v="4"/>
    <n v="90"/>
    <n v="77"/>
    <s v="AC"/>
    <x v="41"/>
    <d v="1997-12-02T00:00:00"/>
    <n v="15.1789737171464"/>
    <x v="9"/>
    <n v="184000"/>
    <n v="214000"/>
  </r>
  <r>
    <s v="Dhanush Seth"/>
    <s v="STU280"/>
    <s v="ENR280"/>
    <x v="0"/>
    <x v="0"/>
    <n v="4"/>
    <s v="Computer Science and Engineering"/>
    <x v="7"/>
    <n v="169000"/>
    <n v="154000"/>
    <n v="15000"/>
    <n v="0"/>
    <x v="0"/>
    <x v="2"/>
    <x v="1"/>
    <x v="1"/>
    <s v="India"/>
    <s v="bhaminikibe@example.net"/>
    <n v="919447000000"/>
    <x v="2"/>
    <n v="90"/>
    <n v="87"/>
    <s v="AC"/>
    <x v="42"/>
    <d v="2005-03-06T00:00:00"/>
    <n v="15.1789737171464"/>
    <x v="5"/>
    <n v="676000"/>
    <n v="736000"/>
  </r>
  <r>
    <s v="Nehmat Gupta"/>
    <s v="STU348"/>
    <s v="ENR348"/>
    <x v="0"/>
    <x v="0"/>
    <n v="4"/>
    <s v="Computer Science and Engineering"/>
    <x v="1"/>
    <n v="169000"/>
    <n v="154000"/>
    <n v="15000"/>
    <n v="0"/>
    <x v="0"/>
    <x v="1"/>
    <x v="7"/>
    <x v="6"/>
    <s v="India"/>
    <s v="lalavedika@example.net"/>
    <n v="917451000000"/>
    <x v="4"/>
    <n v="90"/>
    <n v="84"/>
    <s v="Non-AC"/>
    <x v="43"/>
    <d v="2004-04-01T00:00:00"/>
    <n v="15.1789737171464"/>
    <x v="3"/>
    <n v="676000"/>
    <n v="736000"/>
  </r>
  <r>
    <s v="Hiran Mani"/>
    <s v="STU1026"/>
    <s v="ENR1026"/>
    <x v="2"/>
    <x v="0"/>
    <n v="4"/>
    <s v="Computer Science and Engineering"/>
    <x v="4"/>
    <n v="169000"/>
    <n v="154000"/>
    <n v="15000"/>
    <n v="0"/>
    <x v="0"/>
    <x v="2"/>
    <x v="2"/>
    <x v="2"/>
    <s v="India"/>
    <s v="basaksumer@example.com"/>
    <n v="919827000000"/>
    <x v="3"/>
    <n v="90"/>
    <n v="74"/>
    <s v="AC"/>
    <x v="44"/>
    <d v="2000-07-14T00:00:00"/>
    <n v="15.1789737171464"/>
    <x v="0"/>
    <n v="676000"/>
    <n v="736000"/>
  </r>
  <r>
    <s v="Raghav Hayer"/>
    <s v="STU256"/>
    <s v="ENR256"/>
    <x v="0"/>
    <x v="0"/>
    <n v="4"/>
    <s v="Computer Science and Engineering"/>
    <x v="9"/>
    <n v="169000"/>
    <n v="154000"/>
    <n v="15000"/>
    <n v="0"/>
    <x v="0"/>
    <x v="1"/>
    <x v="7"/>
    <x v="6"/>
    <s v="India"/>
    <s v="tkhurana@example.net"/>
    <n v="918512000000"/>
    <x v="4"/>
    <n v="90"/>
    <n v="89"/>
    <s v="Non-AC"/>
    <x v="45"/>
    <d v="2006-05-08T00:00:00"/>
    <n v="15.1789737171464"/>
    <x v="4"/>
    <n v="676000"/>
    <n v="736000"/>
  </r>
  <r>
    <s v="Ojas Sunder"/>
    <s v="STU986"/>
    <s v="ENR986"/>
    <x v="5"/>
    <x v="0"/>
    <n v="4"/>
    <s v="Computer Science and Engineering"/>
    <x v="2"/>
    <n v="169000"/>
    <n v="154000"/>
    <n v="15000"/>
    <n v="0"/>
    <x v="0"/>
    <x v="2"/>
    <x v="6"/>
    <x v="3"/>
    <s v="India"/>
    <s v="nakul89@example.net"/>
    <n v="919514000000"/>
    <x v="0"/>
    <n v="90"/>
    <n v="67"/>
    <s v="Non-AC"/>
    <x v="46"/>
    <d v="2001-04-22T00:00:00"/>
    <n v="15.1789737171464"/>
    <x v="0"/>
    <n v="676000"/>
    <n v="736000"/>
  </r>
  <r>
    <s v="Sumer Thakur"/>
    <s v="STU350"/>
    <s v="ENR350"/>
    <x v="3"/>
    <x v="0"/>
    <n v="4"/>
    <s v="Computer Science and Engineering"/>
    <x v="3"/>
    <n v="169000"/>
    <n v="154000"/>
    <n v="15000"/>
    <n v="0"/>
    <x v="0"/>
    <x v="2"/>
    <x v="3"/>
    <x v="3"/>
    <s v="India"/>
    <s v="farhan78@example.com"/>
    <n v="918609000000"/>
    <x v="0"/>
    <n v="90"/>
    <n v="64"/>
    <s v="AC"/>
    <x v="47"/>
    <d v="2004-07-22T00:00:00"/>
    <n v="15.1789737171464"/>
    <x v="5"/>
    <n v="676000"/>
    <n v="736000"/>
  </r>
  <r>
    <s v="Misha Andra"/>
    <s v="STU1044"/>
    <s v="ENR1044"/>
    <x v="5"/>
    <x v="0"/>
    <n v="4"/>
    <s v="Computer Science and Engineering"/>
    <x v="0"/>
    <n v="169000"/>
    <n v="154000"/>
    <n v="15000"/>
    <n v="0"/>
    <x v="0"/>
    <x v="2"/>
    <x v="5"/>
    <x v="5"/>
    <s v="India"/>
    <s v="arnavbarad@example.net"/>
    <n v="918838000000"/>
    <x v="0"/>
    <n v="90"/>
    <n v="91"/>
    <s v="Non-AC"/>
    <x v="48"/>
    <d v="2002-07-23T00:00:00"/>
    <n v="15.1789737171464"/>
    <x v="2"/>
    <n v="676000"/>
    <n v="736000"/>
  </r>
  <r>
    <s v="Lakshit Rana"/>
    <s v="STU322"/>
    <s v="ENR322"/>
    <x v="3"/>
    <x v="0"/>
    <n v="4"/>
    <s v="Computer Science and Engineering"/>
    <x v="1"/>
    <n v="169000"/>
    <n v="154000"/>
    <n v="15000"/>
    <n v="0"/>
    <x v="0"/>
    <x v="0"/>
    <x v="9"/>
    <x v="8"/>
    <s v="India"/>
    <s v="rohan25@example.com"/>
    <n v="918710000000"/>
    <x v="2"/>
    <n v="90"/>
    <n v="60"/>
    <s v="AC"/>
    <x v="49"/>
    <d v="2003-09-06T00:00:00"/>
    <n v="15.1789737171464"/>
    <x v="3"/>
    <n v="676000"/>
    <n v="736000"/>
  </r>
  <r>
    <s v="Anahita Deshmukh"/>
    <s v="STU017"/>
    <s v="ENR017"/>
    <x v="3"/>
    <x v="0"/>
    <n v="4"/>
    <s v="Computer Science and Engineering"/>
    <x v="0"/>
    <n v="169000"/>
    <n v="154000"/>
    <n v="15000"/>
    <n v="0"/>
    <x v="0"/>
    <x v="1"/>
    <x v="7"/>
    <x v="6"/>
    <s v="India"/>
    <s v="goelaradhya@example.com"/>
    <n v="917206000000"/>
    <x v="3"/>
    <n v="90"/>
    <n v="68"/>
    <s v="Non-AC"/>
    <x v="50"/>
    <d v="2005-08-25T00:00:00"/>
    <n v="15.1789737171464"/>
    <x v="4"/>
    <n v="676000"/>
    <n v="736000"/>
  </r>
  <r>
    <s v="Kiara Ramanathan"/>
    <s v="STU359"/>
    <s v="ENR359"/>
    <x v="4"/>
    <x v="1"/>
    <n v="2"/>
    <s v="Computer Science Engineering"/>
    <x v="6"/>
    <n v="92000"/>
    <n v="77000"/>
    <n v="15000"/>
    <n v="0"/>
    <x v="0"/>
    <x v="1"/>
    <x v="5"/>
    <x v="5"/>
    <s v="India"/>
    <s v="tanya87@example.com"/>
    <n v="919488000000"/>
    <x v="3"/>
    <n v="90"/>
    <n v="89"/>
    <s v="AC"/>
    <x v="51"/>
    <d v="1998-10-30T00:00:00"/>
    <n v="15.1789737171464"/>
    <x v="7"/>
    <n v="184000"/>
    <n v="214000"/>
  </r>
  <r>
    <s v="Nehmat Divan"/>
    <s v="STU315"/>
    <s v="ENR315"/>
    <x v="2"/>
    <x v="0"/>
    <n v="4"/>
    <s v="Computer Science and Engineering"/>
    <x v="0"/>
    <n v="169000"/>
    <n v="154000"/>
    <n v="15000"/>
    <n v="0"/>
    <x v="0"/>
    <x v="0"/>
    <x v="1"/>
    <x v="1"/>
    <s v="India"/>
    <s v="kavyadevan@example.com"/>
    <n v="917162000000"/>
    <x v="4"/>
    <n v="90"/>
    <n v="88"/>
    <s v="AC"/>
    <x v="52"/>
    <d v="2004-08-29T00:00:00"/>
    <n v="15.1789737171464"/>
    <x v="5"/>
    <n v="676000"/>
    <n v="736000"/>
  </r>
  <r>
    <s v="Ryan Thakur"/>
    <s v="STU1055"/>
    <s v="ENR1055"/>
    <x v="5"/>
    <x v="0"/>
    <n v="4"/>
    <s v="Computer Science and Engineering"/>
    <x v="6"/>
    <n v="169000"/>
    <n v="154000"/>
    <n v="15000"/>
    <n v="0"/>
    <x v="0"/>
    <x v="0"/>
    <x v="6"/>
    <x v="3"/>
    <s v="India"/>
    <s v="zsrinivasan@example.com"/>
    <n v="917883000000"/>
    <x v="3"/>
    <n v="90"/>
    <n v="77"/>
    <s v="Non-AC"/>
    <x v="53"/>
    <d v="2006-04-04T00:00:00"/>
    <n v="15.1789737171464"/>
    <x v="4"/>
    <n v="676000"/>
    <n v="736000"/>
  </r>
  <r>
    <s v="Kaira Bhargava"/>
    <s v="STU774"/>
    <s v="ENR774"/>
    <x v="2"/>
    <x v="0"/>
    <n v="4"/>
    <s v="Computer Science and Engineering"/>
    <x v="9"/>
    <n v="169000"/>
    <n v="154000"/>
    <n v="15000"/>
    <n v="0"/>
    <x v="0"/>
    <x v="1"/>
    <x v="5"/>
    <x v="5"/>
    <s v="India"/>
    <s v="kabirsubramanian@example.net"/>
    <n v="919385000000"/>
    <x v="1"/>
    <n v="89"/>
    <n v="63"/>
    <s v="Non-AC"/>
    <x v="54"/>
    <d v="2006-04-15T00:00:00"/>
    <n v="14.1789737171464"/>
    <x v="4"/>
    <n v="676000"/>
    <n v="736000"/>
  </r>
  <r>
    <s v="Myra Sinha"/>
    <s v="STU303"/>
    <s v="ENR303"/>
    <x v="2"/>
    <x v="0"/>
    <n v="4"/>
    <s v="Computer Science and Engineering"/>
    <x v="8"/>
    <n v="169000"/>
    <n v="154000"/>
    <n v="15000"/>
    <n v="0"/>
    <x v="0"/>
    <x v="1"/>
    <x v="7"/>
    <x v="6"/>
    <s v="India"/>
    <s v="uchandra@example.org"/>
    <n v="918794000000"/>
    <x v="2"/>
    <n v="89"/>
    <n v="74"/>
    <s v="Non-AC"/>
    <x v="55"/>
    <d v="2001-09-18T00:00:00"/>
    <n v="14.1789737171464"/>
    <x v="6"/>
    <n v="676000"/>
    <n v="736000"/>
  </r>
  <r>
    <s v="Samar Borra"/>
    <s v="STU563"/>
    <s v="ENR563"/>
    <x v="3"/>
    <x v="0"/>
    <n v="4"/>
    <s v="Computer Science and Engineering"/>
    <x v="2"/>
    <n v="169000"/>
    <n v="154000"/>
    <n v="15000"/>
    <n v="0"/>
    <x v="0"/>
    <x v="2"/>
    <x v="3"/>
    <x v="3"/>
    <s v="India"/>
    <s v="adiralata@example.org"/>
    <n v="918429000000"/>
    <x v="4"/>
    <n v="89"/>
    <n v="81"/>
    <s v="Non-AC"/>
    <x v="56"/>
    <d v="2001-09-13T00:00:00"/>
    <n v="14.1789737171464"/>
    <x v="6"/>
    <n v="676000"/>
    <n v="736000"/>
  </r>
  <r>
    <s v="Navya Bahl"/>
    <s v="STU268"/>
    <s v="ENR268"/>
    <x v="4"/>
    <x v="1"/>
    <n v="2"/>
    <s v="Computer Science Engineering"/>
    <x v="5"/>
    <n v="92000"/>
    <n v="77000"/>
    <n v="15000"/>
    <n v="0"/>
    <x v="0"/>
    <x v="2"/>
    <x v="9"/>
    <x v="8"/>
    <s v="India"/>
    <s v="wallacharvi@example.org"/>
    <n v="918076000000"/>
    <x v="3"/>
    <n v="89"/>
    <n v="71"/>
    <s v="AC"/>
    <x v="57"/>
    <d v="1998-09-11T00:00:00"/>
    <n v="14.1789737171464"/>
    <x v="7"/>
    <n v="184000"/>
    <n v="214000"/>
  </r>
  <r>
    <s v="Anika Ratti"/>
    <s v="STU475"/>
    <s v="ENR475"/>
    <x v="3"/>
    <x v="1"/>
    <n v="2"/>
    <s v="Computer Science Engineering"/>
    <x v="6"/>
    <n v="92000"/>
    <n v="77000"/>
    <n v="15000"/>
    <n v="0"/>
    <x v="0"/>
    <x v="0"/>
    <x v="9"/>
    <x v="8"/>
    <s v="India"/>
    <s v="onkar37@example.net"/>
    <n v="919752000000"/>
    <x v="3"/>
    <n v="89"/>
    <n v="83"/>
    <s v="Non-AC"/>
    <x v="58"/>
    <d v="1997-12-13T00:00:00"/>
    <n v="14.1789737171464"/>
    <x v="9"/>
    <n v="184000"/>
    <n v="214000"/>
  </r>
  <r>
    <s v="Aarav Sawhney"/>
    <s v="STU253"/>
    <s v="ENR253"/>
    <x v="4"/>
    <x v="1"/>
    <n v="2"/>
    <s v="Computer Science Engineering"/>
    <x v="6"/>
    <n v="92000"/>
    <n v="77000"/>
    <n v="15000"/>
    <n v="0"/>
    <x v="0"/>
    <x v="2"/>
    <x v="8"/>
    <x v="7"/>
    <s v="India"/>
    <s v="sandhuaarna@example.net"/>
    <n v="917528000000"/>
    <x v="2"/>
    <n v="89"/>
    <n v="77"/>
    <s v="AC"/>
    <x v="59"/>
    <d v="2001-05-07T00:00:00"/>
    <n v="14.1789737171464"/>
    <x v="0"/>
    <n v="184000"/>
    <n v="214000"/>
  </r>
  <r>
    <s v="Dhanush Chopra"/>
    <s v="STU234"/>
    <s v="ENR234"/>
    <x v="0"/>
    <x v="0"/>
    <n v="4"/>
    <s v="Computer Science and Engineering"/>
    <x v="7"/>
    <n v="169000"/>
    <n v="154000"/>
    <n v="15000"/>
    <n v="0"/>
    <x v="0"/>
    <x v="1"/>
    <x v="2"/>
    <x v="2"/>
    <s v="India"/>
    <s v="fatehaurora@example.com"/>
    <n v="918504000000"/>
    <x v="1"/>
    <n v="89"/>
    <n v="77"/>
    <s v="Non-AC"/>
    <x v="60"/>
    <d v="2003-03-31T00:00:00"/>
    <n v="14.1789737171464"/>
    <x v="2"/>
    <n v="676000"/>
    <n v="736000"/>
  </r>
  <r>
    <s v="Madhup Johal"/>
    <s v="STU551"/>
    <s v="ENR551"/>
    <x v="4"/>
    <x v="0"/>
    <n v="4"/>
    <s v="Computer Science and Engineering"/>
    <x v="4"/>
    <n v="169000"/>
    <n v="154000"/>
    <n v="15000"/>
    <n v="0"/>
    <x v="0"/>
    <x v="1"/>
    <x v="1"/>
    <x v="1"/>
    <s v="India"/>
    <s v="zachariahyakshit@example.com"/>
    <n v="919115000000"/>
    <x v="2"/>
    <n v="89"/>
    <n v="68"/>
    <s v="Non-AC"/>
    <x v="61"/>
    <d v="2006-01-27T00:00:00"/>
    <n v="14.1789737171464"/>
    <x v="4"/>
    <n v="676000"/>
    <n v="736000"/>
  </r>
  <r>
    <s v="Navya Sachdev"/>
    <s v="STU957"/>
    <s v="ENR957"/>
    <x v="2"/>
    <x v="0"/>
    <n v="4"/>
    <s v="Computer Science and Engineering"/>
    <x v="2"/>
    <n v="169000"/>
    <n v="154000"/>
    <n v="15000"/>
    <n v="0"/>
    <x v="0"/>
    <x v="2"/>
    <x v="2"/>
    <x v="2"/>
    <s v="India"/>
    <s v="mamootyandra@example.org"/>
    <n v="918228000000"/>
    <x v="1"/>
    <n v="89"/>
    <n v="68"/>
    <s v="AC"/>
    <x v="62"/>
    <d v="2003-01-25T00:00:00"/>
    <n v="14.1789737171464"/>
    <x v="2"/>
    <n v="676000"/>
    <n v="736000"/>
  </r>
  <r>
    <s v="Nirvaan Vaidya"/>
    <s v="STU469"/>
    <s v="ENR469"/>
    <x v="3"/>
    <x v="1"/>
    <n v="2"/>
    <s v="Computer Science Engineering"/>
    <x v="3"/>
    <n v="92000"/>
    <n v="77000"/>
    <n v="15000"/>
    <n v="0"/>
    <x v="0"/>
    <x v="1"/>
    <x v="1"/>
    <x v="1"/>
    <s v="India"/>
    <s v="myravarkey@example.net"/>
    <n v="917263000000"/>
    <x v="1"/>
    <n v="89"/>
    <n v="73"/>
    <s v="Non-AC"/>
    <x v="63"/>
    <d v="2001-02-26T00:00:00"/>
    <n v="14.1789737171464"/>
    <x v="0"/>
    <n v="184000"/>
    <n v="214000"/>
  </r>
  <r>
    <s v="Samaira Cherian"/>
    <s v="STU1034"/>
    <s v="ENR1034"/>
    <x v="2"/>
    <x v="0"/>
    <n v="4"/>
    <s v="Computer Science and Engineering"/>
    <x v="9"/>
    <n v="169000"/>
    <n v="154000"/>
    <n v="15000"/>
    <n v="0"/>
    <x v="0"/>
    <x v="0"/>
    <x v="7"/>
    <x v="6"/>
    <s v="India"/>
    <s v="shayakkoshy@example.net"/>
    <n v="917335000000"/>
    <x v="0"/>
    <n v="89"/>
    <n v="66"/>
    <s v="Non-AC"/>
    <x v="64"/>
    <d v="2005-04-14T00:00:00"/>
    <n v="14.1789737171464"/>
    <x v="5"/>
    <n v="676000"/>
    <n v="736000"/>
  </r>
  <r>
    <s v="Divyansh Mann"/>
    <s v="STU467"/>
    <s v="ENR467"/>
    <x v="5"/>
    <x v="1"/>
    <n v="2"/>
    <s v="Computer Science Engineering"/>
    <x v="5"/>
    <n v="92000"/>
    <n v="77000"/>
    <n v="15000"/>
    <n v="0"/>
    <x v="0"/>
    <x v="2"/>
    <x v="1"/>
    <x v="1"/>
    <s v="India"/>
    <s v="bhavinsen@example.com"/>
    <n v="919524000000"/>
    <x v="3"/>
    <n v="89"/>
    <n v="62"/>
    <s v="AC"/>
    <x v="65"/>
    <d v="2001-04-18T00:00:00"/>
    <n v="14.1789737171464"/>
    <x v="0"/>
    <n v="184000"/>
    <n v="214000"/>
  </r>
  <r>
    <s v="Adah Rama"/>
    <s v="STU727"/>
    <s v="ENR727"/>
    <x v="5"/>
    <x v="0"/>
    <n v="4"/>
    <s v="Computer Science and Engineering"/>
    <x v="1"/>
    <n v="169000"/>
    <n v="154000"/>
    <n v="15000"/>
    <n v="0"/>
    <x v="0"/>
    <x v="2"/>
    <x v="8"/>
    <x v="7"/>
    <s v="India"/>
    <s v="kadakiayashvi@example.com"/>
    <n v="917959000000"/>
    <x v="3"/>
    <n v="89"/>
    <n v="62"/>
    <s v="Non-AC"/>
    <x v="66"/>
    <d v="2005-05-31T00:00:00"/>
    <n v="14.1789737171464"/>
    <x v="5"/>
    <n v="676000"/>
    <n v="736000"/>
  </r>
  <r>
    <s v="Neysa Gade"/>
    <s v="STU1041"/>
    <s v="ENR1041"/>
    <x v="2"/>
    <x v="0"/>
    <n v="4"/>
    <s v="Computer Science and Engineering"/>
    <x v="7"/>
    <n v="169000"/>
    <n v="154000"/>
    <n v="15000"/>
    <n v="0"/>
    <x v="0"/>
    <x v="1"/>
    <x v="3"/>
    <x v="3"/>
    <s v="India"/>
    <s v="sharafindranil@example.org"/>
    <n v="917713000000"/>
    <x v="3"/>
    <n v="89"/>
    <n v="87"/>
    <s v="Non-AC"/>
    <x v="67"/>
    <d v="2005-05-22T00:00:00"/>
    <n v="14.1789737171464"/>
    <x v="5"/>
    <n v="676000"/>
    <n v="736000"/>
  </r>
  <r>
    <s v="Navya Acharya"/>
    <s v="STU110"/>
    <s v="ENR110"/>
    <x v="5"/>
    <x v="0"/>
    <n v="4"/>
    <s v="Computer Science and Engineering"/>
    <x v="7"/>
    <n v="169000"/>
    <n v="154000"/>
    <n v="15000"/>
    <n v="0"/>
    <x v="0"/>
    <x v="1"/>
    <x v="7"/>
    <x v="6"/>
    <s v="India"/>
    <s v="pmanne@example.net"/>
    <n v="918860000000"/>
    <x v="4"/>
    <n v="89"/>
    <n v="89"/>
    <s v="AC"/>
    <x v="68"/>
    <d v="2006-06-19T00:00:00"/>
    <n v="14.1789737171464"/>
    <x v="4"/>
    <n v="676000"/>
    <n v="736000"/>
  </r>
  <r>
    <s v="Yasmin Arora"/>
    <s v="STU196"/>
    <s v="ENR196"/>
    <x v="0"/>
    <x v="1"/>
    <n v="2"/>
    <s v="Computer Science Engineering"/>
    <x v="4"/>
    <n v="92000"/>
    <n v="77000"/>
    <n v="15000"/>
    <n v="0"/>
    <x v="0"/>
    <x v="2"/>
    <x v="1"/>
    <x v="1"/>
    <s v="India"/>
    <s v="shayak04@example.com"/>
    <n v="917370000000"/>
    <x v="1"/>
    <n v="89"/>
    <n v="72"/>
    <s v="Non-AC"/>
    <x v="69"/>
    <d v="1999-05-09T00:00:00"/>
    <n v="14.1789737171464"/>
    <x v="7"/>
    <n v="184000"/>
    <n v="214000"/>
  </r>
  <r>
    <s v="Tanya Chaudhari"/>
    <s v="STU112"/>
    <s v="ENR112"/>
    <x v="1"/>
    <x v="0"/>
    <n v="4"/>
    <s v="Computer Science and Engineering"/>
    <x v="5"/>
    <n v="169000"/>
    <n v="154000"/>
    <n v="15000"/>
    <n v="0"/>
    <x v="0"/>
    <x v="2"/>
    <x v="0"/>
    <x v="0"/>
    <s v="India"/>
    <s v="riya41@example.net"/>
    <n v="919294000000"/>
    <x v="3"/>
    <n v="89"/>
    <n v="85"/>
    <s v="AC"/>
    <x v="70"/>
    <d v="2004-07-10T00:00:00"/>
    <n v="14.1789737171464"/>
    <x v="5"/>
    <n v="676000"/>
    <n v="736000"/>
  </r>
  <r>
    <s v="Myra Din"/>
    <s v="STU1049"/>
    <s v="ENR1049"/>
    <x v="4"/>
    <x v="0"/>
    <n v="4"/>
    <s v="Computer Science and Engineering"/>
    <x v="9"/>
    <n v="169000"/>
    <n v="154000"/>
    <n v="15000"/>
    <n v="0"/>
    <x v="0"/>
    <x v="2"/>
    <x v="2"/>
    <x v="2"/>
    <s v="India"/>
    <s v="arhaandugar@example.com"/>
    <n v="918416000000"/>
    <x v="2"/>
    <n v="89"/>
    <n v="88"/>
    <s v="AC"/>
    <x v="71"/>
    <d v="2004-07-16T00:00:00"/>
    <n v="14.1789737171464"/>
    <x v="5"/>
    <n v="676000"/>
    <n v="736000"/>
  </r>
  <r>
    <s v="Kabir Kothari"/>
    <s v="STU698"/>
    <s v="ENR698"/>
    <x v="5"/>
    <x v="0"/>
    <n v="4"/>
    <s v="Computer Science and Engineering"/>
    <x v="8"/>
    <n v="169000"/>
    <n v="154000"/>
    <n v="15000"/>
    <n v="0"/>
    <x v="0"/>
    <x v="2"/>
    <x v="5"/>
    <x v="5"/>
    <s v="India"/>
    <s v="hridaan25@example.net"/>
    <n v="917420000000"/>
    <x v="1"/>
    <n v="89"/>
    <n v="66"/>
    <s v="Non-AC"/>
    <x v="72"/>
    <d v="2005-07-15T00:00:00"/>
    <n v="14.1789737171464"/>
    <x v="4"/>
    <n v="676000"/>
    <n v="736000"/>
  </r>
  <r>
    <s v="Inaaya  Dash"/>
    <s v="STU663"/>
    <s v="ENR663"/>
    <x v="2"/>
    <x v="0"/>
    <n v="4"/>
    <s v="Computer Science and Engineering"/>
    <x v="6"/>
    <n v="169000"/>
    <n v="154000"/>
    <n v="15000"/>
    <n v="0"/>
    <x v="0"/>
    <x v="2"/>
    <x v="2"/>
    <x v="2"/>
    <s v="India"/>
    <s v="korpalgokul@example.net"/>
    <n v="919242000000"/>
    <x v="1"/>
    <n v="89"/>
    <n v="63"/>
    <s v="Non-AC"/>
    <x v="73"/>
    <d v="2004-08-18T00:00:00"/>
    <n v="14.1789737171464"/>
    <x v="5"/>
    <n v="676000"/>
    <n v="736000"/>
  </r>
  <r>
    <s v="Devansh Kala"/>
    <s v="STU670"/>
    <s v="ENR670"/>
    <x v="2"/>
    <x v="0"/>
    <n v="4"/>
    <s v="Computer Science and Engineering"/>
    <x v="2"/>
    <n v="169000"/>
    <n v="154000"/>
    <n v="15000"/>
    <n v="0"/>
    <x v="0"/>
    <x v="1"/>
    <x v="5"/>
    <x v="5"/>
    <s v="India"/>
    <s v="advikasrinivas@example.com"/>
    <n v="919035000000"/>
    <x v="3"/>
    <n v="89"/>
    <n v="69"/>
    <s v="AC"/>
    <x v="74"/>
    <d v="2003-10-27T00:00:00"/>
    <n v="14.1789737171464"/>
    <x v="3"/>
    <n v="676000"/>
    <n v="736000"/>
  </r>
  <r>
    <s v="Faiyaz Thakkar"/>
    <s v="STU678"/>
    <s v="ENR678"/>
    <x v="5"/>
    <x v="0"/>
    <n v="4"/>
    <s v="Computer Science and Engineering"/>
    <x v="8"/>
    <n v="169000"/>
    <n v="154000"/>
    <n v="15000"/>
    <n v="0"/>
    <x v="0"/>
    <x v="2"/>
    <x v="1"/>
    <x v="1"/>
    <s v="India"/>
    <s v="twalla@example.com"/>
    <n v="917728000000"/>
    <x v="4"/>
    <n v="89"/>
    <n v="67"/>
    <s v="Non-AC"/>
    <x v="75"/>
    <d v="2004-01-09T00:00:00"/>
    <n v="14.1789737171464"/>
    <x v="3"/>
    <n v="676000"/>
    <n v="736000"/>
  </r>
  <r>
    <s v="Kabir Tiwari"/>
    <s v="STU1016"/>
    <s v="ENR1016"/>
    <x v="1"/>
    <x v="0"/>
    <n v="4"/>
    <s v="Computer Science and Engineering"/>
    <x v="1"/>
    <n v="169000"/>
    <n v="154000"/>
    <n v="15000"/>
    <n v="0"/>
    <x v="0"/>
    <x v="1"/>
    <x v="4"/>
    <x v="4"/>
    <s v="India"/>
    <s v="lakshit76@example.org"/>
    <n v="919228000000"/>
    <x v="2"/>
    <n v="89"/>
    <n v="61"/>
    <s v="AC"/>
    <x v="76"/>
    <d v="2006-03-09T00:00:00"/>
    <n v="14.1789737171464"/>
    <x v="4"/>
    <n v="676000"/>
    <n v="736000"/>
  </r>
  <r>
    <s v="Aaina Balan"/>
    <s v="STU787"/>
    <s v="ENR787"/>
    <x v="1"/>
    <x v="0"/>
    <n v="4"/>
    <s v="Computer Science and Engineering"/>
    <x v="2"/>
    <n v="169000"/>
    <n v="154000"/>
    <n v="15000"/>
    <n v="0"/>
    <x v="0"/>
    <x v="1"/>
    <x v="2"/>
    <x v="2"/>
    <s v="India"/>
    <s v="barmanmisha@example.org"/>
    <n v="918445000000"/>
    <x v="3"/>
    <n v="89"/>
    <n v="69"/>
    <s v="AC"/>
    <x v="77"/>
    <d v="2005-06-26T00:00:00"/>
    <n v="14.1789737171464"/>
    <x v="5"/>
    <n v="676000"/>
    <n v="736000"/>
  </r>
  <r>
    <s v="Anahi Thaman"/>
    <s v="STU865"/>
    <s v="ENR865"/>
    <x v="0"/>
    <x v="0"/>
    <n v="4"/>
    <s v="Computer Science and Engineering"/>
    <x v="3"/>
    <n v="169000"/>
    <n v="154000"/>
    <n v="15000"/>
    <n v="0"/>
    <x v="0"/>
    <x v="1"/>
    <x v="0"/>
    <x v="0"/>
    <s v="India"/>
    <s v="borasaanvi@example.net"/>
    <n v="919367000000"/>
    <x v="4"/>
    <n v="89"/>
    <n v="85"/>
    <s v="AC"/>
    <x v="78"/>
    <d v="2004-02-12T00:00:00"/>
    <n v="14.1789737171464"/>
    <x v="3"/>
    <n v="676000"/>
    <n v="736000"/>
  </r>
  <r>
    <s v="Kiaan Garg"/>
    <s v="STU448"/>
    <s v="ENR448"/>
    <x v="5"/>
    <x v="0"/>
    <n v="4"/>
    <s v="Computer Science and Engineering"/>
    <x v="9"/>
    <n v="169000"/>
    <n v="154000"/>
    <n v="15000"/>
    <n v="0"/>
    <x v="0"/>
    <x v="0"/>
    <x v="6"/>
    <x v="3"/>
    <s v="India"/>
    <s v="zachariahrenee@example.net"/>
    <n v="919325000000"/>
    <x v="4"/>
    <n v="89"/>
    <n v="80"/>
    <s v="Non-AC"/>
    <x v="79"/>
    <d v="2004-03-16T00:00:00"/>
    <n v="14.1789737171464"/>
    <x v="3"/>
    <n v="676000"/>
    <n v="736000"/>
  </r>
  <r>
    <s v="Kimaya Sen"/>
    <s v="STU202"/>
    <s v="ENR202"/>
    <x v="3"/>
    <x v="0"/>
    <n v="4"/>
    <s v="Computer Science and Engineering"/>
    <x v="1"/>
    <n v="169000"/>
    <n v="154000"/>
    <n v="15000"/>
    <n v="0"/>
    <x v="0"/>
    <x v="0"/>
    <x v="4"/>
    <x v="4"/>
    <s v="India"/>
    <s v="vedikachaudhuri@example.com"/>
    <n v="918792000000"/>
    <x v="0"/>
    <n v="89"/>
    <n v="64"/>
    <s v="Non-AC"/>
    <x v="80"/>
    <d v="2001-06-03T00:00:00"/>
    <n v="14.1789737171464"/>
    <x v="0"/>
    <n v="676000"/>
    <n v="736000"/>
  </r>
  <r>
    <s v="Himmat Arya"/>
    <s v="STU1078"/>
    <s v="ENR1078"/>
    <x v="1"/>
    <x v="0"/>
    <n v="4"/>
    <s v="Computer Science and Engineering"/>
    <x v="6"/>
    <n v="169000"/>
    <n v="154000"/>
    <n v="15000"/>
    <n v="0"/>
    <x v="0"/>
    <x v="0"/>
    <x v="0"/>
    <x v="0"/>
    <s v="India"/>
    <s v="vedika42@example.com"/>
    <n v="919606000000"/>
    <x v="3"/>
    <n v="89"/>
    <n v="69"/>
    <s v="Non-AC"/>
    <x v="81"/>
    <d v="2001-02-01T00:00:00"/>
    <n v="14.1789737171464"/>
    <x v="0"/>
    <n v="676000"/>
    <n v="736000"/>
  </r>
  <r>
    <s v="Urvi Iyer"/>
    <s v="STU420"/>
    <s v="ENR420"/>
    <x v="2"/>
    <x v="0"/>
    <n v="4"/>
    <s v="Computer Science and Engineering"/>
    <x v="3"/>
    <n v="169000"/>
    <n v="154000"/>
    <n v="15000"/>
    <n v="0"/>
    <x v="0"/>
    <x v="1"/>
    <x v="4"/>
    <x v="4"/>
    <s v="India"/>
    <s v="yakshitwagle@example.org"/>
    <n v="918503000000"/>
    <x v="3"/>
    <n v="89"/>
    <n v="84"/>
    <s v="Non-AC"/>
    <x v="82"/>
    <d v="2002-10-29T00:00:00"/>
    <n v="14.1789737171464"/>
    <x v="2"/>
    <n v="676000"/>
    <n v="736000"/>
  </r>
  <r>
    <s v="Hridaan Boase"/>
    <s v="STU895"/>
    <s v="ENR895"/>
    <x v="0"/>
    <x v="0"/>
    <n v="4"/>
    <s v="Computer Science and Engineering"/>
    <x v="7"/>
    <n v="169000"/>
    <n v="154000"/>
    <n v="15000"/>
    <n v="0"/>
    <x v="0"/>
    <x v="1"/>
    <x v="9"/>
    <x v="8"/>
    <s v="India"/>
    <s v="farhansarin@example.com"/>
    <n v="918320000000"/>
    <x v="3"/>
    <n v="89"/>
    <n v="76"/>
    <s v="AC"/>
    <x v="83"/>
    <d v="2003-08-31T00:00:00"/>
    <n v="14.1789737171464"/>
    <x v="3"/>
    <n v="676000"/>
    <n v="736000"/>
  </r>
  <r>
    <s v="Miraya Chauhan"/>
    <s v="STU431"/>
    <s v="ENR431"/>
    <x v="5"/>
    <x v="1"/>
    <n v="2"/>
    <s v="Computer Science Engineering"/>
    <x v="1"/>
    <n v="92000"/>
    <n v="77000"/>
    <n v="15000"/>
    <n v="0"/>
    <x v="0"/>
    <x v="2"/>
    <x v="5"/>
    <x v="5"/>
    <s v="India"/>
    <s v="uthkarsh18@example.com"/>
    <n v="918743000000"/>
    <x v="4"/>
    <n v="89"/>
    <n v="85"/>
    <s v="AC"/>
    <x v="84"/>
    <d v="1999-01-13T00:00:00"/>
    <n v="14.1789737171464"/>
    <x v="7"/>
    <n v="184000"/>
    <n v="214000"/>
  </r>
  <r>
    <s v="Stuvan Sood"/>
    <s v="STU349"/>
    <s v="ENR349"/>
    <x v="5"/>
    <x v="0"/>
    <n v="4"/>
    <s v="Computer Science and Engineering"/>
    <x v="9"/>
    <n v="169000"/>
    <n v="154000"/>
    <n v="15000"/>
    <n v="0"/>
    <x v="0"/>
    <x v="1"/>
    <x v="2"/>
    <x v="2"/>
    <s v="India"/>
    <s v="jchowdhury@example.org"/>
    <n v="917707000000"/>
    <x v="3"/>
    <n v="89"/>
    <n v="67"/>
    <s v="Non-AC"/>
    <x v="85"/>
    <d v="2001-02-14T00:00:00"/>
    <n v="14.1789737171464"/>
    <x v="0"/>
    <n v="676000"/>
    <n v="736000"/>
  </r>
  <r>
    <s v="Diya Keer"/>
    <s v="STU1128"/>
    <s v="ENR1128"/>
    <x v="3"/>
    <x v="0"/>
    <n v="4"/>
    <s v="Computer Science and Engineering"/>
    <x v="1"/>
    <n v="169000"/>
    <n v="154000"/>
    <n v="15000"/>
    <n v="0"/>
    <x v="0"/>
    <x v="2"/>
    <x v="2"/>
    <x v="2"/>
    <s v="India"/>
    <s v="mandaldivij@example.net"/>
    <n v="917979000000"/>
    <x v="4"/>
    <n v="89"/>
    <n v="85"/>
    <s v="Non-AC"/>
    <x v="86"/>
    <d v="2003-12-07T00:00:00"/>
    <n v="14.1789737171464"/>
    <x v="3"/>
    <n v="676000"/>
    <n v="736000"/>
  </r>
  <r>
    <s v="Aniruddh Lal"/>
    <s v="STU873"/>
    <s v="ENR873"/>
    <x v="4"/>
    <x v="0"/>
    <n v="4"/>
    <s v="Computer Science and Engineering"/>
    <x v="1"/>
    <n v="169000"/>
    <n v="154000"/>
    <n v="15000"/>
    <n v="0"/>
    <x v="0"/>
    <x v="1"/>
    <x v="6"/>
    <x v="3"/>
    <s v="India"/>
    <s v="dbrahmbhatt@example.org"/>
    <n v="919203000000"/>
    <x v="4"/>
    <n v="89"/>
    <n v="68"/>
    <s v="Non-AC"/>
    <x v="87"/>
    <d v="2000-10-28T00:00:00"/>
    <n v="14.1789737171464"/>
    <x v="0"/>
    <n v="676000"/>
    <n v="736000"/>
  </r>
  <r>
    <s v="Shalv Sastry"/>
    <s v="STU345"/>
    <s v="ENR345"/>
    <x v="1"/>
    <x v="0"/>
    <n v="4"/>
    <s v="Computer Science and Engineering"/>
    <x v="0"/>
    <n v="169000"/>
    <n v="154000"/>
    <n v="15000"/>
    <n v="0"/>
    <x v="0"/>
    <x v="0"/>
    <x v="7"/>
    <x v="6"/>
    <s v="India"/>
    <s v="bhagatdevansh@example.com"/>
    <n v="918664000000"/>
    <x v="0"/>
    <n v="89"/>
    <n v="91"/>
    <s v="AC"/>
    <x v="88"/>
    <d v="2003-12-02T00:00:00"/>
    <n v="14.1789737171464"/>
    <x v="3"/>
    <n v="676000"/>
    <n v="736000"/>
  </r>
  <r>
    <s v="Yasmin Swaminathan"/>
    <s v="STU1135"/>
    <s v="ENR1135"/>
    <x v="2"/>
    <x v="0"/>
    <n v="4"/>
    <s v="Computer Science and Engineering"/>
    <x v="4"/>
    <n v="169000"/>
    <n v="154000"/>
    <n v="15000"/>
    <n v="0"/>
    <x v="0"/>
    <x v="2"/>
    <x v="7"/>
    <x v="6"/>
    <s v="India"/>
    <s v="imadan@example.com"/>
    <n v="919915000000"/>
    <x v="4"/>
    <n v="89"/>
    <n v="70"/>
    <s v="AC"/>
    <x v="89"/>
    <d v="2003-05-14T00:00:00"/>
    <n v="14.1789737171464"/>
    <x v="2"/>
    <n v="676000"/>
    <n v="736000"/>
  </r>
  <r>
    <s v="Zaina Thakur"/>
    <s v="STU439"/>
    <s v="ENR439"/>
    <x v="1"/>
    <x v="0"/>
    <n v="4"/>
    <s v="Computer Science and Engineering"/>
    <x v="5"/>
    <n v="169000"/>
    <n v="154000"/>
    <n v="15000"/>
    <n v="0"/>
    <x v="0"/>
    <x v="2"/>
    <x v="2"/>
    <x v="2"/>
    <s v="India"/>
    <s v="bhaminikaul@example.com"/>
    <n v="917241000000"/>
    <x v="3"/>
    <n v="89"/>
    <n v="68"/>
    <s v="AC"/>
    <x v="90"/>
    <d v="2005-06-08T00:00:00"/>
    <n v="14.1789737171464"/>
    <x v="5"/>
    <n v="676000"/>
    <n v="736000"/>
  </r>
  <r>
    <s v="Oorja Dayal"/>
    <s v="STU299"/>
    <s v="ENR299"/>
    <x v="0"/>
    <x v="1"/>
    <n v="2"/>
    <s v="Computer Science Engineering"/>
    <x v="4"/>
    <n v="92000"/>
    <n v="77000"/>
    <n v="15000"/>
    <n v="0"/>
    <x v="1"/>
    <x v="2"/>
    <x v="7"/>
    <x v="6"/>
    <s v="India"/>
    <s v="akarsh10@example.net"/>
    <n v="917489000000"/>
    <x v="1"/>
    <n v="89"/>
    <n v="72"/>
    <s v="AC"/>
    <x v="91"/>
    <d v="1998-12-20T00:00:00"/>
    <n v="14.1789737171464"/>
    <x v="7"/>
    <n v="184000"/>
    <n v="214000"/>
  </r>
  <r>
    <s v="Mehul Shroff"/>
    <s v="STU1170"/>
    <s v="ENR1170"/>
    <x v="1"/>
    <x v="0"/>
    <n v="4"/>
    <s v="Computer Science and Engineering"/>
    <x v="7"/>
    <n v="169000"/>
    <n v="154000"/>
    <n v="15000"/>
    <n v="0"/>
    <x v="1"/>
    <x v="1"/>
    <x v="6"/>
    <x v="3"/>
    <s v="India"/>
    <s v="bhatnagarrhea@example.net"/>
    <n v="917357000000"/>
    <x v="2"/>
    <n v="89"/>
    <n v="76"/>
    <s v="Non-AC"/>
    <x v="92"/>
    <d v="2003-03-20T00:00:00"/>
    <n v="14.1789737171464"/>
    <x v="2"/>
    <n v="676000"/>
    <n v="736000"/>
  </r>
  <r>
    <s v="Adah Sheth"/>
    <s v="STU1184"/>
    <s v="ENR1184"/>
    <x v="0"/>
    <x v="0"/>
    <n v="4"/>
    <s v="Computer Science and Engineering"/>
    <x v="5"/>
    <n v="169000"/>
    <n v="154000"/>
    <n v="15000"/>
    <n v="0"/>
    <x v="1"/>
    <x v="0"/>
    <x v="3"/>
    <x v="3"/>
    <s v="India"/>
    <s v="tbali@example.com"/>
    <n v="917649000000"/>
    <x v="1"/>
    <n v="89"/>
    <n v="82"/>
    <s v="AC"/>
    <x v="93"/>
    <d v="2002-02-14T00:00:00"/>
    <n v="14.1789737171464"/>
    <x v="6"/>
    <n v="676000"/>
    <n v="736000"/>
  </r>
  <r>
    <s v="Shray Sunder"/>
    <s v="STU217"/>
    <s v="ENR217"/>
    <x v="5"/>
    <x v="0"/>
    <n v="4"/>
    <s v="Computer Science and Engineering"/>
    <x v="0"/>
    <n v="169000"/>
    <n v="154000"/>
    <n v="15000"/>
    <n v="0"/>
    <x v="1"/>
    <x v="2"/>
    <x v="7"/>
    <x v="6"/>
    <s v="India"/>
    <s v="arhaanray@example.net"/>
    <n v="918146000000"/>
    <x v="3"/>
    <n v="89"/>
    <n v="62"/>
    <s v="Non-AC"/>
    <x v="94"/>
    <d v="2005-10-02T00:00:00"/>
    <n v="14.1789737171464"/>
    <x v="4"/>
    <n v="676000"/>
    <n v="736000"/>
  </r>
  <r>
    <s v="Indrans Mander"/>
    <s v="STU454"/>
    <s v="ENR454"/>
    <x v="5"/>
    <x v="0"/>
    <n v="4"/>
    <s v="Computer Science and Engineering"/>
    <x v="9"/>
    <n v="169000"/>
    <n v="154000"/>
    <n v="15000"/>
    <n v="0"/>
    <x v="1"/>
    <x v="0"/>
    <x v="6"/>
    <x v="3"/>
    <s v="India"/>
    <s v="kapoorzara@example.org"/>
    <n v="917296000000"/>
    <x v="1"/>
    <n v="89"/>
    <n v="88"/>
    <s v="AC"/>
    <x v="95"/>
    <d v="2001-08-05T00:00:00"/>
    <n v="14.1789737171464"/>
    <x v="6"/>
    <n v="676000"/>
    <n v="736000"/>
  </r>
  <r>
    <s v="Rhea Sarin"/>
    <s v="STU803"/>
    <s v="ENR803"/>
    <x v="2"/>
    <x v="0"/>
    <n v="4"/>
    <s v="Computer Science and Engineering"/>
    <x v="7"/>
    <n v="169000"/>
    <n v="154000"/>
    <n v="15000"/>
    <n v="0"/>
    <x v="1"/>
    <x v="2"/>
    <x v="1"/>
    <x v="1"/>
    <s v="India"/>
    <s v="aarnatripathi@example.net"/>
    <n v="918462000000"/>
    <x v="3"/>
    <n v="89"/>
    <n v="85"/>
    <s v="AC"/>
    <x v="96"/>
    <d v="2006-01-18T00:00:00"/>
    <n v="14.1789737171464"/>
    <x v="4"/>
    <n v="676000"/>
    <n v="736000"/>
  </r>
  <r>
    <s v="Vanya Chad"/>
    <s v="STU807"/>
    <s v="ENR807"/>
    <x v="3"/>
    <x v="0"/>
    <n v="4"/>
    <s v="Computer Science and Engineering"/>
    <x v="1"/>
    <n v="169000"/>
    <n v="154000"/>
    <n v="15000"/>
    <n v="0"/>
    <x v="1"/>
    <x v="2"/>
    <x v="2"/>
    <x v="2"/>
    <s v="India"/>
    <s v="sharafvihaan@example.org"/>
    <n v="919054000000"/>
    <x v="3"/>
    <n v="89"/>
    <n v="80"/>
    <s v="Non-AC"/>
    <x v="97"/>
    <d v="2003-01-31T00:00:00"/>
    <n v="14.1789737171464"/>
    <x v="2"/>
    <n v="676000"/>
    <n v="736000"/>
  </r>
  <r>
    <s v="Uthkarsh Kamdar"/>
    <s v="STU810"/>
    <s v="ENR810"/>
    <x v="5"/>
    <x v="0"/>
    <n v="4"/>
    <s v="Computer Science and Engineering"/>
    <x v="8"/>
    <n v="169000"/>
    <n v="154000"/>
    <n v="15000"/>
    <n v="0"/>
    <x v="1"/>
    <x v="1"/>
    <x v="9"/>
    <x v="8"/>
    <s v="India"/>
    <s v="qsunder@example.net"/>
    <n v="918244000000"/>
    <x v="4"/>
    <n v="89"/>
    <n v="87"/>
    <s v="AC"/>
    <x v="98"/>
    <d v="2005-07-05T00:00:00"/>
    <n v="14.1789737171464"/>
    <x v="5"/>
    <n v="676000"/>
    <n v="736000"/>
  </r>
  <r>
    <s v="Prerak Comar"/>
    <s v="STU393"/>
    <s v="ENR393"/>
    <x v="4"/>
    <x v="1"/>
    <n v="2"/>
    <s v="Computer Science Engineering"/>
    <x v="4"/>
    <n v="92000"/>
    <n v="77000"/>
    <n v="15000"/>
    <n v="0"/>
    <x v="1"/>
    <x v="1"/>
    <x v="4"/>
    <x v="4"/>
    <s v="India"/>
    <s v="amira09@example.com"/>
    <n v="917883000000"/>
    <x v="1"/>
    <n v="88"/>
    <n v="77"/>
    <s v="AC"/>
    <x v="99"/>
    <d v="2001-01-13T00:00:00"/>
    <n v="13.1789737171464"/>
    <x v="0"/>
    <n v="184000"/>
    <n v="214000"/>
  </r>
  <r>
    <s v="Vardaniya Karan"/>
    <s v="STU402"/>
    <s v="ENR402"/>
    <x v="5"/>
    <x v="0"/>
    <n v="4"/>
    <s v="Computer Science and Engineering"/>
    <x v="2"/>
    <n v="169000"/>
    <n v="154000"/>
    <n v="15000"/>
    <n v="0"/>
    <x v="0"/>
    <x v="1"/>
    <x v="0"/>
    <x v="0"/>
    <s v="India"/>
    <s v="dorahimmat@example.org"/>
    <n v="919391000000"/>
    <x v="0"/>
    <n v="88"/>
    <n v="67"/>
    <s v="Non-AC"/>
    <x v="100"/>
    <d v="2005-10-24T00:00:00"/>
    <n v="13.1789737171464"/>
    <x v="4"/>
    <n v="676000"/>
    <n v="736000"/>
  </r>
  <r>
    <s v="Mohanlal Kibe"/>
    <s v="STU403"/>
    <s v="ENR403"/>
    <x v="2"/>
    <x v="0"/>
    <n v="4"/>
    <s v="Computer Science and Engineering"/>
    <x v="7"/>
    <n v="169000"/>
    <n v="154000"/>
    <n v="15000"/>
    <n v="0"/>
    <x v="0"/>
    <x v="1"/>
    <x v="6"/>
    <x v="3"/>
    <s v="India"/>
    <s v="saxenaaniruddh@example.com"/>
    <n v="918795000000"/>
    <x v="4"/>
    <n v="88"/>
    <n v="84"/>
    <s v="AC"/>
    <x v="101"/>
    <d v="2002-02-28T00:00:00"/>
    <n v="13.1789737171464"/>
    <x v="6"/>
    <n v="676000"/>
    <n v="736000"/>
  </r>
  <r>
    <s v="Baiju Ramachandran"/>
    <s v="STU189"/>
    <s v="ENR189"/>
    <x v="2"/>
    <x v="1"/>
    <n v="2"/>
    <s v="Computer Science Engineering"/>
    <x v="4"/>
    <n v="92000"/>
    <n v="77000"/>
    <n v="15000"/>
    <n v="0"/>
    <x v="0"/>
    <x v="1"/>
    <x v="2"/>
    <x v="2"/>
    <s v="India"/>
    <s v="vivaankashyap@example.org"/>
    <n v="917323000000"/>
    <x v="0"/>
    <n v="88"/>
    <n v="66"/>
    <s v="AC"/>
    <x v="102"/>
    <d v="1997-07-03T00:00:00"/>
    <n v="13.1789737171464"/>
    <x v="8"/>
    <n v="184000"/>
    <n v="214000"/>
  </r>
  <r>
    <s v="Indranil Tara"/>
    <s v="STU505"/>
    <s v="ENR505"/>
    <x v="2"/>
    <x v="0"/>
    <n v="4"/>
    <s v="Computer Science and Engineering"/>
    <x v="6"/>
    <n v="169000"/>
    <n v="154000"/>
    <n v="15000"/>
    <n v="0"/>
    <x v="0"/>
    <x v="2"/>
    <x v="7"/>
    <x v="6"/>
    <s v="India"/>
    <s v="lavanya34@example.net"/>
    <n v="919484000000"/>
    <x v="4"/>
    <n v="88"/>
    <n v="91"/>
    <s v="Non-AC"/>
    <x v="103"/>
    <d v="2001-07-01T00:00:00"/>
    <n v="13.1789737171464"/>
    <x v="0"/>
    <n v="676000"/>
    <n v="736000"/>
  </r>
  <r>
    <s v="Sahil Gole"/>
    <s v="STU203"/>
    <s v="ENR203"/>
    <x v="1"/>
    <x v="0"/>
    <n v="4"/>
    <s v="Computer Science and Engineering"/>
    <x v="2"/>
    <n v="169000"/>
    <n v="154000"/>
    <n v="15000"/>
    <n v="0"/>
    <x v="0"/>
    <x v="0"/>
    <x v="8"/>
    <x v="7"/>
    <s v="India"/>
    <s v="raolakshit@example.org"/>
    <n v="917934000000"/>
    <x v="2"/>
    <n v="88"/>
    <n v="91"/>
    <s v="AC"/>
    <x v="104"/>
    <d v="2003-08-09T00:00:00"/>
    <n v="13.1789737171464"/>
    <x v="3"/>
    <n v="676000"/>
    <n v="736000"/>
  </r>
  <r>
    <s v="Alisha Setty"/>
    <s v="STU338"/>
    <s v="ENR338"/>
    <x v="0"/>
    <x v="1"/>
    <n v="2"/>
    <s v="Computer Science Engineering"/>
    <x v="0"/>
    <n v="92000"/>
    <n v="77000"/>
    <n v="15000"/>
    <n v="0"/>
    <x v="0"/>
    <x v="2"/>
    <x v="5"/>
    <x v="5"/>
    <s v="India"/>
    <s v="baiju64@example.org"/>
    <n v="918244000000"/>
    <x v="4"/>
    <n v="88"/>
    <n v="86"/>
    <s v="AC"/>
    <x v="105"/>
    <d v="1997-08-30T00:00:00"/>
    <n v="13.1789737171464"/>
    <x v="9"/>
    <n v="184000"/>
    <n v="214000"/>
  </r>
  <r>
    <s v="Amira Magar"/>
    <s v="STU316"/>
    <s v="ENR316"/>
    <x v="3"/>
    <x v="1"/>
    <n v="2"/>
    <s v="Computer Science Engineering"/>
    <x v="4"/>
    <n v="92000"/>
    <n v="77000"/>
    <n v="15000"/>
    <n v="0"/>
    <x v="0"/>
    <x v="2"/>
    <x v="9"/>
    <x v="8"/>
    <s v="India"/>
    <s v="amanikala@example.net"/>
    <n v="917083000000"/>
    <x v="0"/>
    <n v="88"/>
    <n v="88"/>
    <s v="Non-AC"/>
    <x v="106"/>
    <d v="1997-11-28T00:00:00"/>
    <n v="13.1789737171464"/>
    <x v="9"/>
    <n v="184000"/>
    <n v="214000"/>
  </r>
  <r>
    <s v="Onkar Madan"/>
    <s v="STU340"/>
    <s v="ENR340"/>
    <x v="2"/>
    <x v="0"/>
    <n v="4"/>
    <s v="Computer Science and Engineering"/>
    <x v="4"/>
    <n v="169000"/>
    <n v="154000"/>
    <n v="15000"/>
    <n v="0"/>
    <x v="0"/>
    <x v="1"/>
    <x v="9"/>
    <x v="8"/>
    <s v="India"/>
    <s v="zmalhotra@example.net"/>
    <n v="917573000000"/>
    <x v="1"/>
    <n v="88"/>
    <n v="61"/>
    <s v="Non-AC"/>
    <x v="107"/>
    <d v="2000-11-08T00:00:00"/>
    <n v="13.1789737171464"/>
    <x v="0"/>
    <n v="676000"/>
    <n v="736000"/>
  </r>
  <r>
    <s v="Ehsaan Hegde"/>
    <s v="STU337"/>
    <s v="ENR337"/>
    <x v="4"/>
    <x v="0"/>
    <n v="4"/>
    <s v="Computer Science and Engineering"/>
    <x v="0"/>
    <n v="169000"/>
    <n v="154000"/>
    <n v="15000"/>
    <n v="0"/>
    <x v="0"/>
    <x v="2"/>
    <x v="9"/>
    <x v="8"/>
    <s v="India"/>
    <s v="vihaankeer@example.com"/>
    <n v="919927000000"/>
    <x v="2"/>
    <n v="88"/>
    <n v="70"/>
    <s v="AC"/>
    <x v="108"/>
    <d v="2000-12-04T00:00:00"/>
    <n v="13.1789737171464"/>
    <x v="0"/>
    <n v="676000"/>
    <n v="736000"/>
  </r>
  <r>
    <s v="Baiju Swamy"/>
    <s v="STU432"/>
    <s v="ENR432"/>
    <x v="5"/>
    <x v="0"/>
    <n v="4"/>
    <s v="Computer Science and Engineering"/>
    <x v="5"/>
    <n v="169000"/>
    <n v="154000"/>
    <n v="15000"/>
    <n v="0"/>
    <x v="0"/>
    <x v="0"/>
    <x v="3"/>
    <x v="3"/>
    <s v="India"/>
    <s v="mallickjivika@example.com"/>
    <n v="917603000000"/>
    <x v="4"/>
    <n v="88"/>
    <n v="74"/>
    <s v="AC"/>
    <x v="109"/>
    <d v="2003-11-22T00:00:00"/>
    <n v="13.1789737171464"/>
    <x v="3"/>
    <n v="676000"/>
    <n v="736000"/>
  </r>
  <r>
    <s v="Lavanya Gera"/>
    <s v="STU454"/>
    <s v="ENR454"/>
    <x v="2"/>
    <x v="1"/>
    <n v="2"/>
    <s v="Computer Science Engineering"/>
    <x v="3"/>
    <n v="92000"/>
    <n v="77000"/>
    <n v="15000"/>
    <n v="0"/>
    <x v="0"/>
    <x v="0"/>
    <x v="3"/>
    <x v="3"/>
    <s v="India"/>
    <s v="xborde@example.com"/>
    <n v="917922000000"/>
    <x v="0"/>
    <n v="88"/>
    <n v="68"/>
    <s v="Non-AC"/>
    <x v="110"/>
    <d v="1999-05-31T00:00:00"/>
    <n v="13.1789737171464"/>
    <x v="7"/>
    <n v="184000"/>
    <n v="214000"/>
  </r>
  <r>
    <s v="Dhanush Sehgal"/>
    <s v="STU625"/>
    <s v="ENR625"/>
    <x v="4"/>
    <x v="0"/>
    <n v="4"/>
    <s v="Computer Science and Engineering"/>
    <x v="3"/>
    <n v="169000"/>
    <n v="154000"/>
    <n v="15000"/>
    <n v="0"/>
    <x v="0"/>
    <x v="0"/>
    <x v="5"/>
    <x v="5"/>
    <s v="India"/>
    <s v="guptaanahita@example.com"/>
    <n v="918986000000"/>
    <x v="3"/>
    <n v="88"/>
    <n v="69"/>
    <s v="AC"/>
    <x v="111"/>
    <d v="2001-09-08T00:00:00"/>
    <n v="13.1789737171464"/>
    <x v="6"/>
    <n v="676000"/>
    <n v="736000"/>
  </r>
  <r>
    <s v="Vanya Badami"/>
    <s v="STU451"/>
    <s v="ENR451"/>
    <x v="3"/>
    <x v="1"/>
    <n v="2"/>
    <s v="Computer Science Engineering"/>
    <x v="1"/>
    <n v="92000"/>
    <n v="77000"/>
    <n v="15000"/>
    <n v="0"/>
    <x v="0"/>
    <x v="0"/>
    <x v="3"/>
    <x v="3"/>
    <s v="India"/>
    <s v="raunak25@example.com"/>
    <n v="917030000000"/>
    <x v="0"/>
    <n v="88"/>
    <n v="76"/>
    <s v="AC"/>
    <x v="112"/>
    <d v="2000-09-03T00:00:00"/>
    <n v="13.1789737171464"/>
    <x v="0"/>
    <n v="184000"/>
    <n v="214000"/>
  </r>
  <r>
    <s v="Lavanya Viswanathan"/>
    <s v="STU334"/>
    <s v="ENR334"/>
    <x v="4"/>
    <x v="1"/>
    <n v="2"/>
    <s v="Computer Science Engineering"/>
    <x v="6"/>
    <n v="92000"/>
    <n v="77000"/>
    <n v="15000"/>
    <n v="0"/>
    <x v="0"/>
    <x v="2"/>
    <x v="4"/>
    <x v="4"/>
    <s v="India"/>
    <s v="koshydivit@example.org"/>
    <n v="917457000000"/>
    <x v="0"/>
    <n v="88"/>
    <n v="91"/>
    <s v="AC"/>
    <x v="113"/>
    <d v="1998-10-04T00:00:00"/>
    <n v="13.1789737171464"/>
    <x v="7"/>
    <n v="184000"/>
    <n v="214000"/>
  </r>
  <r>
    <s v="Ritvik Cherian"/>
    <s v="STU436"/>
    <s v="ENR436"/>
    <x v="5"/>
    <x v="0"/>
    <n v="4"/>
    <s v="Computer Science and Engineering"/>
    <x v="9"/>
    <n v="169000"/>
    <n v="154000"/>
    <n v="15000"/>
    <n v="0"/>
    <x v="0"/>
    <x v="0"/>
    <x v="8"/>
    <x v="7"/>
    <s v="India"/>
    <s v="aniruddh73@example.net"/>
    <n v="919789000000"/>
    <x v="4"/>
    <n v="88"/>
    <n v="81"/>
    <s v="Non-AC"/>
    <x v="114"/>
    <d v="2001-08-13T00:00:00"/>
    <n v="13.1789737171464"/>
    <x v="6"/>
    <n v="676000"/>
    <n v="736000"/>
  </r>
  <r>
    <s v="Shray Kanda"/>
    <s v="STU215"/>
    <s v="ENR215"/>
    <x v="1"/>
    <x v="0"/>
    <n v="4"/>
    <s v="Computer Science and Engineering"/>
    <x v="1"/>
    <n v="169000"/>
    <n v="154000"/>
    <n v="15000"/>
    <n v="0"/>
    <x v="0"/>
    <x v="2"/>
    <x v="7"/>
    <x v="6"/>
    <s v="India"/>
    <s v="samaira15@example.net"/>
    <n v="919449000000"/>
    <x v="2"/>
    <n v="88"/>
    <n v="74"/>
    <s v="AC"/>
    <x v="115"/>
    <d v="2004-05-11T00:00:00"/>
    <n v="13.1789737171464"/>
    <x v="3"/>
    <n v="676000"/>
    <n v="736000"/>
  </r>
  <r>
    <s v="Zara Kothari"/>
    <s v="STU224"/>
    <s v="ENR224"/>
    <x v="0"/>
    <x v="1"/>
    <n v="2"/>
    <s v="Computer Science Engineering"/>
    <x v="3"/>
    <n v="92000"/>
    <n v="77000"/>
    <n v="15000"/>
    <n v="0"/>
    <x v="0"/>
    <x v="2"/>
    <x v="3"/>
    <x v="3"/>
    <s v="India"/>
    <s v="zkapoor@example.net"/>
    <n v="919045000000"/>
    <x v="1"/>
    <n v="88"/>
    <n v="82"/>
    <s v="AC"/>
    <x v="116"/>
    <d v="1997-10-18T00:00:00"/>
    <n v="13.1789737171464"/>
    <x v="9"/>
    <n v="184000"/>
    <n v="214000"/>
  </r>
  <r>
    <s v="Aarav Singhal"/>
    <s v="STU277"/>
    <s v="ENR277"/>
    <x v="5"/>
    <x v="0"/>
    <n v="4"/>
    <s v="Computer Science and Engineering"/>
    <x v="4"/>
    <n v="169000"/>
    <n v="154000"/>
    <n v="15000"/>
    <n v="0"/>
    <x v="0"/>
    <x v="0"/>
    <x v="0"/>
    <x v="0"/>
    <s v="India"/>
    <s v="srandhawa@example.org"/>
    <n v="918828000000"/>
    <x v="2"/>
    <n v="88"/>
    <n v="68"/>
    <s v="Non-AC"/>
    <x v="117"/>
    <d v="2003-07-19T00:00:00"/>
    <n v="13.1789737171464"/>
    <x v="3"/>
    <n v="676000"/>
    <n v="736000"/>
  </r>
  <r>
    <s v="Mahika Loyal"/>
    <s v="STU585"/>
    <s v="ENR585"/>
    <x v="3"/>
    <x v="0"/>
    <n v="4"/>
    <s v="Computer Science and Engineering"/>
    <x v="9"/>
    <n v="169000"/>
    <n v="154000"/>
    <n v="15000"/>
    <n v="0"/>
    <x v="0"/>
    <x v="2"/>
    <x v="1"/>
    <x v="1"/>
    <s v="India"/>
    <s v="fsengupta@example.net"/>
    <n v="917535000000"/>
    <x v="4"/>
    <n v="88"/>
    <n v="89"/>
    <s v="AC"/>
    <x v="118"/>
    <d v="2004-03-08T00:00:00"/>
    <n v="13.1789737171464"/>
    <x v="3"/>
    <n v="676000"/>
    <n v="736000"/>
  </r>
  <r>
    <s v="Bhamini Bali"/>
    <s v="STU574"/>
    <s v="ENR574"/>
    <x v="4"/>
    <x v="0"/>
    <n v="4"/>
    <s v="Computer Science and Engineering"/>
    <x v="9"/>
    <n v="169000"/>
    <n v="154000"/>
    <n v="15000"/>
    <n v="0"/>
    <x v="0"/>
    <x v="2"/>
    <x v="8"/>
    <x v="7"/>
    <s v="India"/>
    <s v="wchad@example.org"/>
    <n v="917372000000"/>
    <x v="0"/>
    <n v="88"/>
    <n v="70"/>
    <s v="AC"/>
    <x v="119"/>
    <d v="2002-04-26T00:00:00"/>
    <n v="13.1789737171464"/>
    <x v="6"/>
    <n v="676000"/>
    <n v="736000"/>
  </r>
  <r>
    <s v="Badal Wadhwa"/>
    <s v="STU498"/>
    <s v="ENR498"/>
    <x v="1"/>
    <x v="0"/>
    <n v="4"/>
    <s v="Computer Science and Engineering"/>
    <x v="3"/>
    <n v="169000"/>
    <n v="154000"/>
    <n v="15000"/>
    <n v="0"/>
    <x v="0"/>
    <x v="2"/>
    <x v="1"/>
    <x v="1"/>
    <s v="India"/>
    <s v="chanderdrishya@example.org"/>
    <n v="917674000000"/>
    <x v="1"/>
    <n v="88"/>
    <n v="83"/>
    <s v="AC"/>
    <x v="120"/>
    <d v="2004-08-26T00:00:00"/>
    <n v="13.1789737171464"/>
    <x v="5"/>
    <n v="676000"/>
    <n v="736000"/>
  </r>
  <r>
    <s v="Aarush Balakrishnan"/>
    <s v="STU244"/>
    <s v="ENR244"/>
    <x v="2"/>
    <x v="0"/>
    <n v="4"/>
    <s v="Computer Science and Engineering"/>
    <x v="1"/>
    <n v="169000"/>
    <n v="154000"/>
    <n v="15000"/>
    <n v="0"/>
    <x v="0"/>
    <x v="1"/>
    <x v="8"/>
    <x v="7"/>
    <s v="India"/>
    <s v="hridaanbalay@example.com"/>
    <n v="919343000000"/>
    <x v="4"/>
    <n v="88"/>
    <n v="75"/>
    <s v="AC"/>
    <x v="121"/>
    <d v="2001-01-08T00:00:00"/>
    <n v="13.1789737171464"/>
    <x v="0"/>
    <n v="676000"/>
    <n v="736000"/>
  </r>
  <r>
    <s v="Zain Kalita"/>
    <s v="STU987"/>
    <s v="ENR987"/>
    <x v="5"/>
    <x v="0"/>
    <n v="4"/>
    <s v="Computer Science and Engineering"/>
    <x v="3"/>
    <n v="169000"/>
    <n v="154000"/>
    <n v="15000"/>
    <n v="0"/>
    <x v="0"/>
    <x v="0"/>
    <x v="4"/>
    <x v="4"/>
    <s v="India"/>
    <s v="csoni@example.org"/>
    <n v="917019000000"/>
    <x v="3"/>
    <n v="88"/>
    <n v="83"/>
    <s v="AC"/>
    <x v="122"/>
    <d v="2003-05-27T00:00:00"/>
    <n v="13.1789737171464"/>
    <x v="2"/>
    <n v="676000"/>
    <n v="736000"/>
  </r>
  <r>
    <s v="Shray Saraf"/>
    <s v="STU784"/>
    <s v="ENR784"/>
    <x v="5"/>
    <x v="0"/>
    <n v="4"/>
    <s v="Computer Science and Engineering"/>
    <x v="8"/>
    <n v="169000"/>
    <n v="154000"/>
    <n v="15000"/>
    <n v="0"/>
    <x v="0"/>
    <x v="2"/>
    <x v="9"/>
    <x v="8"/>
    <s v="India"/>
    <s v="gatikbhatt@example.org"/>
    <n v="918927000000"/>
    <x v="2"/>
    <n v="88"/>
    <n v="65"/>
    <s v="Non-AC"/>
    <x v="123"/>
    <d v="2000-09-17T00:00:00"/>
    <n v="13.1789737171464"/>
    <x v="0"/>
    <n v="676000"/>
    <n v="736000"/>
  </r>
  <r>
    <s v="Mamooty Sachdev"/>
    <s v="STU763"/>
    <s v="ENR763"/>
    <x v="1"/>
    <x v="0"/>
    <n v="4"/>
    <s v="Computer Science and Engineering"/>
    <x v="9"/>
    <n v="169000"/>
    <n v="154000"/>
    <n v="15000"/>
    <n v="0"/>
    <x v="0"/>
    <x v="2"/>
    <x v="9"/>
    <x v="8"/>
    <s v="India"/>
    <s v="chauhanshlok@example.net"/>
    <n v="917468000000"/>
    <x v="4"/>
    <n v="88"/>
    <n v="70"/>
    <s v="AC"/>
    <x v="124"/>
    <d v="2006-02-07T00:00:00"/>
    <n v="13.1789737171464"/>
    <x v="4"/>
    <n v="676000"/>
    <n v="736000"/>
  </r>
  <r>
    <s v="Jayesh Jaggi"/>
    <s v="STU930"/>
    <s v="ENR930"/>
    <x v="1"/>
    <x v="0"/>
    <n v="4"/>
    <s v="Computer Science and Engineering"/>
    <x v="1"/>
    <n v="169000"/>
    <n v="154000"/>
    <n v="15000"/>
    <n v="0"/>
    <x v="0"/>
    <x v="2"/>
    <x v="1"/>
    <x v="1"/>
    <s v="India"/>
    <s v="himmat73@example.org"/>
    <n v="919151000000"/>
    <x v="1"/>
    <n v="88"/>
    <n v="83"/>
    <s v="AC"/>
    <x v="125"/>
    <d v="2005-08-03T00:00:00"/>
    <n v="13.1789737171464"/>
    <x v="4"/>
    <n v="676000"/>
    <n v="736000"/>
  </r>
  <r>
    <s v="Dhruv Korpal"/>
    <s v="STU901"/>
    <s v="ENR901"/>
    <x v="1"/>
    <x v="0"/>
    <n v="4"/>
    <s v="Computer Science and Engineering"/>
    <x v="4"/>
    <n v="169000"/>
    <n v="154000"/>
    <n v="15000"/>
    <n v="0"/>
    <x v="0"/>
    <x v="2"/>
    <x v="2"/>
    <x v="2"/>
    <s v="India"/>
    <s v="neelofar03@example.com"/>
    <n v="917431000000"/>
    <x v="3"/>
    <n v="88"/>
    <n v="70"/>
    <s v="Non-AC"/>
    <x v="126"/>
    <d v="2005-11-11T00:00:00"/>
    <n v="13.1789737171464"/>
    <x v="4"/>
    <n v="676000"/>
    <n v="736000"/>
  </r>
  <r>
    <s v="Sumer Dhillon"/>
    <s v="STU992"/>
    <s v="ENR992"/>
    <x v="5"/>
    <x v="0"/>
    <n v="4"/>
    <s v="Computer Science and Engineering"/>
    <x v="6"/>
    <n v="169000"/>
    <n v="154000"/>
    <n v="15000"/>
    <n v="0"/>
    <x v="0"/>
    <x v="0"/>
    <x v="9"/>
    <x v="8"/>
    <s v="India"/>
    <s v="nirvi50@example.net"/>
    <n v="919776000000"/>
    <x v="3"/>
    <n v="88"/>
    <n v="72"/>
    <s v="AC"/>
    <x v="127"/>
    <d v="2000-07-07T00:00:00"/>
    <n v="13.1789737171464"/>
    <x v="1"/>
    <n v="676000"/>
    <n v="736000"/>
  </r>
  <r>
    <s v="Siya Balasubramanian"/>
    <s v="STU742"/>
    <s v="ENR742"/>
    <x v="1"/>
    <x v="0"/>
    <n v="4"/>
    <s v="Computer Science and Engineering"/>
    <x v="5"/>
    <n v="169000"/>
    <n v="154000"/>
    <n v="15000"/>
    <n v="0"/>
    <x v="0"/>
    <x v="1"/>
    <x v="5"/>
    <x v="5"/>
    <s v="India"/>
    <s v="rohanrajagopal@example.net"/>
    <n v="917689000000"/>
    <x v="1"/>
    <n v="88"/>
    <n v="83"/>
    <s v="AC"/>
    <x v="128"/>
    <d v="2006-06-13T00:00:00"/>
    <n v="13.1789737171464"/>
    <x v="4"/>
    <n v="676000"/>
    <n v="736000"/>
  </r>
  <r>
    <s v="Keya Ravi"/>
    <s v="STU1068"/>
    <s v="ENR1068"/>
    <x v="1"/>
    <x v="0"/>
    <n v="4"/>
    <s v="Computer Science and Engineering"/>
    <x v="6"/>
    <n v="169000"/>
    <n v="154000"/>
    <n v="15000"/>
    <n v="0"/>
    <x v="0"/>
    <x v="1"/>
    <x v="6"/>
    <x v="3"/>
    <s v="India"/>
    <s v="lkeer@example.com"/>
    <n v="917298000000"/>
    <x v="0"/>
    <n v="88"/>
    <n v="71"/>
    <s v="Non-AC"/>
    <x v="129"/>
    <d v="2005-10-20T00:00:00"/>
    <n v="13.1789737171464"/>
    <x v="4"/>
    <n v="676000"/>
    <n v="736000"/>
  </r>
  <r>
    <s v="Nitara Sen"/>
    <s v="STU1006"/>
    <s v="ENR1006"/>
    <x v="4"/>
    <x v="0"/>
    <n v="4"/>
    <s v="Computer Science and Engineering"/>
    <x v="4"/>
    <n v="169000"/>
    <n v="154000"/>
    <n v="15000"/>
    <n v="0"/>
    <x v="0"/>
    <x v="1"/>
    <x v="3"/>
    <x v="3"/>
    <s v="India"/>
    <s v="jivika96@example.com"/>
    <n v="918077000000"/>
    <x v="4"/>
    <n v="88"/>
    <n v="65"/>
    <s v="AC"/>
    <x v="130"/>
    <d v="2004-04-21T00:00:00"/>
    <n v="13.1789737171464"/>
    <x v="3"/>
    <n v="676000"/>
    <n v="736000"/>
  </r>
  <r>
    <s v="Renee Varughese"/>
    <s v="STU1199"/>
    <s v="ENR1199"/>
    <x v="2"/>
    <x v="0"/>
    <n v="4"/>
    <s v="Computer Science and Engineering"/>
    <x v="4"/>
    <n v="169000"/>
    <n v="154000"/>
    <n v="15000"/>
    <n v="0"/>
    <x v="0"/>
    <x v="1"/>
    <x v="0"/>
    <x v="0"/>
    <s v="India"/>
    <s v="fgrewal@example.net"/>
    <n v="918222000000"/>
    <x v="0"/>
    <n v="88"/>
    <n v="89"/>
    <s v="AC"/>
    <x v="131"/>
    <d v="2004-10-19T00:00:00"/>
    <n v="13.1789737171464"/>
    <x v="5"/>
    <n v="676000"/>
    <n v="736000"/>
  </r>
  <r>
    <s v="Pari Deshpande"/>
    <s v="STU1198"/>
    <s v="ENR1198"/>
    <x v="1"/>
    <x v="0"/>
    <n v="4"/>
    <s v="Computer Science and Engineering"/>
    <x v="8"/>
    <n v="169000"/>
    <n v="154000"/>
    <n v="15000"/>
    <n v="0"/>
    <x v="0"/>
    <x v="0"/>
    <x v="2"/>
    <x v="2"/>
    <s v="India"/>
    <s v="ahana-84@example.com"/>
    <n v="919968000000"/>
    <x v="4"/>
    <n v="88"/>
    <n v="69"/>
    <s v="AC"/>
    <x v="132"/>
    <d v="2005-09-13T00:00:00"/>
    <n v="13.1789737171464"/>
    <x v="4"/>
    <n v="676000"/>
    <n v="736000"/>
  </r>
  <r>
    <s v="Ela Kashyap"/>
    <s v="STU1062"/>
    <s v="ENR1062"/>
    <x v="1"/>
    <x v="0"/>
    <n v="4"/>
    <s v="Computer Science and Engineering"/>
    <x v="5"/>
    <n v="169000"/>
    <n v="154000"/>
    <n v="15000"/>
    <n v="0"/>
    <x v="0"/>
    <x v="1"/>
    <x v="2"/>
    <x v="2"/>
    <s v="India"/>
    <s v="nitya82@example.org"/>
    <n v="918545000000"/>
    <x v="4"/>
    <n v="88"/>
    <n v="71"/>
    <s v="AC"/>
    <x v="133"/>
    <d v="2005-02-04T00:00:00"/>
    <n v="13.1789737171464"/>
    <x v="5"/>
    <n v="676000"/>
    <n v="736000"/>
  </r>
  <r>
    <s v="Renee Sen"/>
    <s v="STU960"/>
    <s v="ENR960"/>
    <x v="3"/>
    <x v="0"/>
    <n v="4"/>
    <s v="Computer Science and Engineering"/>
    <x v="2"/>
    <n v="169000"/>
    <n v="154000"/>
    <n v="15000"/>
    <n v="0"/>
    <x v="0"/>
    <x v="0"/>
    <x v="9"/>
    <x v="8"/>
    <s v="India"/>
    <s v="ivenkatesh@example.org"/>
    <n v="919847000000"/>
    <x v="4"/>
    <n v="88"/>
    <n v="63"/>
    <s v="Non-AC"/>
    <x v="134"/>
    <d v="2001-12-21T00:00:00"/>
    <n v="13.1789737171464"/>
    <x v="6"/>
    <n v="676000"/>
    <n v="736000"/>
  </r>
  <r>
    <s v="Heer Ganesh"/>
    <s v="STU1137"/>
    <s v="ENR1137"/>
    <x v="1"/>
    <x v="0"/>
    <n v="4"/>
    <s v="Computer Science and Engineering"/>
    <x v="8"/>
    <n v="169000"/>
    <n v="154000"/>
    <n v="15000"/>
    <n v="0"/>
    <x v="0"/>
    <x v="2"/>
    <x v="4"/>
    <x v="4"/>
    <s v="India"/>
    <s v="krishdubey@example.net"/>
    <n v="917238000000"/>
    <x v="0"/>
    <n v="88"/>
    <n v="80"/>
    <s v="Non-AC"/>
    <x v="135"/>
    <d v="2000-08-27T00:00:00"/>
    <n v="13.1789737171464"/>
    <x v="0"/>
    <n v="676000"/>
    <n v="736000"/>
  </r>
  <r>
    <s v="Charvi Vaidya"/>
    <s v="STU696"/>
    <s v="ENR696"/>
    <x v="1"/>
    <x v="0"/>
    <n v="4"/>
    <s v="Computer Science and Engineering"/>
    <x v="0"/>
    <n v="169000"/>
    <n v="154000"/>
    <n v="15000"/>
    <n v="0"/>
    <x v="0"/>
    <x v="0"/>
    <x v="9"/>
    <x v="8"/>
    <s v="India"/>
    <s v="kiararavel@example.net"/>
    <n v="919166000000"/>
    <x v="3"/>
    <n v="88"/>
    <n v="80"/>
    <s v="Non-AC"/>
    <x v="136"/>
    <d v="2002-03-10T00:00:00"/>
    <n v="13.1789737171464"/>
    <x v="6"/>
    <n v="676000"/>
    <n v="736000"/>
  </r>
  <r>
    <s v="Veer Arora"/>
    <s v="STU079"/>
    <s v="ENR079"/>
    <x v="4"/>
    <x v="0"/>
    <n v="4"/>
    <s v="Computer Science and Engineering"/>
    <x v="8"/>
    <n v="169000"/>
    <n v="154000"/>
    <n v="15000"/>
    <n v="0"/>
    <x v="0"/>
    <x v="1"/>
    <x v="2"/>
    <x v="2"/>
    <s v="India"/>
    <s v="kannanneysa@example.net"/>
    <n v="919251000000"/>
    <x v="4"/>
    <n v="88"/>
    <n v="63"/>
    <s v="AC"/>
    <x v="137"/>
    <d v="2003-05-21T00:00:00"/>
    <n v="13.1789737171464"/>
    <x v="2"/>
    <n v="676000"/>
    <n v="736000"/>
  </r>
  <r>
    <s v="Hrishita Bhargava"/>
    <s v="STU706"/>
    <s v="ENR706"/>
    <x v="0"/>
    <x v="0"/>
    <n v="4"/>
    <s v="Computer Science and Engineering"/>
    <x v="2"/>
    <n v="169000"/>
    <n v="154000"/>
    <n v="15000"/>
    <n v="0"/>
    <x v="0"/>
    <x v="2"/>
    <x v="1"/>
    <x v="1"/>
    <s v="India"/>
    <s v="kismat08@example.net"/>
    <n v="919431000000"/>
    <x v="1"/>
    <n v="88"/>
    <n v="79"/>
    <s v="Non-AC"/>
    <x v="138"/>
    <d v="2003-02-20T00:00:00"/>
    <n v="13.1789737171464"/>
    <x v="2"/>
    <n v="676000"/>
    <n v="736000"/>
  </r>
  <r>
    <s v="Anahita Varkey"/>
    <s v="STU703"/>
    <s v="ENR703"/>
    <x v="4"/>
    <x v="0"/>
    <n v="4"/>
    <s v="Computer Science and Engineering"/>
    <x v="9"/>
    <n v="169000"/>
    <n v="154000"/>
    <n v="15000"/>
    <n v="0"/>
    <x v="0"/>
    <x v="0"/>
    <x v="1"/>
    <x v="1"/>
    <s v="India"/>
    <s v="fupadhyay@example.net"/>
    <n v="917144000000"/>
    <x v="2"/>
    <n v="88"/>
    <n v="85"/>
    <s v="Non-AC"/>
    <x v="139"/>
    <d v="2002-07-22T00:00:00"/>
    <n v="13.1789737171464"/>
    <x v="2"/>
    <n v="676000"/>
    <n v="736000"/>
  </r>
  <r>
    <s v="Ivan Das"/>
    <s v="STU1030"/>
    <s v="ENR1030"/>
    <x v="1"/>
    <x v="0"/>
    <n v="4"/>
    <s v="Computer Science and Engineering"/>
    <x v="5"/>
    <n v="169000"/>
    <n v="154000"/>
    <n v="15000"/>
    <n v="0"/>
    <x v="0"/>
    <x v="0"/>
    <x v="5"/>
    <x v="5"/>
    <s v="India"/>
    <s v="vasarenee@example.org"/>
    <n v="917519000000"/>
    <x v="2"/>
    <n v="88"/>
    <n v="68"/>
    <s v="AC"/>
    <x v="140"/>
    <d v="2005-11-01T00:00:00"/>
    <n v="13.1789737171464"/>
    <x v="4"/>
    <n v="676000"/>
    <n v="736000"/>
  </r>
  <r>
    <s v="Ishita Randhawa"/>
    <s v="STU1022"/>
    <s v="ENR1022"/>
    <x v="0"/>
    <x v="0"/>
    <n v="4"/>
    <s v="Computer Science and Engineering"/>
    <x v="8"/>
    <n v="169000"/>
    <n v="154000"/>
    <n v="15000"/>
    <n v="0"/>
    <x v="0"/>
    <x v="0"/>
    <x v="6"/>
    <x v="3"/>
    <s v="India"/>
    <s v="emirshetty@example.org"/>
    <n v="919872000000"/>
    <x v="1"/>
    <n v="88"/>
    <n v="90"/>
    <s v="Non-AC"/>
    <x v="141"/>
    <d v="2003-05-28T00:00:00"/>
    <n v="13.1789737171464"/>
    <x v="2"/>
    <n v="676000"/>
    <n v="736000"/>
  </r>
  <r>
    <s v="Ritvik Madan"/>
    <s v="STU489"/>
    <s v="ENR489"/>
    <x v="0"/>
    <x v="1"/>
    <n v="2"/>
    <s v="Computer Science Engineering"/>
    <x v="6"/>
    <n v="92000"/>
    <n v="77000"/>
    <n v="15000"/>
    <n v="0"/>
    <x v="0"/>
    <x v="2"/>
    <x v="9"/>
    <x v="8"/>
    <s v="India"/>
    <s v="manjariwali@example.com"/>
    <n v="917560000000"/>
    <x v="3"/>
    <n v="88"/>
    <n v="71"/>
    <s v="AC"/>
    <x v="142"/>
    <d v="2001-05-11T00:00:00"/>
    <n v="13.1789737171464"/>
    <x v="0"/>
    <n v="184000"/>
    <n v="214000"/>
  </r>
  <r>
    <s v="Himmat Goswami"/>
    <s v="STU693"/>
    <s v="ENR693"/>
    <x v="5"/>
    <x v="0"/>
    <n v="4"/>
    <s v="Computer Science and Engineering"/>
    <x v="7"/>
    <n v="169000"/>
    <n v="154000"/>
    <n v="15000"/>
    <n v="0"/>
    <x v="0"/>
    <x v="0"/>
    <x v="1"/>
    <x v="1"/>
    <s v="India"/>
    <s v="xsem@example.org"/>
    <n v="918092000000"/>
    <x v="3"/>
    <n v="88"/>
    <n v="74"/>
    <s v="Non-AC"/>
    <x v="143"/>
    <d v="2001-06-06T00:00:00"/>
    <n v="13.1789737171464"/>
    <x v="0"/>
    <n v="676000"/>
    <n v="736000"/>
  </r>
  <r>
    <s v="Zeeshan Tara"/>
    <s v="STU942"/>
    <s v="ENR942"/>
    <x v="2"/>
    <x v="0"/>
    <n v="4"/>
    <s v="Computer Science and Engineering"/>
    <x v="6"/>
    <n v="169000"/>
    <n v="154000"/>
    <n v="15000"/>
    <n v="0"/>
    <x v="0"/>
    <x v="1"/>
    <x v="5"/>
    <x v="5"/>
    <s v="India"/>
    <s v="mamootygoel@example.org"/>
    <n v="919459000000"/>
    <x v="0"/>
    <n v="87"/>
    <n v="66"/>
    <s v="Non-AC"/>
    <x v="144"/>
    <d v="2004-04-18T00:00:00"/>
    <n v="12.1789737171464"/>
    <x v="3"/>
    <n v="676000"/>
    <n v="736000"/>
  </r>
  <r>
    <s v="Drishya Gole"/>
    <s v="STU067"/>
    <s v="ENR067"/>
    <x v="4"/>
    <x v="0"/>
    <n v="4"/>
    <s v="Computer Science and Engineering"/>
    <x v="8"/>
    <n v="169000"/>
    <n v="154000"/>
    <n v="15000"/>
    <n v="0"/>
    <x v="0"/>
    <x v="1"/>
    <x v="6"/>
    <x v="3"/>
    <s v="India"/>
    <s v="aarav93@example.net"/>
    <n v="919503000000"/>
    <x v="1"/>
    <n v="87"/>
    <n v="86"/>
    <s v="Non-AC"/>
    <x v="145"/>
    <d v="2001-10-05T00:00:00"/>
    <n v="12.1789737171464"/>
    <x v="6"/>
    <n v="676000"/>
    <n v="736000"/>
  </r>
  <r>
    <s v="Kartik Som"/>
    <s v="STU060"/>
    <s v="ENR060"/>
    <x v="5"/>
    <x v="0"/>
    <n v="4"/>
    <s v="Computer Science and Engineering"/>
    <x v="1"/>
    <n v="169000"/>
    <n v="154000"/>
    <n v="15000"/>
    <n v="0"/>
    <x v="0"/>
    <x v="2"/>
    <x v="6"/>
    <x v="3"/>
    <s v="India"/>
    <s v="deshmukhgatik@example.org"/>
    <n v="919407000000"/>
    <x v="3"/>
    <n v="87"/>
    <n v="80"/>
    <s v="AC"/>
    <x v="146"/>
    <d v="2004-07-29T00:00:00"/>
    <n v="12.1789737171464"/>
    <x v="5"/>
    <n v="676000"/>
    <n v="736000"/>
  </r>
  <r>
    <s v="Ehsaan Dutta"/>
    <s v="STU314"/>
    <s v="ENR314"/>
    <x v="3"/>
    <x v="1"/>
    <n v="2"/>
    <s v="Computer Science Engineering"/>
    <x v="1"/>
    <n v="92000"/>
    <n v="77000"/>
    <n v="15000"/>
    <n v="0"/>
    <x v="0"/>
    <x v="1"/>
    <x v="8"/>
    <x v="7"/>
    <s v="India"/>
    <s v="azadandra@example.com"/>
    <n v="918055000000"/>
    <x v="1"/>
    <n v="87"/>
    <n v="67"/>
    <s v="Non-AC"/>
    <x v="147"/>
    <d v="1997-09-16T00:00:00"/>
    <n v="12.1789737171464"/>
    <x v="9"/>
    <n v="184000"/>
    <n v="214000"/>
  </r>
  <r>
    <s v="Vivaan Kothari"/>
    <s v="STU829"/>
    <s v="ENR829"/>
    <x v="0"/>
    <x v="0"/>
    <n v="4"/>
    <s v="Computer Science and Engineering"/>
    <x v="8"/>
    <n v="169000"/>
    <n v="154000"/>
    <n v="15000"/>
    <n v="0"/>
    <x v="0"/>
    <x v="1"/>
    <x v="6"/>
    <x v="3"/>
    <s v="India"/>
    <s v="saranindrajit@example.net"/>
    <n v="919278000000"/>
    <x v="3"/>
    <n v="87"/>
    <n v="83"/>
    <s v="AC"/>
    <x v="148"/>
    <d v="2006-05-14T00:00:00"/>
    <n v="12.1789737171464"/>
    <x v="4"/>
    <n v="676000"/>
    <n v="736000"/>
  </r>
  <r>
    <s v="Rhea Loyal"/>
    <s v="STU1118"/>
    <s v="ENR1118"/>
    <x v="0"/>
    <x v="0"/>
    <n v="4"/>
    <s v="Computer Science and Engineering"/>
    <x v="6"/>
    <n v="169000"/>
    <n v="154000"/>
    <n v="15000"/>
    <n v="0"/>
    <x v="0"/>
    <x v="1"/>
    <x v="2"/>
    <x v="2"/>
    <s v="India"/>
    <s v="kairabhardwaj@example.net"/>
    <n v="919029000000"/>
    <x v="0"/>
    <n v="87"/>
    <n v="82"/>
    <s v="AC"/>
    <x v="149"/>
    <d v="2005-06-10T00:00:00"/>
    <n v="12.1789737171464"/>
    <x v="5"/>
    <n v="676000"/>
    <n v="736000"/>
  </r>
  <r>
    <s v="Nakul Kaul"/>
    <s v="STU387"/>
    <s v="ENR387"/>
    <x v="5"/>
    <x v="0"/>
    <n v="4"/>
    <s v="Computer Science and Engineering"/>
    <x v="7"/>
    <n v="169000"/>
    <n v="154000"/>
    <n v="15000"/>
    <n v="0"/>
    <x v="0"/>
    <x v="1"/>
    <x v="0"/>
    <x v="0"/>
    <s v="India"/>
    <s v="kabir12@example.net"/>
    <n v="919024000000"/>
    <x v="2"/>
    <n v="87"/>
    <n v="74"/>
    <s v="AC"/>
    <x v="150"/>
    <d v="2001-04-14T00:00:00"/>
    <n v="12.1789737171464"/>
    <x v="0"/>
    <n v="676000"/>
    <n v="736000"/>
  </r>
  <r>
    <s v="Sana Ganguly"/>
    <s v="STU056"/>
    <s v="ENR056"/>
    <x v="3"/>
    <x v="0"/>
    <n v="4"/>
    <s v="Computer Science and Engineering"/>
    <x v="2"/>
    <n v="169000"/>
    <n v="154000"/>
    <n v="15000"/>
    <n v="0"/>
    <x v="0"/>
    <x v="0"/>
    <x v="7"/>
    <x v="6"/>
    <s v="India"/>
    <s v="miraankashyap@example.net"/>
    <n v="918164000000"/>
    <x v="3"/>
    <n v="87"/>
    <n v="77"/>
    <s v="AC"/>
    <x v="151"/>
    <d v="2002-04-01T00:00:00"/>
    <n v="12.1789737171464"/>
    <x v="6"/>
    <n v="676000"/>
    <n v="736000"/>
  </r>
  <r>
    <s v="Vaibhav Sule"/>
    <s v="STU242"/>
    <s v="ENR242"/>
    <x v="4"/>
    <x v="0"/>
    <n v="4"/>
    <s v="Computer Science and Engineering"/>
    <x v="5"/>
    <n v="169000"/>
    <n v="154000"/>
    <n v="15000"/>
    <n v="0"/>
    <x v="0"/>
    <x v="2"/>
    <x v="0"/>
    <x v="0"/>
    <s v="India"/>
    <s v="dasaaryahi@example.com"/>
    <n v="917162000000"/>
    <x v="0"/>
    <n v="87"/>
    <n v="76"/>
    <s v="AC"/>
    <x v="152"/>
    <d v="2005-07-27T00:00:00"/>
    <n v="12.1789737171464"/>
    <x v="4"/>
    <n v="676000"/>
    <n v="736000"/>
  </r>
  <r>
    <s v="Siya Tata"/>
    <s v="STU199"/>
    <s v="ENR199"/>
    <x v="1"/>
    <x v="0"/>
    <n v="4"/>
    <s v="Computer Science and Engineering"/>
    <x v="3"/>
    <n v="169000"/>
    <n v="154000"/>
    <n v="15000"/>
    <n v="0"/>
    <x v="0"/>
    <x v="1"/>
    <x v="9"/>
    <x v="8"/>
    <s v="India"/>
    <s v="amaniamble@example.net"/>
    <n v="917708000000"/>
    <x v="0"/>
    <n v="87"/>
    <n v="76"/>
    <s v="Non-AC"/>
    <x v="153"/>
    <d v="2001-04-19T00:00:00"/>
    <n v="12.1789737171464"/>
    <x v="0"/>
    <n v="676000"/>
    <n v="736000"/>
  </r>
  <r>
    <s v="Ivana Bava"/>
    <s v="STU1014"/>
    <s v="ENR1014"/>
    <x v="3"/>
    <x v="0"/>
    <n v="4"/>
    <s v="Computer Science and Engineering"/>
    <x v="1"/>
    <n v="169000"/>
    <n v="154000"/>
    <n v="15000"/>
    <n v="0"/>
    <x v="0"/>
    <x v="2"/>
    <x v="1"/>
    <x v="1"/>
    <s v="India"/>
    <s v="sarkaryuvraj@example.com"/>
    <n v="919578000000"/>
    <x v="3"/>
    <n v="87"/>
    <n v="82"/>
    <s v="Non-AC"/>
    <x v="154"/>
    <d v="2006-03-14T00:00:00"/>
    <n v="12.1789737171464"/>
    <x v="4"/>
    <n v="676000"/>
    <n v="736000"/>
  </r>
  <r>
    <s v="Arhaan Kara"/>
    <s v="STU523"/>
    <s v="ENR523"/>
    <x v="3"/>
    <x v="1"/>
    <n v="2"/>
    <s v="Computer Science Engineering"/>
    <x v="1"/>
    <n v="92000"/>
    <n v="77000"/>
    <n v="15000"/>
    <n v="0"/>
    <x v="0"/>
    <x v="2"/>
    <x v="4"/>
    <x v="4"/>
    <s v="India"/>
    <s v="indranschaudhuri@example.net"/>
    <n v="917310000000"/>
    <x v="2"/>
    <n v="87"/>
    <n v="73"/>
    <s v="Non-AC"/>
    <x v="155"/>
    <d v="1998-11-21T00:00:00"/>
    <n v="12.1789737171464"/>
    <x v="7"/>
    <n v="184000"/>
    <n v="214000"/>
  </r>
  <r>
    <s v="Tanya Sangha"/>
    <s v="STU1054"/>
    <s v="ENR1054"/>
    <x v="2"/>
    <x v="0"/>
    <n v="4"/>
    <s v="Computer Science and Engineering"/>
    <x v="2"/>
    <n v="169000"/>
    <n v="154000"/>
    <n v="15000"/>
    <n v="0"/>
    <x v="0"/>
    <x v="1"/>
    <x v="1"/>
    <x v="1"/>
    <s v="India"/>
    <s v="hunarchoudhary@example.com"/>
    <n v="918605000000"/>
    <x v="4"/>
    <n v="87"/>
    <n v="60"/>
    <s v="Non-AC"/>
    <x v="156"/>
    <d v="2001-05-01T00:00:00"/>
    <n v="12.1789737171464"/>
    <x v="0"/>
    <n v="676000"/>
    <n v="736000"/>
  </r>
  <r>
    <s v="Mannat Konda"/>
    <s v="STU269"/>
    <s v="ENR269"/>
    <x v="1"/>
    <x v="0"/>
    <n v="4"/>
    <s v="Computer Science and Engineering"/>
    <x v="8"/>
    <n v="169000"/>
    <n v="154000"/>
    <n v="15000"/>
    <n v="0"/>
    <x v="0"/>
    <x v="2"/>
    <x v="7"/>
    <x v="6"/>
    <s v="India"/>
    <s v="arnav76@example.org"/>
    <n v="919960000000"/>
    <x v="4"/>
    <n v="87"/>
    <n v="69"/>
    <s v="Non-AC"/>
    <x v="157"/>
    <d v="2005-10-02T00:00:00"/>
    <n v="12.1789737171464"/>
    <x v="4"/>
    <n v="676000"/>
    <n v="736000"/>
  </r>
  <r>
    <s v="Kabir Barad"/>
    <s v="STU273"/>
    <s v="ENR273"/>
    <x v="5"/>
    <x v="0"/>
    <n v="4"/>
    <s v="Computer Science and Engineering"/>
    <x v="6"/>
    <n v="169000"/>
    <n v="154000"/>
    <n v="15000"/>
    <n v="0"/>
    <x v="0"/>
    <x v="2"/>
    <x v="0"/>
    <x v="0"/>
    <s v="India"/>
    <s v="gargreyansh@example.net"/>
    <n v="919049000000"/>
    <x v="0"/>
    <n v="87"/>
    <n v="90"/>
    <s v="Non-AC"/>
    <x v="158"/>
    <d v="2001-06-21T00:00:00"/>
    <n v="12.1789737171464"/>
    <x v="0"/>
    <n v="676000"/>
    <n v="736000"/>
  </r>
  <r>
    <s v="Jayesh Golla"/>
    <s v="STU302"/>
    <s v="ENR302"/>
    <x v="2"/>
    <x v="0"/>
    <n v="4"/>
    <s v="Computer Science and Engineering"/>
    <x v="1"/>
    <n v="169000"/>
    <n v="154000"/>
    <n v="15000"/>
    <n v="0"/>
    <x v="0"/>
    <x v="1"/>
    <x v="5"/>
    <x v="5"/>
    <s v="India"/>
    <s v="zachariaakarsh@example.com"/>
    <n v="919062000000"/>
    <x v="2"/>
    <n v="87"/>
    <n v="61"/>
    <s v="Non-AC"/>
    <x v="159"/>
    <d v="2005-07-07T00:00:00"/>
    <n v="12.1789737171464"/>
    <x v="5"/>
    <n v="676000"/>
    <n v="736000"/>
  </r>
  <r>
    <s v="Charvi Sahni"/>
    <s v="STU227"/>
    <s v="ENR227"/>
    <x v="0"/>
    <x v="0"/>
    <n v="4"/>
    <s v="Computer Science and Engineering"/>
    <x v="3"/>
    <n v="169000"/>
    <n v="154000"/>
    <n v="15000"/>
    <n v="0"/>
    <x v="0"/>
    <x v="2"/>
    <x v="5"/>
    <x v="5"/>
    <s v="India"/>
    <s v="hunarcheema@example.com"/>
    <n v="919880000000"/>
    <x v="0"/>
    <n v="87"/>
    <n v="75"/>
    <s v="AC"/>
    <x v="160"/>
    <d v="2005-09-26T00:00:00"/>
    <n v="12.1789737171464"/>
    <x v="4"/>
    <n v="676000"/>
    <n v="736000"/>
  </r>
  <r>
    <s v="Vaibhav Gandhi"/>
    <s v="STU1015"/>
    <s v="ENR1015"/>
    <x v="4"/>
    <x v="0"/>
    <n v="4"/>
    <s v="Computer Science and Engineering"/>
    <x v="6"/>
    <n v="169000"/>
    <n v="154000"/>
    <n v="15000"/>
    <n v="0"/>
    <x v="0"/>
    <x v="0"/>
    <x v="3"/>
    <x v="3"/>
    <s v="India"/>
    <s v="bthaker@example.com"/>
    <n v="919530000000"/>
    <x v="4"/>
    <n v="87"/>
    <n v="74"/>
    <s v="AC"/>
    <x v="161"/>
    <d v="2006-06-28T00:00:00"/>
    <n v="12.1789737171464"/>
    <x v="4"/>
    <n v="676000"/>
    <n v="736000"/>
  </r>
  <r>
    <s v="Hansh Karnik"/>
    <s v="STU355"/>
    <s v="ENR355"/>
    <x v="0"/>
    <x v="1"/>
    <n v="2"/>
    <s v="Computer Science Engineering"/>
    <x v="5"/>
    <n v="92000"/>
    <n v="77000"/>
    <n v="15000"/>
    <n v="0"/>
    <x v="0"/>
    <x v="2"/>
    <x v="5"/>
    <x v="5"/>
    <s v="India"/>
    <s v="cbarman@example.com"/>
    <n v="919055000000"/>
    <x v="4"/>
    <n v="87"/>
    <n v="77"/>
    <s v="Non-AC"/>
    <x v="162"/>
    <d v="1997-07-29T00:00:00"/>
    <n v="12.1789737171464"/>
    <x v="9"/>
    <n v="184000"/>
    <n v="214000"/>
  </r>
  <r>
    <s v="Miraan Bera"/>
    <s v="STU506"/>
    <s v="ENR506"/>
    <x v="4"/>
    <x v="1"/>
    <n v="2"/>
    <s v="Computer Science Engineering"/>
    <x v="0"/>
    <n v="92000"/>
    <n v="77000"/>
    <n v="15000"/>
    <n v="0"/>
    <x v="0"/>
    <x v="1"/>
    <x v="0"/>
    <x v="0"/>
    <s v="India"/>
    <s v="zdash@example.net"/>
    <n v="918411000000"/>
    <x v="4"/>
    <n v="87"/>
    <n v="83"/>
    <s v="Non-AC"/>
    <x v="163"/>
    <d v="2001-09-15T00:00:00"/>
    <n v="12.1789737171464"/>
    <x v="6"/>
    <n v="184000"/>
    <n v="214000"/>
  </r>
  <r>
    <s v="Amira Srinivasan"/>
    <s v="STU417"/>
    <s v="ENR417"/>
    <x v="2"/>
    <x v="1"/>
    <n v="2"/>
    <s v="Computer Science Engineering"/>
    <x v="0"/>
    <n v="92000"/>
    <n v="77000"/>
    <n v="15000"/>
    <n v="0"/>
    <x v="0"/>
    <x v="0"/>
    <x v="6"/>
    <x v="3"/>
    <s v="India"/>
    <s v="sbarad@example.org"/>
    <n v="919969000000"/>
    <x v="3"/>
    <n v="87"/>
    <n v="73"/>
    <s v="AC"/>
    <x v="164"/>
    <d v="1998-02-07T00:00:00"/>
    <n v="12.1789737171464"/>
    <x v="9"/>
    <n v="184000"/>
    <n v="214000"/>
  </r>
  <r>
    <s v="Kimaya Aggarwal"/>
    <s v="STU216"/>
    <s v="ENR216"/>
    <x v="3"/>
    <x v="0"/>
    <n v="4"/>
    <s v="Computer Science and Engineering"/>
    <x v="9"/>
    <n v="169000"/>
    <n v="154000"/>
    <n v="15000"/>
    <n v="0"/>
    <x v="0"/>
    <x v="2"/>
    <x v="0"/>
    <x v="0"/>
    <s v="India"/>
    <s v="fzachariah@example.com"/>
    <n v="917215000000"/>
    <x v="1"/>
    <n v="87"/>
    <n v="68"/>
    <s v="AC"/>
    <x v="165"/>
    <d v="2005-07-10T00:00:00"/>
    <n v="12.1789737171464"/>
    <x v="4"/>
    <n v="676000"/>
    <n v="736000"/>
  </r>
  <r>
    <s v="Badal Sant"/>
    <s v="STU988"/>
    <s v="ENR988"/>
    <x v="4"/>
    <x v="0"/>
    <n v="4"/>
    <s v="Computer Science and Engineering"/>
    <x v="0"/>
    <n v="169000"/>
    <n v="154000"/>
    <n v="15000"/>
    <n v="0"/>
    <x v="0"/>
    <x v="0"/>
    <x v="1"/>
    <x v="1"/>
    <s v="India"/>
    <s v="mannatvyas@example.org"/>
    <n v="917331000000"/>
    <x v="4"/>
    <n v="87"/>
    <n v="64"/>
    <s v="Non-AC"/>
    <x v="166"/>
    <d v="2002-07-26T00:00:00"/>
    <n v="12.1789737171464"/>
    <x v="2"/>
    <n v="676000"/>
    <n v="736000"/>
  </r>
  <r>
    <s v="Gatik Banerjee"/>
    <s v="STU804"/>
    <s v="ENR804"/>
    <x v="1"/>
    <x v="0"/>
    <n v="4"/>
    <s v="Computer Science and Engineering"/>
    <x v="5"/>
    <n v="169000"/>
    <n v="154000"/>
    <n v="15000"/>
    <n v="0"/>
    <x v="0"/>
    <x v="1"/>
    <x v="1"/>
    <x v="1"/>
    <s v="India"/>
    <s v="nayantararout@example.net"/>
    <n v="919024000000"/>
    <x v="2"/>
    <n v="87"/>
    <n v="85"/>
    <s v="Non-AC"/>
    <x v="167"/>
    <d v="2004-05-06T00:00:00"/>
    <n v="12.1789737171464"/>
    <x v="3"/>
    <n v="676000"/>
    <n v="736000"/>
  </r>
  <r>
    <s v="Shamik Kala"/>
    <s v="STU983"/>
    <s v="ENR983"/>
    <x v="4"/>
    <x v="0"/>
    <n v="4"/>
    <s v="Computer Science and Engineering"/>
    <x v="6"/>
    <n v="169000"/>
    <n v="154000"/>
    <n v="15000"/>
    <n v="0"/>
    <x v="0"/>
    <x v="2"/>
    <x v="7"/>
    <x v="6"/>
    <s v="India"/>
    <s v="bahrisahil@example.net"/>
    <n v="919416000000"/>
    <x v="0"/>
    <n v="87"/>
    <n v="88"/>
    <s v="AC"/>
    <x v="168"/>
    <d v="2002-09-13T00:00:00"/>
    <n v="12.1789737171464"/>
    <x v="2"/>
    <n v="676000"/>
    <n v="736000"/>
  </r>
  <r>
    <s v="Diya Golla"/>
    <s v="STU1073"/>
    <s v="ENR1073"/>
    <x v="3"/>
    <x v="0"/>
    <n v="4"/>
    <s v="Computer Science and Engineering"/>
    <x v="3"/>
    <n v="169000"/>
    <n v="154000"/>
    <n v="15000"/>
    <n v="0"/>
    <x v="0"/>
    <x v="2"/>
    <x v="2"/>
    <x v="2"/>
    <s v="India"/>
    <s v="heeredwin@example.com"/>
    <n v="919372000000"/>
    <x v="4"/>
    <n v="87"/>
    <n v="75"/>
    <s v="AC"/>
    <x v="169"/>
    <d v="2001-01-17T00:00:00"/>
    <n v="12.1789737171464"/>
    <x v="0"/>
    <n v="676000"/>
    <n v="736000"/>
  </r>
  <r>
    <s v="Eshani Chadha"/>
    <s v="STU965"/>
    <s v="ENR965"/>
    <x v="2"/>
    <x v="0"/>
    <n v="4"/>
    <s v="Computer Science and Engineering"/>
    <x v="9"/>
    <n v="169000"/>
    <n v="154000"/>
    <n v="15000"/>
    <n v="0"/>
    <x v="1"/>
    <x v="0"/>
    <x v="1"/>
    <x v="1"/>
    <s v="India"/>
    <s v="anvibarman@example.org"/>
    <n v="919818000000"/>
    <x v="3"/>
    <n v="87"/>
    <n v="72"/>
    <s v="Non-AC"/>
    <x v="170"/>
    <d v="2004-12-28T00:00:00"/>
    <n v="12.1789737171464"/>
    <x v="5"/>
    <n v="676000"/>
    <n v="736000"/>
  </r>
  <r>
    <s v="Dhanuk Srinivasan"/>
    <s v="STU825"/>
    <s v="ENR825"/>
    <x v="2"/>
    <x v="0"/>
    <n v="4"/>
    <s v="Computer Science and Engineering"/>
    <x v="3"/>
    <n v="169000"/>
    <n v="154000"/>
    <n v="15000"/>
    <n v="0"/>
    <x v="1"/>
    <x v="2"/>
    <x v="4"/>
    <x v="4"/>
    <s v="India"/>
    <s v="bdesai@example.com"/>
    <n v="918341000000"/>
    <x v="2"/>
    <n v="87"/>
    <n v="90"/>
    <s v="Non-AC"/>
    <x v="171"/>
    <d v="2003-06-08T00:00:00"/>
    <n v="12.1789737171464"/>
    <x v="2"/>
    <n v="676000"/>
    <n v="736000"/>
  </r>
  <r>
    <s v="Nakul Bal"/>
    <s v="STU435"/>
    <s v="ENR435"/>
    <x v="2"/>
    <x v="0"/>
    <n v="4"/>
    <s v="Computer Science and Engineering"/>
    <x v="0"/>
    <n v="169000"/>
    <n v="154000"/>
    <n v="15000"/>
    <n v="0"/>
    <x v="1"/>
    <x v="2"/>
    <x v="0"/>
    <x v="0"/>
    <s v="India"/>
    <s v="bbawa@example.com"/>
    <n v="918504000000"/>
    <x v="3"/>
    <n v="87"/>
    <n v="66"/>
    <s v="AC"/>
    <x v="172"/>
    <d v="2002-03-17T00:00:00"/>
    <n v="12.1789737171464"/>
    <x v="6"/>
    <n v="676000"/>
    <n v="736000"/>
  </r>
  <r>
    <s v="Kimaya Sarma"/>
    <s v="STU146"/>
    <s v="ENR146"/>
    <x v="2"/>
    <x v="1"/>
    <n v="2"/>
    <s v="Computer Science Engineering"/>
    <x v="3"/>
    <n v="92000"/>
    <n v="77000"/>
    <n v="15000"/>
    <n v="0"/>
    <x v="1"/>
    <x v="1"/>
    <x v="9"/>
    <x v="8"/>
    <s v="India"/>
    <s v="mishti95@example.com"/>
    <n v="917419000000"/>
    <x v="2"/>
    <n v="87"/>
    <n v="82"/>
    <s v="Non-AC"/>
    <x v="173"/>
    <d v="1998-01-25T00:00:00"/>
    <n v="12.1789737171464"/>
    <x v="9"/>
    <n v="184000"/>
    <n v="214000"/>
  </r>
  <r>
    <s v="Jiya Bala"/>
    <s v="STU133"/>
    <s v="ENR133"/>
    <x v="1"/>
    <x v="1"/>
    <n v="2"/>
    <s v="Computer Science Engineering"/>
    <x v="3"/>
    <n v="92000"/>
    <n v="77000"/>
    <n v="15000"/>
    <n v="0"/>
    <x v="1"/>
    <x v="0"/>
    <x v="3"/>
    <x v="3"/>
    <s v="India"/>
    <s v="wsampath@example.org"/>
    <n v="918611000000"/>
    <x v="3"/>
    <n v="87"/>
    <n v="74"/>
    <s v="AC"/>
    <x v="174"/>
    <d v="2000-05-11T00:00:00"/>
    <n v="12.1789737171464"/>
    <x v="1"/>
    <n v="184000"/>
    <n v="214000"/>
  </r>
  <r>
    <s v="Kiara Bakshi"/>
    <s v="STU474"/>
    <s v="ENR474"/>
    <x v="4"/>
    <x v="1"/>
    <n v="2"/>
    <s v="Computer Science Engineering"/>
    <x v="4"/>
    <n v="92000"/>
    <n v="77000"/>
    <n v="15000"/>
    <n v="0"/>
    <x v="1"/>
    <x v="1"/>
    <x v="4"/>
    <x v="4"/>
    <s v="India"/>
    <s v="yuvraj-30@example.com"/>
    <n v="919797000000"/>
    <x v="0"/>
    <n v="87"/>
    <n v="87"/>
    <s v="Non-AC"/>
    <x v="175"/>
    <d v="1996-08-02T00:00:00"/>
    <n v="12.1789737171464"/>
    <x v="8"/>
    <n v="184000"/>
    <n v="214000"/>
  </r>
  <r>
    <s v="Kashvi Wali"/>
    <s v="STU557"/>
    <s v="ENR557"/>
    <x v="4"/>
    <x v="0"/>
    <n v="4"/>
    <s v="Computer Science and Engineering"/>
    <x v="2"/>
    <n v="169000"/>
    <n v="154000"/>
    <n v="15000"/>
    <n v="0"/>
    <x v="1"/>
    <x v="0"/>
    <x v="2"/>
    <x v="2"/>
    <s v="India"/>
    <s v="devanshtiwari@example.org"/>
    <n v="917338000000"/>
    <x v="3"/>
    <n v="87"/>
    <n v="81"/>
    <s v="AC"/>
    <x v="176"/>
    <d v="2004-02-27T00:00:00"/>
    <n v="12.1789737171464"/>
    <x v="3"/>
    <n v="676000"/>
    <n v="736000"/>
  </r>
  <r>
    <s v="Kimaya Bumb"/>
    <s v="STU642"/>
    <s v="ENR642"/>
    <x v="4"/>
    <x v="0"/>
    <n v="4"/>
    <s v="Computer Science and Engineering"/>
    <x v="2"/>
    <n v="169000"/>
    <n v="154000"/>
    <n v="15000"/>
    <n v="0"/>
    <x v="1"/>
    <x v="0"/>
    <x v="4"/>
    <x v="4"/>
    <s v="India"/>
    <s v="wkonda@example.org"/>
    <n v="918193000000"/>
    <x v="1"/>
    <n v="87"/>
    <n v="88"/>
    <s v="AC"/>
    <x v="177"/>
    <d v="2002-07-28T00:00:00"/>
    <n v="12.1789737171464"/>
    <x v="2"/>
    <n v="676000"/>
    <n v="736000"/>
  </r>
  <r>
    <s v="Suhana Bandi"/>
    <s v="STU468"/>
    <s v="ENR468"/>
    <x v="5"/>
    <x v="1"/>
    <n v="2"/>
    <s v="Computer Science Engineering"/>
    <x v="0"/>
    <n v="92000"/>
    <n v="77000"/>
    <n v="15000"/>
    <n v="0"/>
    <x v="1"/>
    <x v="1"/>
    <x v="8"/>
    <x v="7"/>
    <s v="India"/>
    <s v="ibatta@example.com"/>
    <n v="919180000000"/>
    <x v="4"/>
    <n v="87"/>
    <n v="87"/>
    <s v="AC"/>
    <x v="178"/>
    <d v="2000-02-05T00:00:00"/>
    <n v="12.1789737171464"/>
    <x v="1"/>
    <n v="184000"/>
    <n v="214000"/>
  </r>
  <r>
    <s v="Elakshi Chopra"/>
    <s v="STU105"/>
    <s v="ENR105"/>
    <x v="3"/>
    <x v="0"/>
    <n v="4"/>
    <s v="Computer Science and Engineering"/>
    <x v="6"/>
    <n v="169000"/>
    <n v="154000"/>
    <n v="15000"/>
    <n v="0"/>
    <x v="1"/>
    <x v="1"/>
    <x v="7"/>
    <x v="6"/>
    <s v="India"/>
    <s v="rsarin@example.com"/>
    <n v="917421000000"/>
    <x v="4"/>
    <n v="87"/>
    <n v="72"/>
    <s v="Non-AC"/>
    <x v="179"/>
    <d v="2001-09-05T00:00:00"/>
    <n v="12.1789737171464"/>
    <x v="6"/>
    <n v="676000"/>
    <n v="736000"/>
  </r>
  <r>
    <s v="Nitara Sharaf"/>
    <s v="STU623"/>
    <s v="ENR623"/>
    <x v="1"/>
    <x v="0"/>
    <n v="4"/>
    <s v="Computer Science and Engineering"/>
    <x v="0"/>
    <n v="169000"/>
    <n v="154000"/>
    <n v="15000"/>
    <n v="0"/>
    <x v="1"/>
    <x v="0"/>
    <x v="7"/>
    <x v="6"/>
    <s v="India"/>
    <s v="mahikasridhar@example.net"/>
    <n v="917812000000"/>
    <x v="0"/>
    <n v="87"/>
    <n v="81"/>
    <s v="Non-AC"/>
    <x v="180"/>
    <d v="2005-08-15T00:00:00"/>
    <n v="12.1789737171464"/>
    <x v="4"/>
    <n v="676000"/>
    <n v="736000"/>
  </r>
  <r>
    <s v="Madhav Banerjee"/>
    <s v="STU236"/>
    <s v="ENR236"/>
    <x v="2"/>
    <x v="1"/>
    <n v="2"/>
    <s v="Computer Science Engineering"/>
    <x v="1"/>
    <n v="92000"/>
    <n v="77000"/>
    <n v="15000"/>
    <n v="0"/>
    <x v="0"/>
    <x v="0"/>
    <x v="1"/>
    <x v="1"/>
    <s v="India"/>
    <s v="hansh99@example.net"/>
    <n v="918047000000"/>
    <x v="2"/>
    <n v="87"/>
    <n v="68"/>
    <s v="Non-AC"/>
    <x v="181"/>
    <d v="1997-04-10T00:00:00"/>
    <n v="12.1789737171464"/>
    <x v="8"/>
    <n v="184000"/>
    <n v="214000"/>
  </r>
  <r>
    <s v="Ritvik Acharya"/>
    <s v="STU148"/>
    <s v="ENR148"/>
    <x v="5"/>
    <x v="1"/>
    <n v="2"/>
    <s v="Computer Science Engineering"/>
    <x v="1"/>
    <n v="92000"/>
    <n v="77000"/>
    <n v="15000"/>
    <n v="0"/>
    <x v="0"/>
    <x v="1"/>
    <x v="1"/>
    <x v="1"/>
    <s v="India"/>
    <s v="zbhandari@example.org"/>
    <n v="918234000000"/>
    <x v="4"/>
    <n v="87"/>
    <n v="69"/>
    <s v="Non-AC"/>
    <x v="182"/>
    <d v="2000-04-24T00:00:00"/>
    <n v="12.1789737171464"/>
    <x v="1"/>
    <n v="184000"/>
    <n v="214000"/>
  </r>
  <r>
    <s v="Romil Acharya"/>
    <s v="STU089"/>
    <s v="ENR089"/>
    <x v="2"/>
    <x v="0"/>
    <n v="4"/>
    <s v="Computer Science and Engineering"/>
    <x v="6"/>
    <n v="169000"/>
    <n v="154000"/>
    <n v="15000"/>
    <n v="0"/>
    <x v="0"/>
    <x v="1"/>
    <x v="3"/>
    <x v="3"/>
    <s v="India"/>
    <s v="suhana12@example.com"/>
    <n v="919060000000"/>
    <x v="4"/>
    <n v="87"/>
    <n v="88"/>
    <s v="Non-AC"/>
    <x v="183"/>
    <d v="2001-08-20T00:00:00"/>
    <n v="12.1789737171464"/>
    <x v="6"/>
    <n v="676000"/>
    <n v="736000"/>
  </r>
  <r>
    <s v="Aarush Sama"/>
    <s v="STU082"/>
    <s v="ENR082"/>
    <x v="4"/>
    <x v="0"/>
    <n v="4"/>
    <s v="Computer Science and Engineering"/>
    <x v="8"/>
    <n v="169000"/>
    <n v="154000"/>
    <n v="15000"/>
    <n v="0"/>
    <x v="0"/>
    <x v="2"/>
    <x v="8"/>
    <x v="7"/>
    <s v="India"/>
    <s v="vkrishnamurthy@example.net"/>
    <n v="919891000000"/>
    <x v="2"/>
    <n v="87"/>
    <n v="66"/>
    <s v="AC"/>
    <x v="184"/>
    <d v="2000-08-03T00:00:00"/>
    <n v="12.1789737171464"/>
    <x v="0"/>
    <n v="676000"/>
    <n v="736000"/>
  </r>
  <r>
    <s v="Vidur Contractor"/>
    <s v="STU455"/>
    <s v="ENR455"/>
    <x v="3"/>
    <x v="1"/>
    <n v="2"/>
    <s v="Computer Science Engineering"/>
    <x v="0"/>
    <n v="92000"/>
    <n v="77000"/>
    <n v="15000"/>
    <n v="0"/>
    <x v="0"/>
    <x v="1"/>
    <x v="0"/>
    <x v="0"/>
    <s v="India"/>
    <s v="gillehsaan@example.net"/>
    <n v="918653000000"/>
    <x v="2"/>
    <n v="87"/>
    <n v="73"/>
    <s v="AC"/>
    <x v="185"/>
    <d v="2001-08-11T00:00:00"/>
    <n v="12.1789737171464"/>
    <x v="6"/>
    <n v="184000"/>
    <n v="214000"/>
  </r>
  <r>
    <s v="Jivin Dhingra"/>
    <s v="STU465"/>
    <s v="ENR465"/>
    <x v="5"/>
    <x v="1"/>
    <n v="2"/>
    <s v="Computer Science Engineering"/>
    <x v="1"/>
    <n v="92000"/>
    <n v="77000"/>
    <n v="15000"/>
    <n v="0"/>
    <x v="0"/>
    <x v="0"/>
    <x v="8"/>
    <x v="7"/>
    <s v="India"/>
    <s v="pwagle@example.com"/>
    <n v="917448000000"/>
    <x v="4"/>
    <n v="87"/>
    <n v="77"/>
    <s v="Non-AC"/>
    <x v="186"/>
    <d v="2000-10-26T00:00:00"/>
    <n v="12.1789737171464"/>
    <x v="0"/>
    <n v="184000"/>
    <n v="214000"/>
  </r>
  <r>
    <s v="Vihaan Balay"/>
    <s v="STU600"/>
    <s v="ENR600"/>
    <x v="0"/>
    <x v="0"/>
    <n v="4"/>
    <s v="Computer Science and Engineering"/>
    <x v="1"/>
    <n v="169000"/>
    <n v="154000"/>
    <n v="15000"/>
    <n v="0"/>
    <x v="0"/>
    <x v="2"/>
    <x v="0"/>
    <x v="0"/>
    <s v="India"/>
    <s v="shethdhanush@example.net"/>
    <n v="917074000000"/>
    <x v="2"/>
    <n v="87"/>
    <n v="76"/>
    <s v="Non-AC"/>
    <x v="187"/>
    <d v="2000-10-14T00:00:00"/>
    <n v="12.1789737171464"/>
    <x v="0"/>
    <n v="676000"/>
    <n v="736000"/>
  </r>
  <r>
    <s v="Anay Talwar"/>
    <s v="STU494"/>
    <s v="ENR494"/>
    <x v="4"/>
    <x v="0"/>
    <n v="4"/>
    <s v="Computer Science and Engineering"/>
    <x v="3"/>
    <n v="169000"/>
    <n v="154000"/>
    <n v="15000"/>
    <n v="0"/>
    <x v="0"/>
    <x v="1"/>
    <x v="5"/>
    <x v="5"/>
    <s v="India"/>
    <s v="svasa@example.net"/>
    <n v="919354000000"/>
    <x v="0"/>
    <n v="87"/>
    <n v="74"/>
    <s v="AC"/>
    <x v="188"/>
    <d v="2001-09-17T00:00:00"/>
    <n v="12.1789737171464"/>
    <x v="6"/>
    <n v="676000"/>
    <n v="736000"/>
  </r>
  <r>
    <s v="Nehmat Sengupta"/>
    <s v="STU461"/>
    <s v="ENR461"/>
    <x v="3"/>
    <x v="1"/>
    <n v="2"/>
    <s v="Computer Science Engineering"/>
    <x v="5"/>
    <n v="92000"/>
    <n v="77000"/>
    <n v="15000"/>
    <n v="0"/>
    <x v="0"/>
    <x v="0"/>
    <x v="7"/>
    <x v="6"/>
    <s v="India"/>
    <s v="cbhatnagar@example.net"/>
    <n v="917185000000"/>
    <x v="4"/>
    <n v="87"/>
    <n v="62"/>
    <s v="Non-AC"/>
    <x v="189"/>
    <d v="1998-07-18T00:00:00"/>
    <n v="12.1789737171464"/>
    <x v="7"/>
    <n v="184000"/>
    <n v="214000"/>
  </r>
  <r>
    <s v="Shalv Desai"/>
    <s v="STU796"/>
    <s v="ENR796"/>
    <x v="3"/>
    <x v="0"/>
    <n v="4"/>
    <s v="Computer Science and Engineering"/>
    <x v="6"/>
    <n v="169000"/>
    <n v="154000"/>
    <n v="15000"/>
    <n v="0"/>
    <x v="0"/>
    <x v="0"/>
    <x v="3"/>
    <x v="3"/>
    <s v="India"/>
    <s v="lkara@example.org"/>
    <n v="918065000000"/>
    <x v="0"/>
    <n v="87"/>
    <n v="87"/>
    <s v="Non-AC"/>
    <x v="190"/>
    <d v="2003-01-15T00:00:00"/>
    <n v="12.1789737171464"/>
    <x v="2"/>
    <n v="676000"/>
    <n v="736000"/>
  </r>
  <r>
    <s v="Inaaya  Suri"/>
    <s v="STU297"/>
    <s v="ENR297"/>
    <x v="4"/>
    <x v="1"/>
    <n v="2"/>
    <s v="Computer Science Engineering"/>
    <x v="6"/>
    <n v="92000"/>
    <n v="77000"/>
    <n v="15000"/>
    <n v="0"/>
    <x v="0"/>
    <x v="1"/>
    <x v="6"/>
    <x v="3"/>
    <s v="India"/>
    <s v="aainakade@example.com"/>
    <n v="919905000000"/>
    <x v="1"/>
    <n v="87"/>
    <n v="88"/>
    <s v="Non-AC"/>
    <x v="191"/>
    <d v="1998-01-11T00:00:00"/>
    <n v="12.1789737171464"/>
    <x v="9"/>
    <n v="184000"/>
    <n v="214000"/>
  </r>
  <r>
    <s v="Nishith Ramesh"/>
    <s v="STU609"/>
    <s v="ENR609"/>
    <x v="1"/>
    <x v="0"/>
    <n v="4"/>
    <s v="Computer Science and Engineering"/>
    <x v="3"/>
    <n v="169000"/>
    <n v="154000"/>
    <n v="15000"/>
    <n v="0"/>
    <x v="0"/>
    <x v="2"/>
    <x v="8"/>
    <x v="7"/>
    <s v="India"/>
    <s v="kaira99@example.org"/>
    <n v="917121000000"/>
    <x v="1"/>
    <n v="86"/>
    <n v="76"/>
    <s v="Non-AC"/>
    <x v="192"/>
    <d v="2003-05-15T00:00:00"/>
    <n v="11.1789737171464"/>
    <x v="2"/>
    <n v="676000"/>
    <n v="736000"/>
  </r>
  <r>
    <s v="Seher Varughese"/>
    <s v="STU201"/>
    <s v="ENR201"/>
    <x v="3"/>
    <x v="1"/>
    <n v="2"/>
    <s v="Computer Science Engineering"/>
    <x v="0"/>
    <n v="92000"/>
    <n v="77000"/>
    <n v="15000"/>
    <n v="0"/>
    <x v="0"/>
    <x v="2"/>
    <x v="2"/>
    <x v="2"/>
    <s v="India"/>
    <s v="ybahri@example.net"/>
    <n v="918546000000"/>
    <x v="1"/>
    <n v="86"/>
    <n v="81"/>
    <s v="AC"/>
    <x v="193"/>
    <d v="2000-09-17T00:00:00"/>
    <n v="11.1789737171464"/>
    <x v="0"/>
    <n v="184000"/>
    <n v="214000"/>
  </r>
  <r>
    <s v="Rania Kade"/>
    <s v="STU614"/>
    <s v="ENR614"/>
    <x v="1"/>
    <x v="0"/>
    <n v="4"/>
    <s v="Computer Science and Engineering"/>
    <x v="3"/>
    <n v="169000"/>
    <n v="154000"/>
    <n v="15000"/>
    <n v="0"/>
    <x v="0"/>
    <x v="1"/>
    <x v="1"/>
    <x v="1"/>
    <s v="India"/>
    <s v="tiyabrar@example.net"/>
    <n v="917696000000"/>
    <x v="3"/>
    <n v="86"/>
    <n v="86"/>
    <s v="AC"/>
    <x v="194"/>
    <d v="2000-11-13T00:00:00"/>
    <n v="11.1789737171464"/>
    <x v="0"/>
    <n v="676000"/>
    <n v="736000"/>
  </r>
  <r>
    <s v="Jivin Balan"/>
    <s v="STU620"/>
    <s v="ENR620"/>
    <x v="1"/>
    <x v="0"/>
    <n v="4"/>
    <s v="Computer Science and Engineering"/>
    <x v="3"/>
    <n v="169000"/>
    <n v="154000"/>
    <n v="15000"/>
    <n v="0"/>
    <x v="0"/>
    <x v="1"/>
    <x v="6"/>
    <x v="3"/>
    <s v="India"/>
    <s v="shanaya97@example.net"/>
    <n v="919786000000"/>
    <x v="1"/>
    <n v="86"/>
    <n v="92"/>
    <s v="AC"/>
    <x v="195"/>
    <d v="2005-11-02T00:00:00"/>
    <n v="11.1789737171464"/>
    <x v="4"/>
    <n v="676000"/>
    <n v="736000"/>
  </r>
  <r>
    <s v="Sana Gola"/>
    <s v="STU332"/>
    <s v="ENR332"/>
    <x v="3"/>
    <x v="0"/>
    <n v="4"/>
    <s v="Computer Science and Engineering"/>
    <x v="2"/>
    <n v="169000"/>
    <n v="154000"/>
    <n v="15000"/>
    <n v="0"/>
    <x v="0"/>
    <x v="2"/>
    <x v="9"/>
    <x v="8"/>
    <s v="India"/>
    <s v="aradhyagala@example.net"/>
    <n v="917260000000"/>
    <x v="3"/>
    <n v="86"/>
    <n v="86"/>
    <s v="AC"/>
    <x v="196"/>
    <d v="2003-06-30T00:00:00"/>
    <n v="11.1789737171464"/>
    <x v="2"/>
    <n v="676000"/>
    <n v="736000"/>
  </r>
  <r>
    <s v="Gatik Buch"/>
    <s v="STU1063"/>
    <s v="ENR1063"/>
    <x v="1"/>
    <x v="0"/>
    <n v="4"/>
    <s v="Computer Science and Engineering"/>
    <x v="6"/>
    <n v="169000"/>
    <n v="154000"/>
    <n v="15000"/>
    <n v="0"/>
    <x v="0"/>
    <x v="2"/>
    <x v="0"/>
    <x v="0"/>
    <s v="India"/>
    <s v="badamishaan@example.org"/>
    <n v="917188000000"/>
    <x v="3"/>
    <n v="86"/>
    <n v="67"/>
    <s v="Non-AC"/>
    <x v="197"/>
    <d v="2005-08-16T00:00:00"/>
    <n v="11.1789737171464"/>
    <x v="4"/>
    <n v="676000"/>
    <n v="736000"/>
  </r>
  <r>
    <s v="Aarush Khanna"/>
    <s v="STU158"/>
    <s v="ENR158"/>
    <x v="2"/>
    <x v="1"/>
    <n v="2"/>
    <s v="Computer Science Engineering"/>
    <x v="0"/>
    <n v="92000"/>
    <n v="77000"/>
    <n v="15000"/>
    <n v="0"/>
    <x v="0"/>
    <x v="0"/>
    <x v="6"/>
    <x v="3"/>
    <s v="India"/>
    <s v="vboase@example.org"/>
    <n v="917219000000"/>
    <x v="3"/>
    <n v="86"/>
    <n v="82"/>
    <s v="Non-AC"/>
    <x v="198"/>
    <d v="1997-10-27T00:00:00"/>
    <n v="11.1789737171464"/>
    <x v="9"/>
    <n v="184000"/>
    <n v="214000"/>
  </r>
  <r>
    <s v="Devansh Bhalla"/>
    <s v="STU626"/>
    <s v="ENR626"/>
    <x v="3"/>
    <x v="0"/>
    <n v="4"/>
    <s v="Computer Science and Engineering"/>
    <x v="0"/>
    <n v="169000"/>
    <n v="154000"/>
    <n v="15000"/>
    <n v="0"/>
    <x v="0"/>
    <x v="2"/>
    <x v="3"/>
    <x v="3"/>
    <s v="India"/>
    <s v="zchada@example.org"/>
    <n v="919237000000"/>
    <x v="1"/>
    <n v="86"/>
    <n v="74"/>
    <s v="Non-AC"/>
    <x v="199"/>
    <d v="2002-02-01T00:00:00"/>
    <n v="11.1789737171464"/>
    <x v="6"/>
    <n v="676000"/>
    <n v="736000"/>
  </r>
  <r>
    <s v="Sara Kulkarni"/>
    <s v="STU1164"/>
    <s v="ENR1164"/>
    <x v="4"/>
    <x v="0"/>
    <n v="4"/>
    <s v="Computer Science and Engineering"/>
    <x v="0"/>
    <n v="169000"/>
    <n v="154000"/>
    <n v="15000"/>
    <n v="0"/>
    <x v="0"/>
    <x v="2"/>
    <x v="8"/>
    <x v="7"/>
    <s v="India"/>
    <s v="taimurkrishnamurthy@example.net"/>
    <n v="918203000000"/>
    <x v="4"/>
    <n v="86"/>
    <n v="91"/>
    <s v="Non-AC"/>
    <x v="200"/>
    <d v="2005-08-12T00:00:00"/>
    <n v="11.1789737171464"/>
    <x v="4"/>
    <n v="676000"/>
    <n v="736000"/>
  </r>
  <r>
    <s v="Adira Sunder"/>
    <s v="STU309"/>
    <s v="ENR309"/>
    <x v="0"/>
    <x v="0"/>
    <n v="4"/>
    <s v="Computer Science and Engineering"/>
    <x v="1"/>
    <n v="169000"/>
    <n v="154000"/>
    <n v="15000"/>
    <n v="0"/>
    <x v="0"/>
    <x v="0"/>
    <x v="8"/>
    <x v="7"/>
    <s v="India"/>
    <s v="bbhasin@example.net"/>
    <n v="917409000000"/>
    <x v="4"/>
    <n v="86"/>
    <n v="86"/>
    <s v="Non-AC"/>
    <x v="201"/>
    <d v="2005-12-11T00:00:00"/>
    <n v="11.1789737171464"/>
    <x v="4"/>
    <n v="676000"/>
    <n v="736000"/>
  </r>
  <r>
    <s v="Siya Goyal"/>
    <s v="STU306"/>
    <s v="ENR306"/>
    <x v="2"/>
    <x v="0"/>
    <n v="4"/>
    <s v="Computer Science and Engineering"/>
    <x v="3"/>
    <n v="169000"/>
    <n v="154000"/>
    <n v="15000"/>
    <n v="0"/>
    <x v="0"/>
    <x v="0"/>
    <x v="4"/>
    <x v="4"/>
    <s v="India"/>
    <s v="nirvisethi@example.org"/>
    <n v="917882000000"/>
    <x v="0"/>
    <n v="86"/>
    <n v="64"/>
    <s v="AC"/>
    <x v="202"/>
    <d v="2002-08-02T00:00:00"/>
    <n v="11.1789737171464"/>
    <x v="2"/>
    <n v="676000"/>
    <n v="736000"/>
  </r>
  <r>
    <s v="Anaya Acharya"/>
    <s v="STU633"/>
    <s v="ENR633"/>
    <x v="1"/>
    <x v="0"/>
    <n v="4"/>
    <s v="Computer Science and Engineering"/>
    <x v="7"/>
    <n v="169000"/>
    <n v="154000"/>
    <n v="15000"/>
    <n v="0"/>
    <x v="0"/>
    <x v="0"/>
    <x v="2"/>
    <x v="2"/>
    <s v="India"/>
    <s v="ishaan17@example.net"/>
    <n v="918608000000"/>
    <x v="1"/>
    <n v="86"/>
    <n v="74"/>
    <s v="Non-AC"/>
    <x v="203"/>
    <d v="2005-01-11T00:00:00"/>
    <n v="11.1789737171464"/>
    <x v="5"/>
    <n v="676000"/>
    <n v="736000"/>
  </r>
  <r>
    <s v="Aarav Deshpande"/>
    <s v="STU296"/>
    <s v="ENR296"/>
    <x v="0"/>
    <x v="0"/>
    <n v="4"/>
    <s v="Computer Science and Engineering"/>
    <x v="5"/>
    <n v="169000"/>
    <n v="154000"/>
    <n v="15000"/>
    <n v="0"/>
    <x v="0"/>
    <x v="0"/>
    <x v="5"/>
    <x v="5"/>
    <s v="India"/>
    <s v="chirag88@example.com"/>
    <n v="917265000000"/>
    <x v="2"/>
    <n v="86"/>
    <n v="89"/>
    <s v="AC"/>
    <x v="204"/>
    <d v="2002-04-30T00:00:00"/>
    <n v="11.1789737171464"/>
    <x v="6"/>
    <n v="676000"/>
    <n v="736000"/>
  </r>
  <r>
    <s v="Suhana Sama"/>
    <s v="STU292"/>
    <s v="ENR292"/>
    <x v="0"/>
    <x v="0"/>
    <n v="4"/>
    <s v="Computer Science and Engineering"/>
    <x v="2"/>
    <n v="169000"/>
    <n v="154000"/>
    <n v="15000"/>
    <n v="0"/>
    <x v="0"/>
    <x v="0"/>
    <x v="7"/>
    <x v="6"/>
    <s v="India"/>
    <s v="nakulkrishna@example.net"/>
    <n v="917666000000"/>
    <x v="4"/>
    <n v="86"/>
    <n v="75"/>
    <s v="AC"/>
    <x v="205"/>
    <d v="2000-07-16T00:00:00"/>
    <n v="11.1789737171464"/>
    <x v="0"/>
    <n v="676000"/>
    <n v="736000"/>
  </r>
  <r>
    <s v="Tejas Sridhar"/>
    <s v="STU376"/>
    <s v="ENR376"/>
    <x v="3"/>
    <x v="1"/>
    <n v="2"/>
    <s v="Computer Science Engineering"/>
    <x v="5"/>
    <n v="92000"/>
    <n v="77000"/>
    <n v="15000"/>
    <n v="0"/>
    <x v="0"/>
    <x v="2"/>
    <x v="0"/>
    <x v="0"/>
    <s v="India"/>
    <s v="shethayesha@example.com"/>
    <n v="917020000000"/>
    <x v="0"/>
    <n v="86"/>
    <n v="87"/>
    <s v="Non-AC"/>
    <x v="206"/>
    <d v="2002-03-08T00:00:00"/>
    <n v="11.1789737171464"/>
    <x v="6"/>
    <n v="184000"/>
    <n v="214000"/>
  </r>
  <r>
    <s v="Samarth Saxena"/>
    <s v="STU1056"/>
    <s v="ENR1056"/>
    <x v="0"/>
    <x v="0"/>
    <n v="4"/>
    <s v="Computer Science and Engineering"/>
    <x v="5"/>
    <n v="169000"/>
    <n v="154000"/>
    <n v="15000"/>
    <n v="0"/>
    <x v="0"/>
    <x v="0"/>
    <x v="2"/>
    <x v="2"/>
    <s v="India"/>
    <s v="divyansh80@example.com"/>
    <n v="917458000000"/>
    <x v="4"/>
    <n v="86"/>
    <n v="69"/>
    <s v="Non-AC"/>
    <x v="207"/>
    <d v="2001-11-19T00:00:00"/>
    <n v="11.1789737171464"/>
    <x v="6"/>
    <n v="676000"/>
    <n v="736000"/>
  </r>
  <r>
    <s v="Madhav Hora"/>
    <s v="STU1029"/>
    <s v="ENR1029"/>
    <x v="0"/>
    <x v="0"/>
    <n v="4"/>
    <s v="Computer Science and Engineering"/>
    <x v="1"/>
    <n v="169000"/>
    <n v="154000"/>
    <n v="15000"/>
    <n v="0"/>
    <x v="0"/>
    <x v="1"/>
    <x v="7"/>
    <x v="6"/>
    <s v="India"/>
    <s v="zeeshan07@example.com"/>
    <n v="919433000000"/>
    <x v="1"/>
    <n v="86"/>
    <n v="92"/>
    <s v="AC"/>
    <x v="208"/>
    <d v="2005-09-11T00:00:00"/>
    <n v="11.1789737171464"/>
    <x v="4"/>
    <n v="676000"/>
    <n v="736000"/>
  </r>
  <r>
    <s v="Kavya Balay"/>
    <s v="STU652"/>
    <s v="ENR652"/>
    <x v="2"/>
    <x v="0"/>
    <n v="4"/>
    <s v="Computer Science and Engineering"/>
    <x v="4"/>
    <n v="169000"/>
    <n v="154000"/>
    <n v="15000"/>
    <n v="0"/>
    <x v="0"/>
    <x v="2"/>
    <x v="2"/>
    <x v="2"/>
    <s v="India"/>
    <s v="khareriya@example.org"/>
    <n v="919292000000"/>
    <x v="0"/>
    <n v="86"/>
    <n v="76"/>
    <s v="Non-AC"/>
    <x v="209"/>
    <d v="2004-08-28T00:00:00"/>
    <n v="11.1789737171464"/>
    <x v="5"/>
    <n v="676000"/>
    <n v="736000"/>
  </r>
  <r>
    <s v="Pihu Ben"/>
    <s v="STU654"/>
    <s v="ENR654"/>
    <x v="2"/>
    <x v="0"/>
    <n v="4"/>
    <s v="Computer Science and Engineering"/>
    <x v="8"/>
    <n v="169000"/>
    <n v="154000"/>
    <n v="15000"/>
    <n v="0"/>
    <x v="0"/>
    <x v="1"/>
    <x v="3"/>
    <x v="3"/>
    <s v="India"/>
    <s v="tarabhardwaj@example.net"/>
    <n v="918272000000"/>
    <x v="4"/>
    <n v="86"/>
    <n v="77"/>
    <s v="AC"/>
    <x v="210"/>
    <d v="2002-03-09T00:00:00"/>
    <n v="11.1789737171464"/>
    <x v="6"/>
    <n v="676000"/>
    <n v="736000"/>
  </r>
  <r>
    <s v="Vihaan Bhattacharyya"/>
    <s v="STU1050"/>
    <s v="ENR1050"/>
    <x v="3"/>
    <x v="0"/>
    <n v="4"/>
    <s v="Computer Science and Engineering"/>
    <x v="3"/>
    <n v="169000"/>
    <n v="154000"/>
    <n v="15000"/>
    <n v="0"/>
    <x v="0"/>
    <x v="2"/>
    <x v="5"/>
    <x v="5"/>
    <s v="India"/>
    <s v="renee15@example.org"/>
    <n v="919044000000"/>
    <x v="4"/>
    <n v="86"/>
    <n v="78"/>
    <s v="Non-AC"/>
    <x v="211"/>
    <d v="2002-07-18T00:00:00"/>
    <n v="11.1789737171464"/>
    <x v="2"/>
    <n v="676000"/>
    <n v="736000"/>
  </r>
  <r>
    <s v="Armaan Dhar"/>
    <s v="STU1067"/>
    <s v="ENR1067"/>
    <x v="2"/>
    <x v="0"/>
    <n v="4"/>
    <s v="Computer Science and Engineering"/>
    <x v="1"/>
    <n v="169000"/>
    <n v="154000"/>
    <n v="15000"/>
    <n v="0"/>
    <x v="0"/>
    <x v="2"/>
    <x v="5"/>
    <x v="5"/>
    <s v="India"/>
    <s v="nirvaan44@example.net"/>
    <n v="918994000000"/>
    <x v="1"/>
    <n v="86"/>
    <n v="81"/>
    <s v="Non-AC"/>
    <x v="212"/>
    <d v="2004-09-04T00:00:00"/>
    <n v="11.1789737171464"/>
    <x v="5"/>
    <n v="676000"/>
    <n v="736000"/>
  </r>
  <r>
    <s v="Shray Bhakta"/>
    <s v="STU229"/>
    <s v="ENR229"/>
    <x v="5"/>
    <x v="1"/>
    <n v="2"/>
    <s v="Computer Science Engineering"/>
    <x v="0"/>
    <n v="92000"/>
    <n v="77000"/>
    <n v="15000"/>
    <n v="0"/>
    <x v="0"/>
    <x v="0"/>
    <x v="1"/>
    <x v="1"/>
    <s v="India"/>
    <s v="kashvi41@example.com"/>
    <n v="917258000000"/>
    <x v="1"/>
    <n v="86"/>
    <n v="67"/>
    <s v="Non-AC"/>
    <x v="213"/>
    <d v="2002-04-04T00:00:00"/>
    <n v="11.1789737171464"/>
    <x v="6"/>
    <n v="184000"/>
    <n v="214000"/>
  </r>
  <r>
    <s v="Divij Ramakrishnan"/>
    <s v="STU993"/>
    <s v="ENR993"/>
    <x v="2"/>
    <x v="0"/>
    <n v="4"/>
    <s v="Computer Science and Engineering"/>
    <x v="7"/>
    <n v="169000"/>
    <n v="154000"/>
    <n v="15000"/>
    <n v="0"/>
    <x v="0"/>
    <x v="0"/>
    <x v="3"/>
    <x v="3"/>
    <s v="India"/>
    <s v="devanshkeer@example.com"/>
    <n v="918937000000"/>
    <x v="0"/>
    <n v="86"/>
    <n v="80"/>
    <s v="Non-AC"/>
    <x v="214"/>
    <d v="2005-01-14T00:00:00"/>
    <n v="11.1789737171464"/>
    <x v="5"/>
    <n v="676000"/>
    <n v="736000"/>
  </r>
  <r>
    <s v="Miraya Shanker"/>
    <s v="STU397"/>
    <s v="ENR397"/>
    <x v="4"/>
    <x v="0"/>
    <n v="4"/>
    <s v="Computer Science and Engineering"/>
    <x v="1"/>
    <n v="169000"/>
    <n v="154000"/>
    <n v="15000"/>
    <n v="0"/>
    <x v="0"/>
    <x v="1"/>
    <x v="3"/>
    <x v="3"/>
    <s v="India"/>
    <s v="chanderriya@example.com"/>
    <n v="918387000000"/>
    <x v="2"/>
    <n v="86"/>
    <n v="66"/>
    <s v="Non-AC"/>
    <x v="215"/>
    <d v="2000-10-12T00:00:00"/>
    <n v="11.1789737171464"/>
    <x v="0"/>
    <n v="676000"/>
    <n v="736000"/>
  </r>
  <r>
    <s v="Trisha Doshi"/>
    <s v="STU1188"/>
    <s v="ENR1188"/>
    <x v="5"/>
    <x v="0"/>
    <n v="4"/>
    <s v="Computer Science and Engineering"/>
    <x v="6"/>
    <n v="169000"/>
    <n v="154000"/>
    <n v="15000"/>
    <n v="0"/>
    <x v="0"/>
    <x v="1"/>
    <x v="4"/>
    <x v="4"/>
    <s v="India"/>
    <s v="xkant@example.org"/>
    <n v="919279000000"/>
    <x v="0"/>
    <n v="86"/>
    <n v="91"/>
    <s v="Non-AC"/>
    <x v="216"/>
    <d v="2006-04-27T00:00:00"/>
    <n v="11.1789737171464"/>
    <x v="4"/>
    <n v="676000"/>
    <n v="736000"/>
  </r>
  <r>
    <s v="Mehul Sood"/>
    <s v="STU864"/>
    <s v="ENR864"/>
    <x v="5"/>
    <x v="0"/>
    <n v="4"/>
    <s v="Computer Science and Engineering"/>
    <x v="2"/>
    <n v="169000"/>
    <n v="154000"/>
    <n v="15000"/>
    <n v="0"/>
    <x v="0"/>
    <x v="0"/>
    <x v="0"/>
    <x v="0"/>
    <s v="India"/>
    <s v="wjoshi@example.org"/>
    <n v="917088000000"/>
    <x v="4"/>
    <n v="86"/>
    <n v="65"/>
    <s v="AC"/>
    <x v="217"/>
    <d v="2003-11-17T00:00:00"/>
    <n v="11.1789737171464"/>
    <x v="3"/>
    <n v="676000"/>
    <n v="736000"/>
  </r>
  <r>
    <s v="Zain Vora"/>
    <s v="STU504"/>
    <s v="ENR504"/>
    <x v="4"/>
    <x v="0"/>
    <n v="4"/>
    <s v="Computer Science and Engineering"/>
    <x v="6"/>
    <n v="169000"/>
    <n v="154000"/>
    <n v="15000"/>
    <n v="0"/>
    <x v="0"/>
    <x v="1"/>
    <x v="2"/>
    <x v="2"/>
    <s v="India"/>
    <s v="sahilsinha@example.org"/>
    <n v="919983000000"/>
    <x v="0"/>
    <n v="86"/>
    <n v="61"/>
    <s v="Non-AC"/>
    <x v="218"/>
    <d v="2001-10-06T00:00:00"/>
    <n v="11.1789737171464"/>
    <x v="6"/>
    <n v="676000"/>
    <n v="736000"/>
  </r>
  <r>
    <s v="Ryan Chatterjee"/>
    <s v="STU182"/>
    <s v="ENR182"/>
    <x v="1"/>
    <x v="1"/>
    <n v="2"/>
    <s v="Computer Science Engineering"/>
    <x v="0"/>
    <n v="92000"/>
    <n v="77000"/>
    <n v="15000"/>
    <n v="0"/>
    <x v="0"/>
    <x v="2"/>
    <x v="7"/>
    <x v="6"/>
    <s v="India"/>
    <s v="aaravbalakrishnan@example.net"/>
    <n v="917056000000"/>
    <x v="2"/>
    <n v="86"/>
    <n v="71"/>
    <s v="AC"/>
    <x v="219"/>
    <d v="1999-07-09T00:00:00"/>
    <n v="11.1789737171464"/>
    <x v="1"/>
    <n v="184000"/>
    <n v="214000"/>
  </r>
  <r>
    <s v="Tarini Vasa"/>
    <s v="STU1129"/>
    <s v="ENR1129"/>
    <x v="5"/>
    <x v="0"/>
    <n v="4"/>
    <s v="Computer Science and Engineering"/>
    <x v="2"/>
    <n v="169000"/>
    <n v="154000"/>
    <n v="15000"/>
    <n v="0"/>
    <x v="0"/>
    <x v="1"/>
    <x v="1"/>
    <x v="1"/>
    <s v="India"/>
    <s v="barmanpihu@example.org"/>
    <n v="918262000000"/>
    <x v="1"/>
    <n v="86"/>
    <n v="78"/>
    <s v="Non-AC"/>
    <x v="220"/>
    <d v="2001-11-28T00:00:00"/>
    <n v="11.1789737171464"/>
    <x v="6"/>
    <n v="676000"/>
    <n v="736000"/>
  </r>
  <r>
    <s v="Eshani Srivastava"/>
    <s v="STU537"/>
    <s v="ENR537"/>
    <x v="1"/>
    <x v="0"/>
    <n v="4"/>
    <s v="Computer Science and Engineering"/>
    <x v="1"/>
    <n v="169000"/>
    <n v="154000"/>
    <n v="15000"/>
    <n v="0"/>
    <x v="0"/>
    <x v="1"/>
    <x v="6"/>
    <x v="3"/>
    <s v="India"/>
    <s v="ragarwal@example.org"/>
    <n v="919199000000"/>
    <x v="4"/>
    <n v="86"/>
    <n v="91"/>
    <s v="Non-AC"/>
    <x v="221"/>
    <d v="2003-03-13T00:00:00"/>
    <n v="11.1789737171464"/>
    <x v="2"/>
    <n v="676000"/>
    <n v="736000"/>
  </r>
  <r>
    <s v="Purab Krishna"/>
    <s v="STU1115"/>
    <s v="ENR1115"/>
    <x v="0"/>
    <x v="0"/>
    <n v="4"/>
    <s v="Computer Science and Engineering"/>
    <x v="1"/>
    <n v="169000"/>
    <n v="154000"/>
    <n v="15000"/>
    <n v="0"/>
    <x v="0"/>
    <x v="1"/>
    <x v="1"/>
    <x v="1"/>
    <s v="India"/>
    <s v="madhup99@example.com"/>
    <n v="917013000000"/>
    <x v="3"/>
    <n v="86"/>
    <n v="92"/>
    <s v="Non-AC"/>
    <x v="222"/>
    <d v="2002-09-02T00:00:00"/>
    <n v="11.1789737171464"/>
    <x v="2"/>
    <n v="676000"/>
    <n v="736000"/>
  </r>
  <r>
    <s v="Tanya Shere"/>
    <s v="STU769"/>
    <s v="ENR769"/>
    <x v="3"/>
    <x v="0"/>
    <n v="4"/>
    <s v="Computer Science and Engineering"/>
    <x v="0"/>
    <n v="169000"/>
    <n v="154000"/>
    <n v="15000"/>
    <n v="0"/>
    <x v="0"/>
    <x v="1"/>
    <x v="3"/>
    <x v="3"/>
    <s v="India"/>
    <s v="miraya85@example.net"/>
    <n v="917970000000"/>
    <x v="3"/>
    <n v="86"/>
    <n v="62"/>
    <s v="AC"/>
    <x v="223"/>
    <d v="2002-03-04T00:00:00"/>
    <n v="11.1789737171464"/>
    <x v="6"/>
    <n v="676000"/>
    <n v="736000"/>
  </r>
  <r>
    <s v="Nakul Taneja"/>
    <s v="STU415"/>
    <s v="ENR415"/>
    <x v="1"/>
    <x v="0"/>
    <n v="4"/>
    <s v="Computer Science and Engineering"/>
    <x v="4"/>
    <n v="169000"/>
    <n v="154000"/>
    <n v="15000"/>
    <n v="0"/>
    <x v="0"/>
    <x v="1"/>
    <x v="4"/>
    <x v="4"/>
    <s v="India"/>
    <s v="charvi87@example.net"/>
    <n v="919094000000"/>
    <x v="0"/>
    <n v="86"/>
    <n v="63"/>
    <s v="Non-AC"/>
    <x v="224"/>
    <d v="2001-02-09T00:00:00"/>
    <n v="11.1789737171464"/>
    <x v="0"/>
    <n v="676000"/>
    <n v="736000"/>
  </r>
  <r>
    <s v="Bhavin Bali"/>
    <s v="STU941"/>
    <s v="ENR941"/>
    <x v="0"/>
    <x v="0"/>
    <n v="4"/>
    <s v="Computer Science and Engineering"/>
    <x v="8"/>
    <n v="169000"/>
    <n v="154000"/>
    <n v="15000"/>
    <n v="0"/>
    <x v="0"/>
    <x v="0"/>
    <x v="8"/>
    <x v="7"/>
    <s v="India"/>
    <s v="krish55@example.org"/>
    <n v="919287000000"/>
    <x v="1"/>
    <n v="86"/>
    <n v="82"/>
    <s v="AC"/>
    <x v="225"/>
    <d v="2005-11-20T00:00:00"/>
    <n v="11.1789737171464"/>
    <x v="4"/>
    <n v="676000"/>
    <n v="736000"/>
  </r>
  <r>
    <s v="Jayant Singh"/>
    <s v="STU548"/>
    <s v="ENR548"/>
    <x v="3"/>
    <x v="0"/>
    <n v="4"/>
    <s v="Computer Science and Engineering"/>
    <x v="0"/>
    <n v="169000"/>
    <n v="154000"/>
    <n v="15000"/>
    <n v="0"/>
    <x v="0"/>
    <x v="2"/>
    <x v="6"/>
    <x v="3"/>
    <s v="India"/>
    <s v="dadakismat@example.net"/>
    <n v="917260000000"/>
    <x v="1"/>
    <n v="86"/>
    <n v="86"/>
    <s v="AC"/>
    <x v="226"/>
    <d v="2005-12-25T00:00:00"/>
    <n v="11.1789737171464"/>
    <x v="4"/>
    <n v="676000"/>
    <n v="736000"/>
  </r>
  <r>
    <s v="Indrans Raju"/>
    <s v="STU329"/>
    <s v="ENR329"/>
    <x v="1"/>
    <x v="1"/>
    <n v="2"/>
    <s v="Computer Science Engineering"/>
    <x v="1"/>
    <n v="92000"/>
    <n v="77000"/>
    <n v="15000"/>
    <n v="0"/>
    <x v="0"/>
    <x v="0"/>
    <x v="1"/>
    <x v="1"/>
    <s v="India"/>
    <s v="anyamander@example.com"/>
    <n v="919699000000"/>
    <x v="4"/>
    <n v="86"/>
    <n v="60"/>
    <s v="AC"/>
    <x v="227"/>
    <d v="1996-08-09T00:00:00"/>
    <n v="11.1789737171464"/>
    <x v="8"/>
    <n v="184000"/>
    <n v="214000"/>
  </r>
  <r>
    <s v="Jayesh Grewal"/>
    <s v="STU991"/>
    <s v="ENR991"/>
    <x v="0"/>
    <x v="0"/>
    <n v="4"/>
    <s v="Computer Science and Engineering"/>
    <x v="0"/>
    <n v="169000"/>
    <n v="154000"/>
    <n v="15000"/>
    <n v="0"/>
    <x v="0"/>
    <x v="0"/>
    <x v="3"/>
    <x v="3"/>
    <s v="India"/>
    <s v="eshani30@example.org"/>
    <n v="919638000000"/>
    <x v="4"/>
    <n v="86"/>
    <n v="62"/>
    <s v="AC"/>
    <x v="228"/>
    <d v="2004-12-01T00:00:00"/>
    <n v="11.1789737171464"/>
    <x v="5"/>
    <n v="676000"/>
    <n v="736000"/>
  </r>
  <r>
    <s v="Baiju Choudhury"/>
    <s v="STU383"/>
    <s v="ENR383"/>
    <x v="1"/>
    <x v="0"/>
    <n v="4"/>
    <s v="Computer Science and Engineering"/>
    <x v="5"/>
    <n v="169000"/>
    <n v="154000"/>
    <n v="15000"/>
    <n v="0"/>
    <x v="0"/>
    <x v="2"/>
    <x v="4"/>
    <x v="4"/>
    <s v="India"/>
    <s v="bakshistuvan@example.net"/>
    <n v="917219000000"/>
    <x v="1"/>
    <n v="86"/>
    <n v="71"/>
    <s v="AC"/>
    <x v="229"/>
    <d v="2003-03-01T00:00:00"/>
    <n v="11.1789737171464"/>
    <x v="2"/>
    <n v="676000"/>
    <n v="736000"/>
  </r>
  <r>
    <s v="Aayush Varma"/>
    <s v="STU381"/>
    <s v="ENR381"/>
    <x v="4"/>
    <x v="0"/>
    <n v="4"/>
    <s v="Computer Science and Engineering"/>
    <x v="0"/>
    <n v="169000"/>
    <n v="154000"/>
    <n v="15000"/>
    <n v="0"/>
    <x v="0"/>
    <x v="2"/>
    <x v="0"/>
    <x v="0"/>
    <s v="India"/>
    <s v="gyogi@example.net"/>
    <n v="918153000000"/>
    <x v="4"/>
    <n v="86"/>
    <n v="91"/>
    <s v="Non-AC"/>
    <x v="230"/>
    <d v="2001-06-09T00:00:00"/>
    <n v="11.1789737171464"/>
    <x v="0"/>
    <n v="676000"/>
    <n v="736000"/>
  </r>
  <r>
    <s v="Kanav Vyas"/>
    <s v="STU238"/>
    <s v="ENR238"/>
    <x v="3"/>
    <x v="1"/>
    <n v="2"/>
    <s v="Computer Science Engineering"/>
    <x v="6"/>
    <n v="92000"/>
    <n v="77000"/>
    <n v="15000"/>
    <n v="0"/>
    <x v="0"/>
    <x v="0"/>
    <x v="1"/>
    <x v="1"/>
    <s v="India"/>
    <s v="lsami@example.org"/>
    <n v="919154000000"/>
    <x v="1"/>
    <n v="86"/>
    <n v="63"/>
    <s v="Non-AC"/>
    <x v="231"/>
    <d v="2002-05-26T00:00:00"/>
    <n v="11.1789737171464"/>
    <x v="6"/>
    <n v="184000"/>
    <n v="214000"/>
  </r>
  <r>
    <s v="Hansh Gala"/>
    <s v="STU375"/>
    <s v="ENR375"/>
    <x v="1"/>
    <x v="0"/>
    <n v="4"/>
    <s v="Computer Science and Engineering"/>
    <x v="0"/>
    <n v="169000"/>
    <n v="154000"/>
    <n v="15000"/>
    <n v="0"/>
    <x v="0"/>
    <x v="0"/>
    <x v="1"/>
    <x v="1"/>
    <s v="India"/>
    <s v="qdugar@example.com"/>
    <n v="917442000000"/>
    <x v="3"/>
    <n v="86"/>
    <n v="82"/>
    <s v="AC"/>
    <x v="232"/>
    <d v="2002-03-09T00:00:00"/>
    <n v="11.1789737171464"/>
    <x v="6"/>
    <n v="676000"/>
    <n v="736000"/>
  </r>
  <r>
    <s v="Mohanlal Jani"/>
    <s v="STU750"/>
    <s v="ENR750"/>
    <x v="2"/>
    <x v="0"/>
    <n v="4"/>
    <s v="Computer Science and Engineering"/>
    <x v="7"/>
    <n v="169000"/>
    <n v="154000"/>
    <n v="15000"/>
    <n v="0"/>
    <x v="0"/>
    <x v="1"/>
    <x v="5"/>
    <x v="5"/>
    <s v="India"/>
    <s v="kavyakohli@example.net"/>
    <n v="917260000000"/>
    <x v="0"/>
    <n v="86"/>
    <n v="74"/>
    <s v="Non-AC"/>
    <x v="233"/>
    <d v="2005-01-02T00:00:00"/>
    <n v="11.1789737171464"/>
    <x v="5"/>
    <n v="676000"/>
    <n v="736000"/>
  </r>
  <r>
    <s v="Divyansh Kari"/>
    <s v="STU967"/>
    <s v="ENR967"/>
    <x v="5"/>
    <x v="0"/>
    <n v="4"/>
    <s v="Computer Science and Engineering"/>
    <x v="4"/>
    <n v="169000"/>
    <n v="154000"/>
    <n v="15000"/>
    <n v="0"/>
    <x v="0"/>
    <x v="2"/>
    <x v="0"/>
    <x v="0"/>
    <s v="India"/>
    <s v="saanvigoda@example.com"/>
    <n v="918685000000"/>
    <x v="1"/>
    <n v="86"/>
    <n v="81"/>
    <s v="Non-AC"/>
    <x v="234"/>
    <d v="2006-03-25T00:00:00"/>
    <n v="11.1789737171464"/>
    <x v="4"/>
    <n v="676000"/>
    <n v="736000"/>
  </r>
  <r>
    <s v="Miraya Lall"/>
    <s v="STU372"/>
    <s v="ENR372"/>
    <x v="0"/>
    <x v="0"/>
    <n v="4"/>
    <s v="Computer Science and Engineering"/>
    <x v="1"/>
    <n v="169000"/>
    <n v="154000"/>
    <n v="15000"/>
    <n v="0"/>
    <x v="0"/>
    <x v="1"/>
    <x v="1"/>
    <x v="1"/>
    <s v="India"/>
    <s v="bshetty@example.org"/>
    <n v="918810000000"/>
    <x v="2"/>
    <n v="86"/>
    <n v="85"/>
    <s v="Non-AC"/>
    <x v="235"/>
    <d v="2002-05-20T00:00:00"/>
    <n v="11.1789737171464"/>
    <x v="6"/>
    <n v="676000"/>
    <n v="736000"/>
  </r>
  <r>
    <s v="Anay Sule"/>
    <s v="STU370"/>
    <s v="ENR370"/>
    <x v="1"/>
    <x v="0"/>
    <n v="4"/>
    <s v="Computer Science and Engineering"/>
    <x v="2"/>
    <n v="169000"/>
    <n v="154000"/>
    <n v="15000"/>
    <n v="0"/>
    <x v="0"/>
    <x v="1"/>
    <x v="9"/>
    <x v="8"/>
    <s v="India"/>
    <s v="zbasu@example.org"/>
    <n v="917108000000"/>
    <x v="4"/>
    <n v="86"/>
    <n v="72"/>
    <s v="Non-AC"/>
    <x v="236"/>
    <d v="2006-01-27T00:00:00"/>
    <n v="11.1789737171464"/>
    <x v="4"/>
    <n v="676000"/>
    <n v="736000"/>
  </r>
  <r>
    <s v="Saanvi Shere"/>
    <s v="STU343"/>
    <s v="ENR343"/>
    <x v="0"/>
    <x v="1"/>
    <n v="2"/>
    <s v="Computer Science Engineering"/>
    <x v="0"/>
    <n v="92000"/>
    <n v="77000"/>
    <n v="15000"/>
    <n v="0"/>
    <x v="0"/>
    <x v="1"/>
    <x v="8"/>
    <x v="7"/>
    <s v="India"/>
    <s v="ksetty@example.net"/>
    <n v="919407000000"/>
    <x v="1"/>
    <n v="86"/>
    <n v="80"/>
    <s v="Non-AC"/>
    <x v="237"/>
    <d v="2001-01-16T00:00:00"/>
    <n v="11.1789737171464"/>
    <x v="0"/>
    <n v="184000"/>
    <n v="214000"/>
  </r>
  <r>
    <s v="Raunak Khurana"/>
    <s v="STU802"/>
    <s v="ENR802"/>
    <x v="4"/>
    <x v="0"/>
    <n v="4"/>
    <s v="Computer Science and Engineering"/>
    <x v="0"/>
    <n v="169000"/>
    <n v="154000"/>
    <n v="15000"/>
    <n v="0"/>
    <x v="0"/>
    <x v="0"/>
    <x v="0"/>
    <x v="0"/>
    <s v="India"/>
    <s v="samargokhale@example.com"/>
    <n v="917625000000"/>
    <x v="2"/>
    <n v="86"/>
    <n v="91"/>
    <s v="AC"/>
    <x v="238"/>
    <d v="2001-02-10T00:00:00"/>
    <n v="11.1789737171464"/>
    <x v="0"/>
    <n v="676000"/>
    <n v="736000"/>
  </r>
  <r>
    <s v="Kiara Sant"/>
    <s v="STU748"/>
    <s v="ENR748"/>
    <x v="5"/>
    <x v="0"/>
    <n v="4"/>
    <s v="Computer Science and Engineering"/>
    <x v="4"/>
    <n v="169000"/>
    <n v="154000"/>
    <n v="15000"/>
    <n v="0"/>
    <x v="0"/>
    <x v="0"/>
    <x v="1"/>
    <x v="1"/>
    <s v="India"/>
    <s v="sara90@example.net"/>
    <n v="918295000000"/>
    <x v="1"/>
    <n v="86"/>
    <n v="79"/>
    <s v="Non-AC"/>
    <x v="239"/>
    <d v="2002-07-07T00:00:00"/>
    <n v="11.1789737171464"/>
    <x v="6"/>
    <n v="676000"/>
    <n v="736000"/>
  </r>
  <r>
    <s v="Rania Dass"/>
    <s v="STU179"/>
    <s v="ENR179"/>
    <x v="1"/>
    <x v="1"/>
    <n v="2"/>
    <s v="Computer Science Engineering"/>
    <x v="3"/>
    <n v="92000"/>
    <n v="77000"/>
    <n v="15000"/>
    <n v="0"/>
    <x v="0"/>
    <x v="2"/>
    <x v="6"/>
    <x v="3"/>
    <s v="India"/>
    <s v="indrajit27@example.net"/>
    <n v="918609000000"/>
    <x v="3"/>
    <n v="86"/>
    <n v="71"/>
    <s v="AC"/>
    <x v="240"/>
    <d v="1998-11-27T00:00:00"/>
    <n v="11.1789737171464"/>
    <x v="7"/>
    <n v="184000"/>
    <n v="214000"/>
  </r>
  <r>
    <s v="Nishith Tailor"/>
    <s v="STU524"/>
    <s v="ENR524"/>
    <x v="0"/>
    <x v="0"/>
    <n v="4"/>
    <s v="Computer Science and Engineering"/>
    <x v="8"/>
    <n v="169000"/>
    <n v="154000"/>
    <n v="15000"/>
    <n v="0"/>
    <x v="0"/>
    <x v="0"/>
    <x v="6"/>
    <x v="3"/>
    <s v="India"/>
    <s v="cgoyal@example.com"/>
    <n v="918560000000"/>
    <x v="3"/>
    <n v="86"/>
    <n v="90"/>
    <s v="AC"/>
    <x v="241"/>
    <d v="2003-11-08T00:00:00"/>
    <n v="11.1789737171464"/>
    <x v="3"/>
    <n v="676000"/>
    <n v="736000"/>
  </r>
  <r>
    <s v="Aradhya Dara"/>
    <s v="STU424"/>
    <s v="ENR424"/>
    <x v="2"/>
    <x v="1"/>
    <n v="2"/>
    <s v="Computer Science Engineering"/>
    <x v="6"/>
    <n v="92000"/>
    <n v="77000"/>
    <n v="15000"/>
    <n v="0"/>
    <x v="0"/>
    <x v="1"/>
    <x v="3"/>
    <x v="3"/>
    <s v="India"/>
    <s v="rheadubey@example.net"/>
    <n v="919539000000"/>
    <x v="4"/>
    <n v="86"/>
    <n v="69"/>
    <s v="Non-AC"/>
    <x v="242"/>
    <d v="2001-02-18T00:00:00"/>
    <n v="11.1789737171464"/>
    <x v="0"/>
    <n v="184000"/>
    <n v="214000"/>
  </r>
  <r>
    <s v="Indrajit Sastry"/>
    <s v="STU419"/>
    <s v="ENR419"/>
    <x v="2"/>
    <x v="1"/>
    <n v="2"/>
    <s v="Computer Science Engineering"/>
    <x v="3"/>
    <n v="92000"/>
    <n v="77000"/>
    <n v="15000"/>
    <n v="0"/>
    <x v="0"/>
    <x v="0"/>
    <x v="1"/>
    <x v="1"/>
    <s v="India"/>
    <s v="vtak@example.net"/>
    <n v="919888000000"/>
    <x v="1"/>
    <n v="86"/>
    <n v="85"/>
    <s v="Non-AC"/>
    <x v="243"/>
    <d v="2000-10-30T00:00:00"/>
    <n v="11.1789737171464"/>
    <x v="0"/>
    <n v="184000"/>
    <n v="214000"/>
  </r>
  <r>
    <s v="Kismat Venkatesh"/>
    <s v="STU100"/>
    <s v="ENR100"/>
    <x v="0"/>
    <x v="0"/>
    <n v="4"/>
    <s v="Computer Science and Engineering"/>
    <x v="0"/>
    <n v="169000"/>
    <n v="154000"/>
    <n v="15000"/>
    <n v="0"/>
    <x v="0"/>
    <x v="1"/>
    <x v="8"/>
    <x v="7"/>
    <s v="India"/>
    <s v="faiyazchandra@example.com"/>
    <n v="917691000000"/>
    <x v="2"/>
    <n v="86"/>
    <n v="65"/>
    <s v="AC"/>
    <x v="244"/>
    <d v="2004-05-14T00:00:00"/>
    <n v="11.1789737171464"/>
    <x v="3"/>
    <n v="676000"/>
    <n v="736000"/>
  </r>
  <r>
    <s v="Zaina Dugal"/>
    <s v="STU228"/>
    <s v="ENR228"/>
    <x v="1"/>
    <x v="0"/>
    <n v="4"/>
    <s v="Computer Science and Engineering"/>
    <x v="8"/>
    <n v="169000"/>
    <n v="154000"/>
    <n v="15000"/>
    <n v="0"/>
    <x v="0"/>
    <x v="2"/>
    <x v="0"/>
    <x v="0"/>
    <s v="India"/>
    <s v="vedika34@example.com"/>
    <n v="918558000000"/>
    <x v="2"/>
    <n v="86"/>
    <n v="71"/>
    <s v="Non-AC"/>
    <x v="245"/>
    <d v="2005-01-12T00:00:00"/>
    <n v="11.1789737171464"/>
    <x v="5"/>
    <n v="676000"/>
    <n v="736000"/>
  </r>
  <r>
    <s v="Gokul Randhawa"/>
    <s v="STU114"/>
    <s v="ENR114"/>
    <x v="2"/>
    <x v="0"/>
    <n v="4"/>
    <s v="Computer Science and Engineering"/>
    <x v="7"/>
    <n v="169000"/>
    <n v="154000"/>
    <n v="15000"/>
    <n v="0"/>
    <x v="0"/>
    <x v="0"/>
    <x v="3"/>
    <x v="3"/>
    <s v="India"/>
    <s v="mmani@example.net"/>
    <n v="919470000000"/>
    <x v="4"/>
    <n v="86"/>
    <n v="77"/>
    <s v="AC"/>
    <x v="246"/>
    <d v="2000-10-22T00:00:00"/>
    <n v="11.1789737171464"/>
    <x v="0"/>
    <n v="676000"/>
    <n v="736000"/>
  </r>
  <r>
    <s v="Armaan Dora"/>
    <s v="STU122"/>
    <s v="ENR122"/>
    <x v="5"/>
    <x v="0"/>
    <n v="4"/>
    <s v="Computer Science and Engineering"/>
    <x v="2"/>
    <n v="169000"/>
    <n v="154000"/>
    <n v="15000"/>
    <n v="0"/>
    <x v="0"/>
    <x v="1"/>
    <x v="3"/>
    <x v="3"/>
    <s v="India"/>
    <s v="shamikdevi@example.com"/>
    <n v="918288000000"/>
    <x v="1"/>
    <n v="86"/>
    <n v="81"/>
    <s v="Non-AC"/>
    <x v="247"/>
    <d v="2002-12-08T00:00:00"/>
    <n v="11.1789737171464"/>
    <x v="2"/>
    <n v="676000"/>
    <n v="736000"/>
  </r>
  <r>
    <s v="Ishaan Dugar"/>
    <s v="STU088"/>
    <s v="ENR088"/>
    <x v="1"/>
    <x v="0"/>
    <n v="4"/>
    <s v="Computer Science and Engineering"/>
    <x v="8"/>
    <n v="169000"/>
    <n v="154000"/>
    <n v="15000"/>
    <n v="0"/>
    <x v="0"/>
    <x v="1"/>
    <x v="1"/>
    <x v="1"/>
    <s v="India"/>
    <s v="srinivasandivij@example.net"/>
    <n v="917931000000"/>
    <x v="0"/>
    <n v="86"/>
    <n v="76"/>
    <s v="AC"/>
    <x v="248"/>
    <d v="2004-08-04T00:00:00"/>
    <n v="11.1789737171464"/>
    <x v="5"/>
    <n v="676000"/>
    <n v="736000"/>
  </r>
  <r>
    <s v="Onkar Babu"/>
    <s v="STU514"/>
    <s v="ENR514"/>
    <x v="4"/>
    <x v="1"/>
    <n v="2"/>
    <s v="Computer Science Engineering"/>
    <x v="1"/>
    <n v="92000"/>
    <n v="77000"/>
    <n v="15000"/>
    <n v="0"/>
    <x v="0"/>
    <x v="1"/>
    <x v="3"/>
    <x v="3"/>
    <s v="India"/>
    <s v="damini24@example.org"/>
    <n v="919508000000"/>
    <x v="3"/>
    <n v="86"/>
    <n v="71"/>
    <s v="Non-AC"/>
    <x v="249"/>
    <d v="1998-11-01T00:00:00"/>
    <n v="11.1789737171464"/>
    <x v="7"/>
    <n v="184000"/>
    <n v="214000"/>
  </r>
  <r>
    <s v="Kiara Bera"/>
    <s v="STU513"/>
    <s v="ENR513"/>
    <x v="4"/>
    <x v="1"/>
    <n v="2"/>
    <s v="Computer Science Engineering"/>
    <x v="4"/>
    <n v="92000"/>
    <n v="77000"/>
    <n v="15000"/>
    <n v="0"/>
    <x v="0"/>
    <x v="2"/>
    <x v="7"/>
    <x v="6"/>
    <s v="India"/>
    <s v="somanabram@example.net"/>
    <n v="917211000000"/>
    <x v="0"/>
    <n v="86"/>
    <n v="80"/>
    <s v="AC"/>
    <x v="250"/>
    <d v="1997-05-12T00:00:00"/>
    <n v="11.1789737171464"/>
    <x v="8"/>
    <n v="184000"/>
    <n v="214000"/>
  </r>
  <r>
    <s v="Ranbir Kurian"/>
    <s v="STU510"/>
    <s v="ENR510"/>
    <x v="4"/>
    <x v="1"/>
    <n v="2"/>
    <s v="Computer Science Engineering"/>
    <x v="3"/>
    <n v="92000"/>
    <n v="77000"/>
    <n v="15000"/>
    <n v="0"/>
    <x v="0"/>
    <x v="0"/>
    <x v="9"/>
    <x v="8"/>
    <s v="India"/>
    <s v="balmannat@example.org"/>
    <n v="918040000000"/>
    <x v="1"/>
    <n v="86"/>
    <n v="72"/>
    <s v="AC"/>
    <x v="251"/>
    <d v="2000-12-22T00:00:00"/>
    <n v="11.1789737171464"/>
    <x v="0"/>
    <n v="184000"/>
    <n v="214000"/>
  </r>
  <r>
    <s v="Samarth Wable"/>
    <s v="STU168"/>
    <s v="ENR168"/>
    <x v="2"/>
    <x v="0"/>
    <n v="4"/>
    <s v="Computer Science and Engineering"/>
    <x v="4"/>
    <n v="169000"/>
    <n v="154000"/>
    <n v="15000"/>
    <n v="0"/>
    <x v="0"/>
    <x v="1"/>
    <x v="5"/>
    <x v="5"/>
    <s v="India"/>
    <s v="hsachdev@example.net"/>
    <n v="918459000000"/>
    <x v="0"/>
    <n v="86"/>
    <n v="77"/>
    <s v="Non-AC"/>
    <x v="252"/>
    <d v="2004-02-03T00:00:00"/>
    <n v="11.1789737171464"/>
    <x v="3"/>
    <n v="676000"/>
    <n v="736000"/>
  </r>
  <r>
    <s v="Kashvi Bhat"/>
    <s v="STU231"/>
    <s v="ENR231"/>
    <x v="0"/>
    <x v="0"/>
    <n v="4"/>
    <s v="Computer Science and Engineering"/>
    <x v="1"/>
    <n v="169000"/>
    <n v="154000"/>
    <n v="15000"/>
    <n v="0"/>
    <x v="0"/>
    <x v="1"/>
    <x v="4"/>
    <x v="4"/>
    <s v="India"/>
    <s v="ukadakia@example.com"/>
    <n v="917325000000"/>
    <x v="0"/>
    <n v="86"/>
    <n v="90"/>
    <s v="Non-AC"/>
    <x v="253"/>
    <d v="2001-09-27T00:00:00"/>
    <n v="11.1789737171464"/>
    <x v="6"/>
    <n v="676000"/>
    <n v="736000"/>
  </r>
  <r>
    <s v="Ayesha Talwar"/>
    <s v="STU416"/>
    <s v="ENR416"/>
    <x v="0"/>
    <x v="1"/>
    <n v="2"/>
    <s v="Computer Science Engineering"/>
    <x v="1"/>
    <n v="92000"/>
    <n v="77000"/>
    <n v="15000"/>
    <n v="0"/>
    <x v="0"/>
    <x v="0"/>
    <x v="2"/>
    <x v="2"/>
    <s v="India"/>
    <s v="agrawalkashvi@example.net"/>
    <n v="919183000000"/>
    <x v="0"/>
    <n v="86"/>
    <n v="63"/>
    <s v="AC"/>
    <x v="254"/>
    <d v="1998-01-04T00:00:00"/>
    <n v="11.1789737171464"/>
    <x v="9"/>
    <n v="184000"/>
    <n v="214000"/>
  </r>
  <r>
    <s v="Hridaan Sathe"/>
    <s v="STU418"/>
    <s v="ENR418"/>
    <x v="5"/>
    <x v="1"/>
    <n v="2"/>
    <s v="Computer Science Engineering"/>
    <x v="0"/>
    <n v="92000"/>
    <n v="77000"/>
    <n v="15000"/>
    <n v="0"/>
    <x v="0"/>
    <x v="2"/>
    <x v="9"/>
    <x v="8"/>
    <s v="India"/>
    <s v="hayerivana@example.net"/>
    <n v="919877000000"/>
    <x v="4"/>
    <n v="86"/>
    <n v="73"/>
    <s v="Non-AC"/>
    <x v="255"/>
    <d v="2001-09-18T00:00:00"/>
    <n v="11.1789737171464"/>
    <x v="6"/>
    <n v="184000"/>
    <n v="214000"/>
  </r>
  <r>
    <s v="Mannat Sagar"/>
    <s v="STU487"/>
    <s v="ENR487"/>
    <x v="0"/>
    <x v="1"/>
    <n v="2"/>
    <s v="Computer Science Engineering"/>
    <x v="6"/>
    <n v="92000"/>
    <n v="77000"/>
    <n v="15000"/>
    <n v="0"/>
    <x v="0"/>
    <x v="0"/>
    <x v="9"/>
    <x v="8"/>
    <s v="India"/>
    <s v="tarini84@example.org"/>
    <n v="917031000000"/>
    <x v="2"/>
    <n v="86"/>
    <n v="61"/>
    <s v="Non-AC"/>
    <x v="256"/>
    <d v="1999-09-02T00:00:00"/>
    <n v="11.1789737171464"/>
    <x v="1"/>
    <n v="184000"/>
    <n v="214000"/>
  </r>
  <r>
    <s v="Lakshit Uppal"/>
    <s v="STU445"/>
    <s v="ENR445"/>
    <x v="1"/>
    <x v="1"/>
    <n v="2"/>
    <s v="Computer Science Engineering"/>
    <x v="6"/>
    <n v="92000"/>
    <n v="77000"/>
    <n v="15000"/>
    <n v="0"/>
    <x v="0"/>
    <x v="2"/>
    <x v="7"/>
    <x v="6"/>
    <s v="India"/>
    <s v="taranarora@example.org"/>
    <n v="919678000000"/>
    <x v="3"/>
    <n v="86"/>
    <n v="83"/>
    <s v="AC"/>
    <x v="257"/>
    <d v="2002-03-20T00:00:00"/>
    <n v="11.1789737171464"/>
    <x v="6"/>
    <n v="184000"/>
    <n v="214000"/>
  </r>
  <r>
    <s v="Adah Soman"/>
    <s v="STU210"/>
    <s v="ENR210"/>
    <x v="1"/>
    <x v="0"/>
    <n v="4"/>
    <s v="Computer Science and Engineering"/>
    <x v="5"/>
    <n v="169000"/>
    <n v="154000"/>
    <n v="15000"/>
    <n v="0"/>
    <x v="0"/>
    <x v="2"/>
    <x v="9"/>
    <x v="8"/>
    <s v="India"/>
    <s v="nitya86@example.org"/>
    <n v="918790000000"/>
    <x v="1"/>
    <n v="86"/>
    <n v="91"/>
    <s v="Non-AC"/>
    <x v="258"/>
    <d v="2002-11-11T00:00:00"/>
    <n v="11.1789737171464"/>
    <x v="2"/>
    <n v="676000"/>
    <n v="736000"/>
  </r>
  <r>
    <s v="Nirvi Chander"/>
    <s v="STU208"/>
    <s v="ENR208"/>
    <x v="2"/>
    <x v="0"/>
    <n v="4"/>
    <s v="Computer Science and Engineering"/>
    <x v="6"/>
    <n v="169000"/>
    <n v="154000"/>
    <n v="15000"/>
    <n v="0"/>
    <x v="0"/>
    <x v="2"/>
    <x v="9"/>
    <x v="8"/>
    <s v="India"/>
    <s v="gokhalenirvi@example.com"/>
    <n v="919844000000"/>
    <x v="1"/>
    <n v="86"/>
    <n v="88"/>
    <s v="Non-AC"/>
    <x v="259"/>
    <d v="2001-10-12T00:00:00"/>
    <n v="11.1789737171464"/>
    <x v="6"/>
    <n v="676000"/>
    <n v="736000"/>
  </r>
  <r>
    <s v="Mishti Dara"/>
    <s v="STU495"/>
    <s v="ENR495"/>
    <x v="5"/>
    <x v="1"/>
    <n v="2"/>
    <s v="Computer Science Engineering"/>
    <x v="4"/>
    <n v="92000"/>
    <n v="77000"/>
    <n v="15000"/>
    <n v="0"/>
    <x v="0"/>
    <x v="0"/>
    <x v="3"/>
    <x v="3"/>
    <s v="India"/>
    <s v="purab90@example.org"/>
    <n v="919981000000"/>
    <x v="0"/>
    <n v="86"/>
    <n v="63"/>
    <s v="AC"/>
    <x v="260"/>
    <d v="2001-08-01T00:00:00"/>
    <n v="11.1789737171464"/>
    <x v="6"/>
    <n v="184000"/>
    <n v="214000"/>
  </r>
  <r>
    <s v="Onkar Rajagopal"/>
    <s v="STU196"/>
    <s v="ENR196"/>
    <x v="0"/>
    <x v="0"/>
    <n v="4"/>
    <s v="Computer Science and Engineering"/>
    <x v="0"/>
    <n v="169000"/>
    <n v="154000"/>
    <n v="15000"/>
    <n v="0"/>
    <x v="0"/>
    <x v="2"/>
    <x v="1"/>
    <x v="1"/>
    <s v="India"/>
    <s v="damini16@example.org"/>
    <n v="917615000000"/>
    <x v="4"/>
    <n v="86"/>
    <n v="78"/>
    <s v="AC"/>
    <x v="261"/>
    <d v="2001-05-24T00:00:00"/>
    <n v="11.1789737171464"/>
    <x v="0"/>
    <n v="676000"/>
    <n v="736000"/>
  </r>
  <r>
    <s v="Parinaaz Baria"/>
    <s v="STU135"/>
    <s v="ENR135"/>
    <x v="1"/>
    <x v="0"/>
    <n v="4"/>
    <s v="Computer Science and Engineering"/>
    <x v="9"/>
    <n v="169000"/>
    <n v="154000"/>
    <n v="15000"/>
    <n v="0"/>
    <x v="0"/>
    <x v="2"/>
    <x v="1"/>
    <x v="1"/>
    <s v="India"/>
    <s v="boasezoya@example.net"/>
    <n v="919530000000"/>
    <x v="1"/>
    <n v="86"/>
    <n v="74"/>
    <s v="Non-AC"/>
    <x v="262"/>
    <d v="2002-09-05T00:00:00"/>
    <n v="11.1789737171464"/>
    <x v="2"/>
    <n v="676000"/>
    <n v="736000"/>
  </r>
  <r>
    <s v="Advika Contractor"/>
    <s v="STU1048"/>
    <s v="ENR1048"/>
    <x v="4"/>
    <x v="0"/>
    <n v="4"/>
    <s v="Computer Science and Engineering"/>
    <x v="3"/>
    <n v="169000"/>
    <n v="154000"/>
    <n v="15000"/>
    <n v="0"/>
    <x v="0"/>
    <x v="2"/>
    <x v="7"/>
    <x v="6"/>
    <s v="India"/>
    <s v="aissac@example.org"/>
    <n v="917557000000"/>
    <x v="4"/>
    <n v="85"/>
    <n v="60"/>
    <s v="AC"/>
    <x v="263"/>
    <d v="2001-10-13T00:00:00"/>
    <n v="10.1789737171464"/>
    <x v="6"/>
    <n v="676000"/>
    <n v="736000"/>
  </r>
  <r>
    <s v="Jayant Balan"/>
    <s v="STU883"/>
    <s v="ENR883"/>
    <x v="4"/>
    <x v="0"/>
    <n v="4"/>
    <s v="Computer Science and Engineering"/>
    <x v="6"/>
    <n v="169000"/>
    <n v="154000"/>
    <n v="15000"/>
    <n v="0"/>
    <x v="0"/>
    <x v="0"/>
    <x v="0"/>
    <x v="0"/>
    <s v="India"/>
    <s v="nityabaral@example.com"/>
    <n v="919754000000"/>
    <x v="1"/>
    <n v="85"/>
    <n v="67"/>
    <s v="Non-AC"/>
    <x v="264"/>
    <d v="2001-01-05T00:00:00"/>
    <n v="10.1789737171464"/>
    <x v="0"/>
    <n v="676000"/>
    <n v="736000"/>
  </r>
  <r>
    <s v="Bhavin Bora"/>
    <s v="STU768"/>
    <s v="ENR768"/>
    <x v="4"/>
    <x v="0"/>
    <n v="4"/>
    <s v="Computer Science and Engineering"/>
    <x v="7"/>
    <n v="169000"/>
    <n v="154000"/>
    <n v="15000"/>
    <n v="0"/>
    <x v="0"/>
    <x v="1"/>
    <x v="5"/>
    <x v="5"/>
    <s v="India"/>
    <s v="qbalasubramanian@example.com"/>
    <n v="918361000000"/>
    <x v="1"/>
    <n v="85"/>
    <n v="77"/>
    <s v="AC"/>
    <x v="265"/>
    <d v="2005-09-11T00:00:00"/>
    <n v="10.1789737171464"/>
    <x v="4"/>
    <n v="676000"/>
    <n v="736000"/>
  </r>
  <r>
    <s v="Arnav Dass"/>
    <s v="STU395"/>
    <s v="ENR395"/>
    <x v="1"/>
    <x v="0"/>
    <n v="4"/>
    <s v="Computer Science and Engineering"/>
    <x v="1"/>
    <n v="169000"/>
    <n v="154000"/>
    <n v="15000"/>
    <n v="0"/>
    <x v="0"/>
    <x v="1"/>
    <x v="9"/>
    <x v="8"/>
    <s v="India"/>
    <s v="indrajitsandal@example.org"/>
    <n v="917941000000"/>
    <x v="0"/>
    <n v="85"/>
    <n v="72"/>
    <s v="Non-AC"/>
    <x v="266"/>
    <d v="2003-04-19T00:00:00"/>
    <n v="10.1789737171464"/>
    <x v="2"/>
    <n v="676000"/>
    <n v="736000"/>
  </r>
  <r>
    <s v="Amani Dash"/>
    <s v="STU765"/>
    <s v="ENR765"/>
    <x v="3"/>
    <x v="0"/>
    <n v="4"/>
    <s v="Computer Science and Engineering"/>
    <x v="9"/>
    <n v="169000"/>
    <n v="154000"/>
    <n v="15000"/>
    <n v="0"/>
    <x v="0"/>
    <x v="0"/>
    <x v="7"/>
    <x v="6"/>
    <s v="India"/>
    <s v="nayantara05@example.com"/>
    <n v="919147000000"/>
    <x v="4"/>
    <n v="85"/>
    <n v="78"/>
    <s v="AC"/>
    <x v="267"/>
    <d v="2005-11-19T00:00:00"/>
    <n v="10.1789737171464"/>
    <x v="4"/>
    <n v="676000"/>
    <n v="736000"/>
  </r>
  <r>
    <s v="Ranbir Gour"/>
    <s v="STU440"/>
    <s v="ENR440"/>
    <x v="3"/>
    <x v="1"/>
    <n v="2"/>
    <s v="Computer Science Engineering"/>
    <x v="0"/>
    <n v="92000"/>
    <n v="77000"/>
    <n v="15000"/>
    <n v="0"/>
    <x v="0"/>
    <x v="2"/>
    <x v="5"/>
    <x v="5"/>
    <s v="India"/>
    <s v="dcherian@example.net"/>
    <n v="917919000000"/>
    <x v="0"/>
    <n v="85"/>
    <n v="68"/>
    <s v="AC"/>
    <x v="268"/>
    <d v="1996-09-29T00:00:00"/>
    <n v="10.1789737171464"/>
    <x v="8"/>
    <n v="184000"/>
    <n v="214000"/>
  </r>
  <r>
    <s v="Indrans Dada"/>
    <s v="STU366"/>
    <s v="ENR366"/>
    <x v="5"/>
    <x v="0"/>
    <n v="4"/>
    <s v="Computer Science and Engineering"/>
    <x v="4"/>
    <n v="169000"/>
    <n v="154000"/>
    <n v="15000"/>
    <n v="0"/>
    <x v="0"/>
    <x v="2"/>
    <x v="9"/>
    <x v="8"/>
    <s v="India"/>
    <s v="kiara11@example.net"/>
    <n v="917184000000"/>
    <x v="3"/>
    <n v="85"/>
    <n v="84"/>
    <s v="AC"/>
    <x v="269"/>
    <d v="2000-12-19T00:00:00"/>
    <n v="10.1789737171464"/>
    <x v="0"/>
    <n v="676000"/>
    <n v="736000"/>
  </r>
  <r>
    <s v="Dhanuk Vig"/>
    <s v="STU526"/>
    <s v="ENR526"/>
    <x v="2"/>
    <x v="0"/>
    <n v="4"/>
    <s v="Computer Science and Engineering"/>
    <x v="6"/>
    <n v="169000"/>
    <n v="154000"/>
    <n v="15000"/>
    <n v="0"/>
    <x v="0"/>
    <x v="1"/>
    <x v="1"/>
    <x v="1"/>
    <s v="India"/>
    <s v="sundarambhamini@example.net"/>
    <n v="917440000000"/>
    <x v="4"/>
    <n v="85"/>
    <n v="86"/>
    <s v="AC"/>
    <x v="270"/>
    <d v="2003-10-25T00:00:00"/>
    <n v="10.1789737171464"/>
    <x v="3"/>
    <n v="676000"/>
    <n v="736000"/>
  </r>
  <r>
    <s v="Nitara Kalita"/>
    <s v="STU423"/>
    <s v="ENR423"/>
    <x v="0"/>
    <x v="1"/>
    <n v="2"/>
    <s v="Computer Science Engineering"/>
    <x v="0"/>
    <n v="92000"/>
    <n v="77000"/>
    <n v="15000"/>
    <n v="0"/>
    <x v="0"/>
    <x v="1"/>
    <x v="1"/>
    <x v="1"/>
    <s v="India"/>
    <s v="dubeypiya@example.com"/>
    <n v="919028000000"/>
    <x v="2"/>
    <n v="85"/>
    <n v="66"/>
    <s v="AC"/>
    <x v="271"/>
    <d v="1997-03-10T00:00:00"/>
    <n v="10.1789737171464"/>
    <x v="8"/>
    <n v="184000"/>
    <n v="214000"/>
  </r>
  <r>
    <s v="Arnav Chaudhari"/>
    <s v="STU101"/>
    <s v="ENR101"/>
    <x v="3"/>
    <x v="0"/>
    <n v="4"/>
    <s v="Computer Science and Engineering"/>
    <x v="6"/>
    <n v="169000"/>
    <n v="154000"/>
    <n v="15000"/>
    <n v="0"/>
    <x v="0"/>
    <x v="0"/>
    <x v="2"/>
    <x v="2"/>
    <s v="India"/>
    <s v="rati69@example.com"/>
    <n v="919632000000"/>
    <x v="4"/>
    <n v="85"/>
    <n v="65"/>
    <s v="Non-AC"/>
    <x v="272"/>
    <d v="2001-02-27T00:00:00"/>
    <n v="10.1789737171464"/>
    <x v="0"/>
    <n v="676000"/>
    <n v="736000"/>
  </r>
  <r>
    <s v="Keya Jaggi"/>
    <s v="STU294"/>
    <s v="ENR294"/>
    <x v="4"/>
    <x v="0"/>
    <n v="4"/>
    <s v="Computer Science and Engineering"/>
    <x v="2"/>
    <n v="169000"/>
    <n v="154000"/>
    <n v="15000"/>
    <n v="0"/>
    <x v="0"/>
    <x v="1"/>
    <x v="1"/>
    <x v="1"/>
    <s v="India"/>
    <s v="arnav75@example.net"/>
    <n v="917139000000"/>
    <x v="0"/>
    <n v="85"/>
    <n v="87"/>
    <s v="Non-AC"/>
    <x v="273"/>
    <d v="2001-08-02T00:00:00"/>
    <n v="10.1789737171464"/>
    <x v="6"/>
    <n v="676000"/>
    <n v="736000"/>
  </r>
  <r>
    <s v="Yakshit Kala"/>
    <s v="STU138"/>
    <s v="ENR138"/>
    <x v="0"/>
    <x v="1"/>
    <n v="2"/>
    <s v="Computer Science Engineering"/>
    <x v="6"/>
    <n v="92000"/>
    <n v="77000"/>
    <n v="15000"/>
    <n v="0"/>
    <x v="0"/>
    <x v="1"/>
    <x v="6"/>
    <x v="3"/>
    <s v="India"/>
    <s v="faiyazrout@example.org"/>
    <n v="917593000000"/>
    <x v="0"/>
    <n v="85"/>
    <n v="86"/>
    <s v="Non-AC"/>
    <x v="274"/>
    <d v="2000-05-12T00:00:00"/>
    <n v="10.1789737171464"/>
    <x v="1"/>
    <n v="184000"/>
    <n v="214000"/>
  </r>
  <r>
    <s v="Purab Jain"/>
    <s v="STU419"/>
    <s v="ENR419"/>
    <x v="3"/>
    <x v="0"/>
    <n v="4"/>
    <s v="Computer Science and Engineering"/>
    <x v="6"/>
    <n v="169000"/>
    <n v="154000"/>
    <n v="15000"/>
    <n v="0"/>
    <x v="0"/>
    <x v="1"/>
    <x v="8"/>
    <x v="7"/>
    <s v="India"/>
    <s v="fateh79@example.com"/>
    <n v="919345000000"/>
    <x v="3"/>
    <n v="85"/>
    <n v="85"/>
    <s v="AC"/>
    <x v="275"/>
    <d v="2003-10-02T00:00:00"/>
    <n v="10.1789737171464"/>
    <x v="3"/>
    <n v="676000"/>
    <n v="736000"/>
  </r>
  <r>
    <s v="Eshani Raval"/>
    <s v="STU384"/>
    <s v="ENR384"/>
    <x v="2"/>
    <x v="0"/>
    <n v="4"/>
    <s v="Computer Science and Engineering"/>
    <x v="9"/>
    <n v="169000"/>
    <n v="154000"/>
    <n v="15000"/>
    <n v="0"/>
    <x v="0"/>
    <x v="2"/>
    <x v="6"/>
    <x v="3"/>
    <s v="India"/>
    <s v="eshanirao@example.com"/>
    <n v="917199000000"/>
    <x v="0"/>
    <n v="85"/>
    <n v="73"/>
    <s v="Non-AC"/>
    <x v="276"/>
    <d v="2006-01-01T00:00:00"/>
    <n v="10.1789737171464"/>
    <x v="4"/>
    <n v="676000"/>
    <n v="736000"/>
  </r>
  <r>
    <s v="Prisha Lad"/>
    <s v="STU509"/>
    <s v="ENR509"/>
    <x v="2"/>
    <x v="1"/>
    <n v="2"/>
    <s v="Computer Science Engineering"/>
    <x v="1"/>
    <n v="92000"/>
    <n v="77000"/>
    <n v="15000"/>
    <n v="0"/>
    <x v="0"/>
    <x v="2"/>
    <x v="4"/>
    <x v="4"/>
    <s v="India"/>
    <s v="aggarwalryan@example.com"/>
    <n v="917400000000"/>
    <x v="1"/>
    <n v="85"/>
    <n v="76"/>
    <s v="Non-AC"/>
    <x v="277"/>
    <d v="2000-02-04T00:00:00"/>
    <n v="10.1789737171464"/>
    <x v="1"/>
    <n v="184000"/>
    <n v="214000"/>
  </r>
  <r>
    <s v="Divij Wable"/>
    <s v="STU798"/>
    <s v="ENR798"/>
    <x v="3"/>
    <x v="0"/>
    <n v="4"/>
    <s v="Computer Science and Engineering"/>
    <x v="5"/>
    <n v="169000"/>
    <n v="154000"/>
    <n v="15000"/>
    <n v="0"/>
    <x v="0"/>
    <x v="1"/>
    <x v="9"/>
    <x v="8"/>
    <s v="India"/>
    <s v="aaryahithaker@example.com"/>
    <n v="917837000000"/>
    <x v="3"/>
    <n v="85"/>
    <n v="63"/>
    <s v="Non-AC"/>
    <x v="278"/>
    <d v="2003-06-26T00:00:00"/>
    <n v="10.1789737171464"/>
    <x v="2"/>
    <n v="676000"/>
    <n v="736000"/>
  </r>
  <r>
    <s v="Lakshay Sood"/>
    <s v="STU1072"/>
    <s v="ENR1072"/>
    <x v="2"/>
    <x v="0"/>
    <n v="4"/>
    <s v="Computer Science and Engineering"/>
    <x v="1"/>
    <n v="169000"/>
    <n v="154000"/>
    <n v="15000"/>
    <n v="0"/>
    <x v="0"/>
    <x v="1"/>
    <x v="8"/>
    <x v="7"/>
    <s v="India"/>
    <s v="sahninavya@example.net"/>
    <n v="917466000000"/>
    <x v="1"/>
    <n v="85"/>
    <n v="91"/>
    <s v="Non-AC"/>
    <x v="279"/>
    <d v="2001-12-12T00:00:00"/>
    <n v="10.1789737171464"/>
    <x v="6"/>
    <n v="676000"/>
    <n v="736000"/>
  </r>
  <r>
    <s v="Mannat Bumb"/>
    <s v="STU138"/>
    <s v="ENR138"/>
    <x v="5"/>
    <x v="0"/>
    <n v="4"/>
    <s v="Computer Science and Engineering"/>
    <x v="2"/>
    <n v="169000"/>
    <n v="154000"/>
    <n v="15000"/>
    <n v="0"/>
    <x v="0"/>
    <x v="2"/>
    <x v="4"/>
    <x v="4"/>
    <s v="India"/>
    <s v="bhamini02@example.net"/>
    <n v="917862000000"/>
    <x v="3"/>
    <n v="85"/>
    <n v="80"/>
    <s v="Non-AC"/>
    <x v="280"/>
    <d v="2005-07-14T00:00:00"/>
    <n v="10.1789737171464"/>
    <x v="4"/>
    <n v="676000"/>
    <n v="736000"/>
  </r>
  <r>
    <s v="Hrishita Bakshi"/>
    <s v="STU1181"/>
    <s v="ENR1181"/>
    <x v="1"/>
    <x v="0"/>
    <n v="4"/>
    <s v="Computer Science and Engineering"/>
    <x v="0"/>
    <n v="169000"/>
    <n v="154000"/>
    <n v="15000"/>
    <n v="0"/>
    <x v="0"/>
    <x v="0"/>
    <x v="4"/>
    <x v="4"/>
    <s v="India"/>
    <s v="aaryahiraju@example.org"/>
    <n v="919370000000"/>
    <x v="0"/>
    <n v="85"/>
    <n v="61"/>
    <s v="AC"/>
    <x v="281"/>
    <d v="2004-01-16T00:00:00"/>
    <n v="10.1789737171464"/>
    <x v="3"/>
    <n v="676000"/>
    <n v="736000"/>
  </r>
  <r>
    <s v="Tejas Deep"/>
    <s v="STU485"/>
    <s v="ENR485"/>
    <x v="3"/>
    <x v="1"/>
    <n v="2"/>
    <s v="Computer Science Engineering"/>
    <x v="4"/>
    <n v="92000"/>
    <n v="77000"/>
    <n v="15000"/>
    <n v="0"/>
    <x v="0"/>
    <x v="0"/>
    <x v="9"/>
    <x v="8"/>
    <s v="India"/>
    <s v="kalanakul@example.com"/>
    <n v="917419000000"/>
    <x v="1"/>
    <n v="85"/>
    <n v="82"/>
    <s v="AC"/>
    <x v="282"/>
    <d v="1998-12-29T00:00:00"/>
    <n v="10.1789737171464"/>
    <x v="7"/>
    <n v="184000"/>
    <n v="214000"/>
  </r>
  <r>
    <s v="Inaaya  Gill"/>
    <s v="STU507"/>
    <s v="ENR507"/>
    <x v="2"/>
    <x v="1"/>
    <n v="2"/>
    <s v="Computer Science Engineering"/>
    <x v="0"/>
    <n v="92000"/>
    <n v="77000"/>
    <n v="15000"/>
    <n v="0"/>
    <x v="0"/>
    <x v="0"/>
    <x v="0"/>
    <x v="0"/>
    <s v="India"/>
    <s v="hsharma@example.net"/>
    <n v="919217000000"/>
    <x v="3"/>
    <n v="85"/>
    <n v="85"/>
    <s v="Non-AC"/>
    <x v="283"/>
    <d v="2002-05-16T00:00:00"/>
    <n v="10.1789737171464"/>
    <x v="6"/>
    <n v="184000"/>
    <n v="214000"/>
  </r>
  <r>
    <s v="Miraan Kant"/>
    <s v="STU308"/>
    <s v="ENR308"/>
    <x v="3"/>
    <x v="1"/>
    <n v="2"/>
    <s v="Computer Science Engineering"/>
    <x v="0"/>
    <n v="92000"/>
    <n v="77000"/>
    <n v="15000"/>
    <n v="0"/>
    <x v="0"/>
    <x v="1"/>
    <x v="0"/>
    <x v="0"/>
    <s v="India"/>
    <s v="kondavritika@example.net"/>
    <n v="919549000000"/>
    <x v="1"/>
    <n v="85"/>
    <n v="90"/>
    <s v="Non-AC"/>
    <x v="284"/>
    <d v="2000-01-20T00:00:00"/>
    <n v="10.1789737171464"/>
    <x v="1"/>
    <n v="184000"/>
    <n v="214000"/>
  </r>
  <r>
    <s v="Damini Datta"/>
    <s v="STU341"/>
    <s v="ENR341"/>
    <x v="4"/>
    <x v="1"/>
    <n v="2"/>
    <s v="Computer Science Engineering"/>
    <x v="5"/>
    <n v="92000"/>
    <n v="77000"/>
    <n v="15000"/>
    <n v="0"/>
    <x v="0"/>
    <x v="0"/>
    <x v="4"/>
    <x v="4"/>
    <s v="India"/>
    <s v="eramanathan@example.net"/>
    <n v="917126000000"/>
    <x v="1"/>
    <n v="85"/>
    <n v="83"/>
    <s v="Non-AC"/>
    <x v="285"/>
    <d v="1998-01-20T00:00:00"/>
    <n v="10.1789737171464"/>
    <x v="9"/>
    <n v="184000"/>
    <n v="214000"/>
  </r>
  <r>
    <s v="Madhav Bedi"/>
    <s v="STU970"/>
    <s v="ENR970"/>
    <x v="1"/>
    <x v="0"/>
    <n v="4"/>
    <s v="Computer Science and Engineering"/>
    <x v="9"/>
    <n v="169000"/>
    <n v="154000"/>
    <n v="15000"/>
    <n v="0"/>
    <x v="0"/>
    <x v="0"/>
    <x v="9"/>
    <x v="8"/>
    <s v="India"/>
    <s v="saanvi44@example.org"/>
    <n v="917935000000"/>
    <x v="2"/>
    <n v="85"/>
    <n v="80"/>
    <s v="AC"/>
    <x v="286"/>
    <d v="2002-10-29T00:00:00"/>
    <n v="10.1789737171464"/>
    <x v="2"/>
    <n v="676000"/>
    <n v="736000"/>
  </r>
  <r>
    <s v="Urvi Gulati"/>
    <s v="STU483"/>
    <s v="ENR483"/>
    <x v="3"/>
    <x v="0"/>
    <n v="4"/>
    <s v="Computer Science and Engineering"/>
    <x v="5"/>
    <n v="169000"/>
    <n v="154000"/>
    <n v="15000"/>
    <n v="0"/>
    <x v="0"/>
    <x v="2"/>
    <x v="1"/>
    <x v="1"/>
    <s v="India"/>
    <s v="divijkaur@example.org"/>
    <n v="919437000000"/>
    <x v="4"/>
    <n v="85"/>
    <n v="64"/>
    <s v="Non-AC"/>
    <x v="287"/>
    <d v="2002-10-24T00:00:00"/>
    <n v="10.1789737171464"/>
    <x v="2"/>
    <n v="676000"/>
    <n v="736000"/>
  </r>
  <r>
    <s v="Adira Dutta"/>
    <s v="STU480"/>
    <s v="ENR480"/>
    <x v="3"/>
    <x v="0"/>
    <n v="4"/>
    <s v="Computer Science and Engineering"/>
    <x v="2"/>
    <n v="169000"/>
    <n v="154000"/>
    <n v="15000"/>
    <n v="0"/>
    <x v="0"/>
    <x v="1"/>
    <x v="5"/>
    <x v="5"/>
    <s v="India"/>
    <s v="riaan26@example.org"/>
    <n v="918494000000"/>
    <x v="2"/>
    <n v="85"/>
    <n v="78"/>
    <s v="Non-AC"/>
    <x v="288"/>
    <d v="2003-12-01T00:00:00"/>
    <n v="10.1789737171464"/>
    <x v="3"/>
    <n v="676000"/>
    <n v="736000"/>
  </r>
  <r>
    <s v="Veer Sekhon"/>
    <s v="STU477"/>
    <s v="ENR477"/>
    <x v="5"/>
    <x v="0"/>
    <n v="4"/>
    <s v="Computer Science and Engineering"/>
    <x v="7"/>
    <n v="169000"/>
    <n v="154000"/>
    <n v="15000"/>
    <n v="0"/>
    <x v="0"/>
    <x v="2"/>
    <x v="6"/>
    <x v="3"/>
    <s v="India"/>
    <s v="rohankibe@example.com"/>
    <n v="919624000000"/>
    <x v="0"/>
    <n v="85"/>
    <n v="83"/>
    <s v="AC"/>
    <x v="289"/>
    <d v="2001-01-06T00:00:00"/>
    <n v="10.1789737171464"/>
    <x v="0"/>
    <n v="676000"/>
    <n v="736000"/>
  </r>
  <r>
    <s v="Priyansh Dora"/>
    <s v="STU488"/>
    <s v="ENR488"/>
    <x v="1"/>
    <x v="0"/>
    <n v="4"/>
    <s v="Computer Science and Engineering"/>
    <x v="0"/>
    <n v="169000"/>
    <n v="154000"/>
    <n v="15000"/>
    <n v="0"/>
    <x v="0"/>
    <x v="0"/>
    <x v="4"/>
    <x v="4"/>
    <s v="India"/>
    <s v="tsagar@example.org"/>
    <n v="918588000000"/>
    <x v="0"/>
    <n v="85"/>
    <n v="77"/>
    <s v="AC"/>
    <x v="290"/>
    <d v="2002-01-26T00:00:00"/>
    <n v="10.1789737171464"/>
    <x v="6"/>
    <n v="676000"/>
    <n v="736000"/>
  </r>
  <r>
    <s v="Raghav Tella"/>
    <s v="STU243"/>
    <s v="ENR243"/>
    <x v="5"/>
    <x v="0"/>
    <n v="4"/>
    <s v="Computer Science and Engineering"/>
    <x v="4"/>
    <n v="169000"/>
    <n v="154000"/>
    <n v="15000"/>
    <n v="0"/>
    <x v="0"/>
    <x v="2"/>
    <x v="8"/>
    <x v="7"/>
    <s v="India"/>
    <s v="piyakrishnamurthy@example.org"/>
    <n v="917137000000"/>
    <x v="4"/>
    <n v="85"/>
    <n v="92"/>
    <s v="AC"/>
    <x v="291"/>
    <d v="2002-06-06T00:00:00"/>
    <n v="10.1789737171464"/>
    <x v="6"/>
    <n v="676000"/>
    <n v="736000"/>
  </r>
  <r>
    <s v="Misha Sankar"/>
    <s v="STU015"/>
    <s v="ENR015"/>
    <x v="1"/>
    <x v="0"/>
    <n v="4"/>
    <s v="Computer Science and Engineering"/>
    <x v="8"/>
    <n v="169000"/>
    <n v="154000"/>
    <n v="15000"/>
    <n v="0"/>
    <x v="0"/>
    <x v="2"/>
    <x v="8"/>
    <x v="7"/>
    <s v="India"/>
    <s v="vshetty@example.com"/>
    <n v="917545000000"/>
    <x v="1"/>
    <n v="85"/>
    <n v="90"/>
    <s v="Non-AC"/>
    <x v="292"/>
    <d v="2003-07-13T00:00:00"/>
    <n v="10.1789737171464"/>
    <x v="3"/>
    <n v="676000"/>
    <n v="736000"/>
  </r>
  <r>
    <s v="Ishaan Wable"/>
    <s v="STU1058"/>
    <s v="ENR1058"/>
    <x v="0"/>
    <x v="0"/>
    <n v="4"/>
    <s v="Computer Science and Engineering"/>
    <x v="4"/>
    <n v="169000"/>
    <n v="154000"/>
    <n v="15000"/>
    <n v="0"/>
    <x v="0"/>
    <x v="0"/>
    <x v="7"/>
    <x v="6"/>
    <s v="India"/>
    <s v="eshani09@example.net"/>
    <n v="919221000000"/>
    <x v="0"/>
    <n v="85"/>
    <n v="65"/>
    <s v="AC"/>
    <x v="293"/>
    <d v="2001-10-16T00:00:00"/>
    <n v="10.1789737171464"/>
    <x v="6"/>
    <n v="676000"/>
    <n v="736000"/>
  </r>
  <r>
    <s v="Umang Kant"/>
    <s v="STU521"/>
    <s v="ENR521"/>
    <x v="2"/>
    <x v="1"/>
    <n v="2"/>
    <s v="Computer Science Engineering"/>
    <x v="0"/>
    <n v="92000"/>
    <n v="77000"/>
    <n v="15000"/>
    <n v="0"/>
    <x v="0"/>
    <x v="1"/>
    <x v="0"/>
    <x v="0"/>
    <s v="India"/>
    <s v="umang31@example.org"/>
    <n v="919932000000"/>
    <x v="1"/>
    <n v="85"/>
    <n v="92"/>
    <s v="Non-AC"/>
    <x v="294"/>
    <d v="1999-12-31T00:00:00"/>
    <n v="10.1789737171464"/>
    <x v="1"/>
    <n v="184000"/>
    <n v="214000"/>
  </r>
  <r>
    <s v="Arhaan Sami"/>
    <s v="STU646"/>
    <s v="ENR646"/>
    <x v="4"/>
    <x v="0"/>
    <n v="4"/>
    <s v="Computer Science and Engineering"/>
    <x v="9"/>
    <n v="169000"/>
    <n v="154000"/>
    <n v="15000"/>
    <n v="0"/>
    <x v="0"/>
    <x v="1"/>
    <x v="3"/>
    <x v="3"/>
    <s v="India"/>
    <s v="nayantara97@example.org"/>
    <n v="919665000000"/>
    <x v="4"/>
    <n v="85"/>
    <n v="80"/>
    <s v="AC"/>
    <x v="295"/>
    <d v="2002-10-18T00:00:00"/>
    <n v="10.1789737171464"/>
    <x v="2"/>
    <n v="676000"/>
    <n v="736000"/>
  </r>
  <r>
    <s v="Shanaya Cheema"/>
    <s v="STU1053"/>
    <s v="ENR1053"/>
    <x v="2"/>
    <x v="0"/>
    <n v="4"/>
    <s v="Computer Science and Engineering"/>
    <x v="4"/>
    <n v="169000"/>
    <n v="154000"/>
    <n v="15000"/>
    <n v="0"/>
    <x v="0"/>
    <x v="2"/>
    <x v="0"/>
    <x v="0"/>
    <s v="India"/>
    <s v="joshiindranil@example.net"/>
    <n v="919644000000"/>
    <x v="2"/>
    <n v="85"/>
    <n v="72"/>
    <s v="Non-AC"/>
    <x v="296"/>
    <d v="2002-06-24T00:00:00"/>
    <n v="10.1789737171464"/>
    <x v="6"/>
    <n v="676000"/>
    <n v="736000"/>
  </r>
  <r>
    <s v="Ivana Gera"/>
    <s v="STU152"/>
    <s v="ENR152"/>
    <x v="1"/>
    <x v="0"/>
    <n v="4"/>
    <s v="Computer Science and Engineering"/>
    <x v="7"/>
    <n v="169000"/>
    <n v="154000"/>
    <n v="15000"/>
    <n v="0"/>
    <x v="0"/>
    <x v="2"/>
    <x v="8"/>
    <x v="7"/>
    <s v="India"/>
    <s v="kashvi37@example.com"/>
    <n v="918712000000"/>
    <x v="3"/>
    <n v="85"/>
    <n v="74"/>
    <s v="AC"/>
    <x v="297"/>
    <d v="2003-04-12T00:00:00"/>
    <n v="10.1789737171464"/>
    <x v="2"/>
    <n v="676000"/>
    <n v="736000"/>
  </r>
  <r>
    <s v="Rhea Thakur"/>
    <s v="STU217"/>
    <s v="ENR217"/>
    <x v="3"/>
    <x v="1"/>
    <n v="2"/>
    <s v="Computer Science Engineering"/>
    <x v="1"/>
    <n v="92000"/>
    <n v="77000"/>
    <n v="15000"/>
    <n v="0"/>
    <x v="0"/>
    <x v="2"/>
    <x v="9"/>
    <x v="8"/>
    <s v="India"/>
    <s v="mehulshenoy@example.com"/>
    <n v="918988000000"/>
    <x v="4"/>
    <n v="85"/>
    <n v="62"/>
    <s v="AC"/>
    <x v="298"/>
    <d v="2000-12-26T00:00:00"/>
    <n v="10.1789737171464"/>
    <x v="0"/>
    <n v="184000"/>
    <n v="214000"/>
  </r>
  <r>
    <s v="Anaya Vala"/>
    <s v="STU691"/>
    <s v="ENR691"/>
    <x v="4"/>
    <x v="0"/>
    <n v="4"/>
    <s v="Computer Science and Engineering"/>
    <x v="9"/>
    <n v="169000"/>
    <n v="154000"/>
    <n v="15000"/>
    <n v="0"/>
    <x v="0"/>
    <x v="2"/>
    <x v="1"/>
    <x v="1"/>
    <s v="India"/>
    <s v="vihaansha@example.org"/>
    <n v="919016000000"/>
    <x v="3"/>
    <n v="85"/>
    <n v="70"/>
    <s v="Non-AC"/>
    <x v="299"/>
    <d v="2002-02-08T00:00:00"/>
    <n v="10.1789737171464"/>
    <x v="6"/>
    <n v="676000"/>
    <n v="736000"/>
  </r>
  <r>
    <s v="Sara Sura"/>
    <s v="STU679"/>
    <s v="ENR679"/>
    <x v="5"/>
    <x v="0"/>
    <n v="4"/>
    <s v="Computer Science and Engineering"/>
    <x v="4"/>
    <n v="169000"/>
    <n v="154000"/>
    <n v="15000"/>
    <n v="0"/>
    <x v="0"/>
    <x v="1"/>
    <x v="9"/>
    <x v="8"/>
    <s v="India"/>
    <s v="ntoor@example.org"/>
    <n v="917718000000"/>
    <x v="3"/>
    <n v="85"/>
    <n v="80"/>
    <s v="Non-AC"/>
    <x v="300"/>
    <d v="2004-12-24T00:00:00"/>
    <n v="10.1789737171464"/>
    <x v="5"/>
    <n v="676000"/>
    <n v="736000"/>
  </r>
  <r>
    <s v="Suhana Sibal"/>
    <s v="STU390"/>
    <s v="ENR390"/>
    <x v="0"/>
    <x v="1"/>
    <n v="2"/>
    <s v="Computer Science Engineering"/>
    <x v="0"/>
    <n v="92000"/>
    <n v="77000"/>
    <n v="15000"/>
    <n v="0"/>
    <x v="0"/>
    <x v="1"/>
    <x v="3"/>
    <x v="3"/>
    <s v="India"/>
    <s v="faiyaz24@example.org"/>
    <n v="917927000000"/>
    <x v="2"/>
    <n v="85"/>
    <n v="61"/>
    <s v="AC"/>
    <x v="301"/>
    <d v="1997-01-14T00:00:00"/>
    <n v="10.1789737171464"/>
    <x v="8"/>
    <n v="184000"/>
    <n v="214000"/>
  </r>
  <r>
    <s v="Jhanvi Verma"/>
    <s v="STU147"/>
    <s v="ENR147"/>
    <x v="4"/>
    <x v="0"/>
    <n v="4"/>
    <s v="Computer Science and Engineering"/>
    <x v="6"/>
    <n v="169000"/>
    <n v="154000"/>
    <n v="15000"/>
    <n v="0"/>
    <x v="0"/>
    <x v="0"/>
    <x v="2"/>
    <x v="2"/>
    <s v="India"/>
    <s v="gatik48@example.net"/>
    <n v="919542000000"/>
    <x v="1"/>
    <n v="85"/>
    <n v="89"/>
    <s v="Non-AC"/>
    <x v="302"/>
    <d v="2001-01-10T00:00:00"/>
    <n v="10.1789737171464"/>
    <x v="0"/>
    <n v="676000"/>
    <n v="736000"/>
  </r>
  <r>
    <s v="Diya Bhargava"/>
    <s v="STU452"/>
    <s v="ENR452"/>
    <x v="1"/>
    <x v="1"/>
    <n v="2"/>
    <s v="Computer Science Engineering"/>
    <x v="6"/>
    <n v="92000"/>
    <n v="77000"/>
    <n v="15000"/>
    <n v="0"/>
    <x v="0"/>
    <x v="1"/>
    <x v="4"/>
    <x v="4"/>
    <s v="India"/>
    <s v="riaanjhaveri@example.com"/>
    <n v="917780000000"/>
    <x v="4"/>
    <n v="85"/>
    <n v="92"/>
    <s v="Non-AC"/>
    <x v="303"/>
    <d v="1999-08-15T00:00:00"/>
    <n v="10.1789737171464"/>
    <x v="1"/>
    <n v="184000"/>
    <n v="214000"/>
  </r>
  <r>
    <s v="Zaina Raman"/>
    <s v="STU383"/>
    <s v="ENR383"/>
    <x v="0"/>
    <x v="1"/>
    <n v="2"/>
    <s v="Computer Science Engineering"/>
    <x v="0"/>
    <n v="92000"/>
    <n v="77000"/>
    <n v="15000"/>
    <n v="0"/>
    <x v="0"/>
    <x v="1"/>
    <x v="0"/>
    <x v="0"/>
    <s v="India"/>
    <s v="divitgera@example.com"/>
    <n v="918883000000"/>
    <x v="2"/>
    <n v="85"/>
    <n v="89"/>
    <s v="AC"/>
    <x v="304"/>
    <d v="1997-02-18T00:00:00"/>
    <n v="10.1789737171464"/>
    <x v="8"/>
    <n v="184000"/>
    <n v="214000"/>
  </r>
  <r>
    <s v="Adah Bali"/>
    <s v="STU188"/>
    <s v="ENR188"/>
    <x v="1"/>
    <x v="1"/>
    <n v="2"/>
    <s v="Computer Science Engineering"/>
    <x v="1"/>
    <n v="92000"/>
    <n v="77000"/>
    <n v="15000"/>
    <n v="0"/>
    <x v="0"/>
    <x v="0"/>
    <x v="8"/>
    <x v="7"/>
    <s v="India"/>
    <s v="auroradivit@example.com"/>
    <n v="919966000000"/>
    <x v="4"/>
    <n v="85"/>
    <n v="90"/>
    <s v="Non-AC"/>
    <x v="305"/>
    <d v="2001-06-21T00:00:00"/>
    <n v="10.1789737171464"/>
    <x v="0"/>
    <n v="184000"/>
    <n v="214000"/>
  </r>
  <r>
    <s v="Aarna Hari"/>
    <s v="STU396"/>
    <s v="ENR396"/>
    <x v="3"/>
    <x v="1"/>
    <n v="2"/>
    <s v="Computer Science Engineering"/>
    <x v="4"/>
    <n v="92000"/>
    <n v="77000"/>
    <n v="15000"/>
    <n v="0"/>
    <x v="0"/>
    <x v="0"/>
    <x v="9"/>
    <x v="8"/>
    <s v="India"/>
    <s v="mahikasodhi@example.net"/>
    <n v="917920000000"/>
    <x v="0"/>
    <n v="85"/>
    <n v="85"/>
    <s v="AC"/>
    <x v="306"/>
    <d v="1999-06-05T00:00:00"/>
    <n v="10.1789737171464"/>
    <x v="7"/>
    <n v="184000"/>
    <n v="214000"/>
  </r>
  <r>
    <s v="Riya Walla"/>
    <s v="STU638"/>
    <s v="ENR638"/>
    <x v="5"/>
    <x v="0"/>
    <n v="4"/>
    <s v="Computer Science and Engineering"/>
    <x v="4"/>
    <n v="169000"/>
    <n v="154000"/>
    <n v="15000"/>
    <n v="0"/>
    <x v="0"/>
    <x v="0"/>
    <x v="7"/>
    <x v="6"/>
    <s v="India"/>
    <s v="ssarkar@example.net"/>
    <n v="919394000000"/>
    <x v="3"/>
    <n v="85"/>
    <n v="86"/>
    <s v="Non-AC"/>
    <x v="307"/>
    <d v="2004-04-10T00:00:00"/>
    <n v="10.1789737171464"/>
    <x v="3"/>
    <n v="676000"/>
    <n v="736000"/>
  </r>
  <r>
    <s v="Ishaan Korpal"/>
    <s v="STU010"/>
    <s v="ENR010"/>
    <x v="4"/>
    <x v="0"/>
    <n v="4"/>
    <s v="Computer Science and Engineering"/>
    <x v="1"/>
    <n v="169000"/>
    <n v="154000"/>
    <n v="15000"/>
    <n v="0"/>
    <x v="0"/>
    <x v="1"/>
    <x v="7"/>
    <x v="6"/>
    <s v="India"/>
    <s v="bahlsiya@example.org"/>
    <n v="917140000000"/>
    <x v="2"/>
    <n v="84"/>
    <n v="60"/>
    <s v="AC"/>
    <x v="308"/>
    <d v="2000-08-13T00:00:00"/>
    <n v="9.1789737171464303"/>
    <x v="0"/>
    <n v="676000"/>
    <n v="736000"/>
  </r>
  <r>
    <s v="Kimaya Joshi"/>
    <s v="STU1138"/>
    <s v="ENR1138"/>
    <x v="3"/>
    <x v="0"/>
    <n v="4"/>
    <s v="Computer Science and Engineering"/>
    <x v="0"/>
    <n v="169000"/>
    <n v="154000"/>
    <n v="15000"/>
    <n v="0"/>
    <x v="0"/>
    <x v="2"/>
    <x v="7"/>
    <x v="6"/>
    <s v="India"/>
    <s v="twagle@example.com"/>
    <n v="918179000000"/>
    <x v="2"/>
    <n v="84"/>
    <n v="66"/>
    <s v="AC"/>
    <x v="309"/>
    <d v="2003-03-31T00:00:00"/>
    <n v="9.1789737171464303"/>
    <x v="2"/>
    <n v="676000"/>
    <n v="736000"/>
  </r>
  <r>
    <s v="Farhan Sandal"/>
    <s v="STU247"/>
    <s v="ENR247"/>
    <x v="4"/>
    <x v="1"/>
    <n v="2"/>
    <s v="Computer Science Engineering"/>
    <x v="0"/>
    <n v="92000"/>
    <n v="77000"/>
    <n v="15000"/>
    <n v="0"/>
    <x v="0"/>
    <x v="0"/>
    <x v="4"/>
    <x v="4"/>
    <s v="India"/>
    <s v="baildhanush@example.org"/>
    <n v="918436000000"/>
    <x v="3"/>
    <n v="84"/>
    <n v="85"/>
    <s v="Non-AC"/>
    <x v="310"/>
    <d v="2002-03-16T00:00:00"/>
    <n v="9.1789737171464303"/>
    <x v="6"/>
    <n v="184000"/>
    <n v="214000"/>
  </r>
  <r>
    <s v="Baiju Lall"/>
    <s v="STU1158"/>
    <s v="ENR1158"/>
    <x v="2"/>
    <x v="0"/>
    <n v="4"/>
    <s v="Computer Science and Engineering"/>
    <x v="9"/>
    <n v="169000"/>
    <n v="154000"/>
    <n v="15000"/>
    <n v="0"/>
    <x v="0"/>
    <x v="1"/>
    <x v="1"/>
    <x v="1"/>
    <s v="India"/>
    <s v="akarsh59@example.net"/>
    <n v="917626000000"/>
    <x v="1"/>
    <n v="84"/>
    <n v="65"/>
    <s v="Non-AC"/>
    <x v="311"/>
    <d v="2002-03-19T00:00:00"/>
    <n v="9.1789737171464303"/>
    <x v="6"/>
    <n v="676000"/>
    <n v="736000"/>
  </r>
  <r>
    <s v="Vidur Chand"/>
    <s v="STU296"/>
    <s v="ENR296"/>
    <x v="2"/>
    <x v="1"/>
    <n v="2"/>
    <s v="Computer Science Engineering"/>
    <x v="4"/>
    <n v="92000"/>
    <n v="77000"/>
    <n v="15000"/>
    <n v="0"/>
    <x v="0"/>
    <x v="0"/>
    <x v="5"/>
    <x v="5"/>
    <s v="India"/>
    <s v="kanavaggarwal@example.org"/>
    <n v="918258000000"/>
    <x v="2"/>
    <n v="84"/>
    <n v="79"/>
    <s v="Non-AC"/>
    <x v="312"/>
    <d v="1997-11-18T00:00:00"/>
    <n v="9.1789737171464303"/>
    <x v="9"/>
    <n v="184000"/>
    <n v="214000"/>
  </r>
  <r>
    <s v="Romil Tara"/>
    <s v="STU226"/>
    <s v="ENR226"/>
    <x v="5"/>
    <x v="1"/>
    <n v="2"/>
    <s v="Computer Science Engineering"/>
    <x v="1"/>
    <n v="92000"/>
    <n v="77000"/>
    <n v="15000"/>
    <n v="0"/>
    <x v="0"/>
    <x v="0"/>
    <x v="7"/>
    <x v="6"/>
    <s v="India"/>
    <s v="bsagar@example.com"/>
    <n v="919370000000"/>
    <x v="2"/>
    <n v="84"/>
    <n v="62"/>
    <s v="AC"/>
    <x v="313"/>
    <d v="1998-12-18T00:00:00"/>
    <n v="9.1789737171464303"/>
    <x v="7"/>
    <n v="184000"/>
    <n v="214000"/>
  </r>
  <r>
    <s v="Sahil Ben"/>
    <s v="STU165"/>
    <s v="ENR165"/>
    <x v="2"/>
    <x v="1"/>
    <n v="2"/>
    <s v="Computer Science Engineering"/>
    <x v="4"/>
    <n v="92000"/>
    <n v="77000"/>
    <n v="15000"/>
    <n v="0"/>
    <x v="0"/>
    <x v="1"/>
    <x v="8"/>
    <x v="7"/>
    <s v="India"/>
    <s v="johalnirvi@example.net"/>
    <n v="918323000000"/>
    <x v="1"/>
    <n v="84"/>
    <n v="61"/>
    <s v="Non-AC"/>
    <x v="314"/>
    <d v="2000-07-01T00:00:00"/>
    <n v="9.1789737171464303"/>
    <x v="1"/>
    <n v="184000"/>
    <n v="214000"/>
  </r>
  <r>
    <s v="Vardaniya Raman"/>
    <s v="STU059"/>
    <s v="ENR059"/>
    <x v="5"/>
    <x v="0"/>
    <n v="4"/>
    <s v="Computer Science and Engineering"/>
    <x v="3"/>
    <n v="169000"/>
    <n v="154000"/>
    <n v="15000"/>
    <n v="0"/>
    <x v="0"/>
    <x v="0"/>
    <x v="5"/>
    <x v="5"/>
    <s v="India"/>
    <s v="hazel63@example.net"/>
    <n v="918123000000"/>
    <x v="2"/>
    <n v="84"/>
    <n v="80"/>
    <s v="AC"/>
    <x v="315"/>
    <d v="2005-03-10T00:00:00"/>
    <n v="9.1789737171464303"/>
    <x v="5"/>
    <n v="676000"/>
    <n v="736000"/>
  </r>
  <r>
    <s v="Ishaan Boase"/>
    <s v="STU605"/>
    <s v="ENR605"/>
    <x v="4"/>
    <x v="0"/>
    <n v="4"/>
    <s v="Computer Science and Engineering"/>
    <x v="8"/>
    <n v="169000"/>
    <n v="154000"/>
    <n v="15000"/>
    <n v="0"/>
    <x v="0"/>
    <x v="0"/>
    <x v="3"/>
    <x v="3"/>
    <s v="India"/>
    <s v="ritvik46@example.org"/>
    <n v="917141000000"/>
    <x v="3"/>
    <n v="84"/>
    <n v="66"/>
    <s v="Non-AC"/>
    <x v="316"/>
    <d v="2003-05-09T00:00:00"/>
    <n v="9.1789737171464303"/>
    <x v="2"/>
    <n v="676000"/>
    <n v="736000"/>
  </r>
  <r>
    <s v="Sara Shan"/>
    <s v="STU1051"/>
    <s v="ENR1051"/>
    <x v="0"/>
    <x v="0"/>
    <n v="4"/>
    <s v="Computer Science and Engineering"/>
    <x v="6"/>
    <n v="169000"/>
    <n v="154000"/>
    <n v="15000"/>
    <n v="0"/>
    <x v="0"/>
    <x v="0"/>
    <x v="9"/>
    <x v="8"/>
    <s v="India"/>
    <s v="doshikanav@example.net"/>
    <n v="917859000000"/>
    <x v="4"/>
    <n v="84"/>
    <n v="65"/>
    <s v="Non-AC"/>
    <x v="317"/>
    <d v="2003-10-27T00:00:00"/>
    <n v="9.1789737171464303"/>
    <x v="3"/>
    <n v="676000"/>
    <n v="736000"/>
  </r>
  <r>
    <s v="Saksham Sur"/>
    <s v="STU385"/>
    <s v="ENR385"/>
    <x v="4"/>
    <x v="1"/>
    <n v="2"/>
    <s v="Computer Science Engineering"/>
    <x v="5"/>
    <n v="92000"/>
    <n v="77000"/>
    <n v="15000"/>
    <n v="0"/>
    <x v="0"/>
    <x v="2"/>
    <x v="0"/>
    <x v="0"/>
    <s v="India"/>
    <s v="zeeshanrege@example.org"/>
    <n v="917537000000"/>
    <x v="3"/>
    <n v="84"/>
    <n v="88"/>
    <s v="AC"/>
    <x v="318"/>
    <d v="2002-03-08T00:00:00"/>
    <n v="9.1789737171464303"/>
    <x v="6"/>
    <n v="184000"/>
    <n v="214000"/>
  </r>
  <r>
    <s v="Urvi Ganguly"/>
    <s v="STU414"/>
    <s v="ENR414"/>
    <x v="0"/>
    <x v="0"/>
    <n v="4"/>
    <s v="Computer Science and Engineering"/>
    <x v="7"/>
    <n v="169000"/>
    <n v="154000"/>
    <n v="15000"/>
    <n v="0"/>
    <x v="0"/>
    <x v="2"/>
    <x v="6"/>
    <x v="3"/>
    <s v="India"/>
    <s v="riaankalita@example.net"/>
    <n v="919614000000"/>
    <x v="1"/>
    <n v="84"/>
    <n v="92"/>
    <s v="Non-AC"/>
    <x v="319"/>
    <d v="2002-08-24T00:00:00"/>
    <n v="9.1789737171464303"/>
    <x v="2"/>
    <n v="676000"/>
    <n v="736000"/>
  </r>
  <r>
    <s v="Tarini Vyas"/>
    <s v="STU210"/>
    <s v="ENR210"/>
    <x v="1"/>
    <x v="1"/>
    <n v="2"/>
    <s v="Computer Science Engineering"/>
    <x v="0"/>
    <n v="92000"/>
    <n v="77000"/>
    <n v="15000"/>
    <n v="0"/>
    <x v="0"/>
    <x v="0"/>
    <x v="2"/>
    <x v="2"/>
    <s v="India"/>
    <s v="eluthra@example.com"/>
    <n v="917161000000"/>
    <x v="0"/>
    <n v="84"/>
    <n v="87"/>
    <s v="AC"/>
    <x v="320"/>
    <d v="2002-01-31T00:00:00"/>
    <n v="9.1789737171464303"/>
    <x v="6"/>
    <n v="184000"/>
    <n v="214000"/>
  </r>
  <r>
    <s v="Tarini Balasubramanian"/>
    <s v="STU939"/>
    <s v="ENR939"/>
    <x v="3"/>
    <x v="0"/>
    <n v="4"/>
    <s v="Computer Science and Engineering"/>
    <x v="4"/>
    <n v="169000"/>
    <n v="154000"/>
    <n v="15000"/>
    <n v="0"/>
    <x v="0"/>
    <x v="0"/>
    <x v="5"/>
    <x v="5"/>
    <s v="India"/>
    <s v="buchtanya@example.com"/>
    <n v="919994000000"/>
    <x v="0"/>
    <n v="84"/>
    <n v="83"/>
    <s v="Non-AC"/>
    <x v="321"/>
    <d v="2004-09-08T00:00:00"/>
    <n v="9.1789737171464303"/>
    <x v="5"/>
    <n v="676000"/>
    <n v="736000"/>
  </r>
  <r>
    <s v="Yuvraj  Tripathi"/>
    <s v="STU938"/>
    <s v="ENR938"/>
    <x v="1"/>
    <x v="0"/>
    <n v="4"/>
    <s v="Computer Science and Engineering"/>
    <x v="8"/>
    <n v="169000"/>
    <n v="154000"/>
    <n v="15000"/>
    <n v="0"/>
    <x v="0"/>
    <x v="2"/>
    <x v="7"/>
    <x v="6"/>
    <s v="India"/>
    <s v="zainadash@example.com"/>
    <n v="917060000000"/>
    <x v="0"/>
    <n v="84"/>
    <n v="90"/>
    <s v="Non-AC"/>
    <x v="322"/>
    <d v="2001-10-25T00:00:00"/>
    <n v="9.1789737171464303"/>
    <x v="6"/>
    <n v="676000"/>
    <n v="736000"/>
  </r>
  <r>
    <s v="Himmat Badami"/>
    <s v="STU1121"/>
    <s v="ENR1121"/>
    <x v="2"/>
    <x v="0"/>
    <n v="4"/>
    <s v="Computer Science and Engineering"/>
    <x v="8"/>
    <n v="169000"/>
    <n v="154000"/>
    <n v="15000"/>
    <n v="0"/>
    <x v="0"/>
    <x v="1"/>
    <x v="5"/>
    <x v="5"/>
    <s v="India"/>
    <s v="kviswanathan@example.com"/>
    <n v="918089000000"/>
    <x v="1"/>
    <n v="84"/>
    <n v="70"/>
    <s v="AC"/>
    <x v="323"/>
    <d v="2001-09-09T00:00:00"/>
    <n v="9.1789737171464303"/>
    <x v="6"/>
    <n v="676000"/>
    <n v="736000"/>
  </r>
  <r>
    <s v="Jhanvi Kohli"/>
    <s v="STU890"/>
    <s v="ENR890"/>
    <x v="1"/>
    <x v="0"/>
    <n v="4"/>
    <s v="Computer Science and Engineering"/>
    <x v="5"/>
    <n v="169000"/>
    <n v="154000"/>
    <n v="15000"/>
    <n v="0"/>
    <x v="0"/>
    <x v="0"/>
    <x v="6"/>
    <x v="3"/>
    <s v="India"/>
    <s v="ivankannan@example.org"/>
    <n v="919049000000"/>
    <x v="4"/>
    <n v="84"/>
    <n v="78"/>
    <s v="Non-AC"/>
    <x v="324"/>
    <d v="2001-03-09T00:00:00"/>
    <n v="9.1789737171464303"/>
    <x v="0"/>
    <n v="676000"/>
    <n v="736000"/>
  </r>
  <r>
    <s v="Saira Roy"/>
    <s v="STU326"/>
    <s v="ENR326"/>
    <x v="2"/>
    <x v="1"/>
    <n v="2"/>
    <s v="Computer Science Engineering"/>
    <x v="0"/>
    <n v="92000"/>
    <n v="77000"/>
    <n v="15000"/>
    <n v="0"/>
    <x v="0"/>
    <x v="2"/>
    <x v="0"/>
    <x v="0"/>
    <s v="India"/>
    <s v="myrahari@example.org"/>
    <n v="919599000000"/>
    <x v="4"/>
    <n v="84"/>
    <n v="64"/>
    <s v="AC"/>
    <x v="325"/>
    <d v="2000-01-21T00:00:00"/>
    <n v="9.1789737171464303"/>
    <x v="1"/>
    <n v="184000"/>
    <n v="214000"/>
  </r>
  <r>
    <s v="Saanvi Gokhale"/>
    <s v="STU921"/>
    <s v="ENR921"/>
    <x v="3"/>
    <x v="0"/>
    <n v="4"/>
    <s v="Computer Science and Engineering"/>
    <x v="4"/>
    <n v="169000"/>
    <n v="154000"/>
    <n v="15000"/>
    <n v="0"/>
    <x v="0"/>
    <x v="2"/>
    <x v="9"/>
    <x v="8"/>
    <s v="India"/>
    <s v="kairabatta@example.org"/>
    <n v="919737000000"/>
    <x v="0"/>
    <n v="84"/>
    <n v="67"/>
    <s v="AC"/>
    <x v="326"/>
    <d v="2003-03-13T00:00:00"/>
    <n v="9.1789737171464303"/>
    <x v="2"/>
    <n v="676000"/>
    <n v="736000"/>
  </r>
  <r>
    <s v="Himmat Devan"/>
    <s v="STU903"/>
    <s v="ENR903"/>
    <x v="2"/>
    <x v="0"/>
    <n v="4"/>
    <s v="Computer Science and Engineering"/>
    <x v="5"/>
    <n v="169000"/>
    <n v="154000"/>
    <n v="15000"/>
    <n v="0"/>
    <x v="0"/>
    <x v="0"/>
    <x v="5"/>
    <x v="5"/>
    <s v="India"/>
    <s v="dsachar@example.org"/>
    <n v="917828000000"/>
    <x v="4"/>
    <n v="84"/>
    <n v="63"/>
    <s v="Non-AC"/>
    <x v="327"/>
    <d v="2003-11-25T00:00:00"/>
    <n v="9.1789737171464303"/>
    <x v="3"/>
    <n v="676000"/>
    <n v="736000"/>
  </r>
  <r>
    <s v="Samiha Bava"/>
    <s v="STU905"/>
    <s v="ENR905"/>
    <x v="0"/>
    <x v="0"/>
    <n v="4"/>
    <s v="Computer Science and Engineering"/>
    <x v="3"/>
    <n v="169000"/>
    <n v="154000"/>
    <n v="15000"/>
    <n v="0"/>
    <x v="0"/>
    <x v="0"/>
    <x v="4"/>
    <x v="4"/>
    <s v="India"/>
    <s v="gangulyojas@example.net"/>
    <n v="917524000000"/>
    <x v="4"/>
    <n v="84"/>
    <n v="62"/>
    <s v="AC"/>
    <x v="328"/>
    <d v="2000-11-03T00:00:00"/>
    <n v="9.1789737171464303"/>
    <x v="0"/>
    <n v="676000"/>
    <n v="736000"/>
  </r>
  <r>
    <s v="Onkar Wali"/>
    <s v="STU191"/>
    <s v="ENR191"/>
    <x v="4"/>
    <x v="1"/>
    <n v="2"/>
    <s v="Computer Science Engineering"/>
    <x v="5"/>
    <n v="92000"/>
    <n v="77000"/>
    <n v="15000"/>
    <n v="0"/>
    <x v="0"/>
    <x v="2"/>
    <x v="9"/>
    <x v="8"/>
    <s v="India"/>
    <s v="basaksuhana@example.com"/>
    <n v="917051000000"/>
    <x v="1"/>
    <n v="84"/>
    <n v="73"/>
    <s v="AC"/>
    <x v="329"/>
    <d v="1999-02-19T00:00:00"/>
    <n v="9.1789737171464303"/>
    <x v="7"/>
    <n v="184000"/>
    <n v="214000"/>
  </r>
  <r>
    <s v="Anay Singhal"/>
    <s v="STU087"/>
    <s v="ENR087"/>
    <x v="1"/>
    <x v="0"/>
    <n v="4"/>
    <s v="Computer Science and Engineering"/>
    <x v="2"/>
    <n v="169000"/>
    <n v="154000"/>
    <n v="15000"/>
    <n v="0"/>
    <x v="0"/>
    <x v="1"/>
    <x v="2"/>
    <x v="2"/>
    <s v="India"/>
    <s v="thakerishita@example.com"/>
    <n v="918130000000"/>
    <x v="2"/>
    <n v="84"/>
    <n v="74"/>
    <s v="Non-AC"/>
    <x v="330"/>
    <d v="2006-06-05T00:00:00"/>
    <n v="9.1789737171464303"/>
    <x v="4"/>
    <n v="676000"/>
    <n v="736000"/>
  </r>
  <r>
    <s v="Baiju Chakraborty"/>
    <s v="STU384"/>
    <s v="ENR384"/>
    <x v="3"/>
    <x v="1"/>
    <n v="2"/>
    <s v="Computer Science Engineering"/>
    <x v="3"/>
    <n v="92000"/>
    <n v="77000"/>
    <n v="15000"/>
    <n v="0"/>
    <x v="0"/>
    <x v="0"/>
    <x v="9"/>
    <x v="8"/>
    <s v="India"/>
    <s v="bwadhwa@example.org"/>
    <n v="919115000000"/>
    <x v="3"/>
    <n v="84"/>
    <n v="62"/>
    <s v="AC"/>
    <x v="331"/>
    <d v="2001-08-22T00:00:00"/>
    <n v="9.1789737171464303"/>
    <x v="6"/>
    <n v="184000"/>
    <n v="214000"/>
  </r>
  <r>
    <s v="Vardaniya Vala"/>
    <s v="STU096"/>
    <s v="ENR096"/>
    <x v="3"/>
    <x v="0"/>
    <n v="4"/>
    <s v="Computer Science and Engineering"/>
    <x v="5"/>
    <n v="169000"/>
    <n v="154000"/>
    <n v="15000"/>
    <n v="0"/>
    <x v="0"/>
    <x v="1"/>
    <x v="7"/>
    <x v="6"/>
    <s v="India"/>
    <s v="tusharrau@example.net"/>
    <n v="917133000000"/>
    <x v="3"/>
    <n v="84"/>
    <n v="86"/>
    <s v="Non-AC"/>
    <x v="332"/>
    <d v="2006-06-21T00:00:00"/>
    <n v="9.1789737171464303"/>
    <x v="4"/>
    <n v="676000"/>
    <n v="736000"/>
  </r>
  <r>
    <s v="Heer Mall"/>
    <s v="STU314"/>
    <s v="ENR314"/>
    <x v="2"/>
    <x v="0"/>
    <n v="4"/>
    <s v="Computer Science and Engineering"/>
    <x v="5"/>
    <n v="169000"/>
    <n v="154000"/>
    <n v="15000"/>
    <n v="0"/>
    <x v="0"/>
    <x v="1"/>
    <x v="3"/>
    <x v="3"/>
    <s v="India"/>
    <s v="japte@example.org"/>
    <n v="918432000000"/>
    <x v="1"/>
    <n v="84"/>
    <n v="91"/>
    <s v="AC"/>
    <x v="333"/>
    <d v="2003-03-14T00:00:00"/>
    <n v="9.1789737171464303"/>
    <x v="2"/>
    <n v="676000"/>
    <n v="736000"/>
  </r>
  <r>
    <s v="Bhavin Bandi"/>
    <s v="STU513"/>
    <s v="ENR513"/>
    <x v="3"/>
    <x v="0"/>
    <n v="4"/>
    <s v="Computer Science and Engineering"/>
    <x v="7"/>
    <n v="169000"/>
    <n v="154000"/>
    <n v="15000"/>
    <n v="0"/>
    <x v="0"/>
    <x v="1"/>
    <x v="5"/>
    <x v="5"/>
    <s v="India"/>
    <s v="ckar@example.com"/>
    <n v="919975000000"/>
    <x v="0"/>
    <n v="84"/>
    <n v="61"/>
    <s v="Non-AC"/>
    <x v="334"/>
    <d v="2003-05-19T00:00:00"/>
    <n v="9.1789737171464303"/>
    <x v="2"/>
    <n v="676000"/>
    <n v="736000"/>
  </r>
  <r>
    <s v="Amira Dhar"/>
    <s v="STU413"/>
    <s v="ENR413"/>
    <x v="2"/>
    <x v="1"/>
    <n v="2"/>
    <s v="Computer Science Engineering"/>
    <x v="6"/>
    <n v="92000"/>
    <n v="77000"/>
    <n v="15000"/>
    <n v="0"/>
    <x v="0"/>
    <x v="0"/>
    <x v="9"/>
    <x v="8"/>
    <s v="India"/>
    <s v="neysa43@example.net"/>
    <n v="919259000000"/>
    <x v="0"/>
    <n v="84"/>
    <n v="73"/>
    <s v="AC"/>
    <x v="335"/>
    <d v="1997-03-03T00:00:00"/>
    <n v="9.1789737171464303"/>
    <x v="8"/>
    <n v="184000"/>
    <n v="214000"/>
  </r>
  <r>
    <s v="Ira Batta"/>
    <s v="STU233"/>
    <s v="ENR233"/>
    <x v="2"/>
    <x v="0"/>
    <n v="4"/>
    <s v="Computer Science and Engineering"/>
    <x v="7"/>
    <n v="169000"/>
    <n v="154000"/>
    <n v="15000"/>
    <n v="0"/>
    <x v="0"/>
    <x v="0"/>
    <x v="3"/>
    <x v="3"/>
    <s v="India"/>
    <s v="dishani99@example.com"/>
    <n v="917700000000"/>
    <x v="2"/>
    <n v="84"/>
    <n v="64"/>
    <s v="Non-AC"/>
    <x v="336"/>
    <d v="2003-04-20T00:00:00"/>
    <n v="9.1789737171464303"/>
    <x v="2"/>
    <n v="676000"/>
    <n v="736000"/>
  </r>
  <r>
    <s v="Miraya Choudhury"/>
    <s v="STU523"/>
    <s v="ENR523"/>
    <x v="1"/>
    <x v="0"/>
    <n v="4"/>
    <s v="Computer Science and Engineering"/>
    <x v="0"/>
    <n v="169000"/>
    <n v="154000"/>
    <n v="15000"/>
    <n v="0"/>
    <x v="0"/>
    <x v="0"/>
    <x v="5"/>
    <x v="5"/>
    <s v="India"/>
    <s v="divyansh81@example.org"/>
    <n v="918059000000"/>
    <x v="0"/>
    <n v="84"/>
    <n v="68"/>
    <s v="Non-AC"/>
    <x v="337"/>
    <d v="2003-08-12T00:00:00"/>
    <n v="9.1789737171464303"/>
    <x v="3"/>
    <n v="676000"/>
    <n v="736000"/>
  </r>
  <r>
    <s v="Advika Chand"/>
    <s v="STU464"/>
    <s v="ENR464"/>
    <x v="5"/>
    <x v="1"/>
    <n v="2"/>
    <s v="Computer Science Engineering"/>
    <x v="6"/>
    <n v="92000"/>
    <n v="77000"/>
    <n v="15000"/>
    <n v="0"/>
    <x v="0"/>
    <x v="0"/>
    <x v="5"/>
    <x v="5"/>
    <s v="India"/>
    <s v="handaaarna@example.org"/>
    <n v="919663000000"/>
    <x v="0"/>
    <n v="84"/>
    <n v="92"/>
    <s v="Non-AC"/>
    <x v="338"/>
    <d v="1998-05-01T00:00:00"/>
    <n v="9.1789737171464303"/>
    <x v="9"/>
    <n v="184000"/>
    <n v="214000"/>
  </r>
  <r>
    <s v="Devansh Sur"/>
    <s v="STU1060"/>
    <s v="ENR1060"/>
    <x v="5"/>
    <x v="0"/>
    <n v="4"/>
    <s v="Computer Science and Engineering"/>
    <x v="5"/>
    <n v="169000"/>
    <n v="154000"/>
    <n v="15000"/>
    <n v="0"/>
    <x v="0"/>
    <x v="1"/>
    <x v="1"/>
    <x v="1"/>
    <s v="India"/>
    <s v="faiyaz40@example.com"/>
    <n v="918537000000"/>
    <x v="1"/>
    <n v="84"/>
    <n v="73"/>
    <s v="AC"/>
    <x v="339"/>
    <d v="2004-03-21T00:00:00"/>
    <n v="9.1789737171464303"/>
    <x v="3"/>
    <n v="676000"/>
    <n v="736000"/>
  </r>
  <r>
    <s v="Jayan Rajagopal"/>
    <s v="STU510"/>
    <s v="ENR510"/>
    <x v="4"/>
    <x v="0"/>
    <n v="4"/>
    <s v="Computer Science and Engineering"/>
    <x v="6"/>
    <n v="169000"/>
    <n v="154000"/>
    <n v="15000"/>
    <n v="0"/>
    <x v="0"/>
    <x v="1"/>
    <x v="7"/>
    <x v="6"/>
    <s v="India"/>
    <s v="iradesai@example.net"/>
    <n v="917782000000"/>
    <x v="2"/>
    <n v="84"/>
    <n v="78"/>
    <s v="Non-AC"/>
    <x v="340"/>
    <d v="2001-04-07T00:00:00"/>
    <n v="9.1789737171464303"/>
    <x v="0"/>
    <n v="676000"/>
    <n v="736000"/>
  </r>
  <r>
    <s v="Dhanush Keer"/>
    <s v="STU1025"/>
    <s v="ENR1025"/>
    <x v="4"/>
    <x v="0"/>
    <n v="4"/>
    <s v="Computer Science and Engineering"/>
    <x v="9"/>
    <n v="169000"/>
    <n v="154000"/>
    <n v="15000"/>
    <n v="0"/>
    <x v="0"/>
    <x v="1"/>
    <x v="2"/>
    <x v="2"/>
    <s v="India"/>
    <s v="faiyazbatta@example.com"/>
    <n v="918311000000"/>
    <x v="4"/>
    <n v="84"/>
    <n v="85"/>
    <s v="AC"/>
    <x v="341"/>
    <d v="2006-05-06T00:00:00"/>
    <n v="9.1789737171464303"/>
    <x v="4"/>
    <n v="676000"/>
    <n v="736000"/>
  </r>
  <r>
    <s v="Hunar Khosla"/>
    <s v="STU274"/>
    <s v="ENR274"/>
    <x v="4"/>
    <x v="0"/>
    <n v="4"/>
    <s v="Computer Science and Engineering"/>
    <x v="4"/>
    <n v="169000"/>
    <n v="154000"/>
    <n v="15000"/>
    <n v="0"/>
    <x v="0"/>
    <x v="1"/>
    <x v="4"/>
    <x v="4"/>
    <s v="India"/>
    <s v="divyanshvarughese@example.com"/>
    <n v="919393000000"/>
    <x v="3"/>
    <n v="84"/>
    <n v="80"/>
    <s v="Non-AC"/>
    <x v="342"/>
    <d v="2002-03-09T00:00:00"/>
    <n v="9.1789737171464303"/>
    <x v="6"/>
    <n v="676000"/>
    <n v="736000"/>
  </r>
  <r>
    <s v="Rati Garg"/>
    <s v="STU184"/>
    <s v="ENR184"/>
    <x v="0"/>
    <x v="1"/>
    <n v="2"/>
    <s v="Computer Science Engineering"/>
    <x v="1"/>
    <n v="92000"/>
    <n v="77000"/>
    <n v="15000"/>
    <n v="0"/>
    <x v="0"/>
    <x v="0"/>
    <x v="0"/>
    <x v="0"/>
    <s v="India"/>
    <s v="yshankar@example.net"/>
    <n v="918972000000"/>
    <x v="4"/>
    <n v="84"/>
    <n v="62"/>
    <s v="AC"/>
    <x v="343"/>
    <d v="1999-07-20T00:00:00"/>
    <n v="9.1789737171464303"/>
    <x v="1"/>
    <n v="184000"/>
    <n v="214000"/>
  </r>
  <r>
    <s v="Saanvi Bhat"/>
    <s v="STU1185"/>
    <s v="ENR1185"/>
    <x v="3"/>
    <x v="0"/>
    <n v="4"/>
    <s v="Computer Science and Engineering"/>
    <x v="1"/>
    <n v="169000"/>
    <n v="154000"/>
    <n v="15000"/>
    <n v="0"/>
    <x v="0"/>
    <x v="0"/>
    <x v="5"/>
    <x v="5"/>
    <s v="India"/>
    <s v="mamootydas@example.org"/>
    <n v="917998000000"/>
    <x v="4"/>
    <n v="84"/>
    <n v="61"/>
    <s v="Non-AC"/>
    <x v="344"/>
    <d v="2001-07-30T00:00:00"/>
    <n v="9.1789737171464303"/>
    <x v="6"/>
    <n v="676000"/>
    <n v="736000"/>
  </r>
  <r>
    <s v="Akarsh Deep"/>
    <s v="STU1005"/>
    <s v="ENR1005"/>
    <x v="3"/>
    <x v="0"/>
    <n v="4"/>
    <s v="Computer Science and Engineering"/>
    <x v="7"/>
    <n v="169000"/>
    <n v="154000"/>
    <n v="15000"/>
    <n v="0"/>
    <x v="0"/>
    <x v="0"/>
    <x v="3"/>
    <x v="3"/>
    <s v="India"/>
    <s v="aggarwaljhanvi@example.net"/>
    <n v="917385000000"/>
    <x v="0"/>
    <n v="84"/>
    <n v="68"/>
    <s v="AC"/>
    <x v="345"/>
    <d v="2003-12-30T00:00:00"/>
    <n v="9.1789737171464303"/>
    <x v="3"/>
    <n v="676000"/>
    <n v="736000"/>
  </r>
  <r>
    <s v="Shanaya Bhatia"/>
    <s v="STU289"/>
    <s v="ENR289"/>
    <x v="0"/>
    <x v="0"/>
    <n v="4"/>
    <s v="Computer Science and Engineering"/>
    <x v="7"/>
    <n v="169000"/>
    <n v="154000"/>
    <n v="15000"/>
    <n v="0"/>
    <x v="0"/>
    <x v="0"/>
    <x v="5"/>
    <x v="5"/>
    <s v="India"/>
    <s v="renee52@example.net"/>
    <n v="917244000000"/>
    <x v="1"/>
    <n v="84"/>
    <n v="82"/>
    <s v="Non-AC"/>
    <x v="346"/>
    <d v="2001-07-01T00:00:00"/>
    <n v="9.1789737171464303"/>
    <x v="0"/>
    <n v="676000"/>
    <n v="736000"/>
  </r>
  <r>
    <s v="Ivana Biswas"/>
    <s v="STU159"/>
    <s v="ENR159"/>
    <x v="4"/>
    <x v="0"/>
    <n v="4"/>
    <s v="Computer Science and Engineering"/>
    <x v="6"/>
    <n v="169000"/>
    <n v="154000"/>
    <n v="15000"/>
    <n v="0"/>
    <x v="0"/>
    <x v="2"/>
    <x v="7"/>
    <x v="6"/>
    <s v="India"/>
    <s v="qsawhney@example.net"/>
    <n v="917131000000"/>
    <x v="4"/>
    <n v="84"/>
    <n v="69"/>
    <s v="Non-AC"/>
    <x v="347"/>
    <d v="2000-07-24T00:00:00"/>
    <n v="9.1789737171464303"/>
    <x v="0"/>
    <n v="676000"/>
    <n v="736000"/>
  </r>
  <r>
    <s v="Shray Barman"/>
    <s v="STU325"/>
    <s v="ENR325"/>
    <x v="2"/>
    <x v="0"/>
    <n v="4"/>
    <s v="Computer Science and Engineering"/>
    <x v="1"/>
    <n v="169000"/>
    <n v="154000"/>
    <n v="15000"/>
    <n v="0"/>
    <x v="0"/>
    <x v="0"/>
    <x v="8"/>
    <x v="7"/>
    <s v="India"/>
    <s v="lavanya04@example.org"/>
    <n v="919605000000"/>
    <x v="0"/>
    <n v="84"/>
    <n v="73"/>
    <s v="AC"/>
    <x v="348"/>
    <d v="2001-11-29T00:00:00"/>
    <n v="9.1789737171464303"/>
    <x v="6"/>
    <n v="676000"/>
    <n v="736000"/>
  </r>
  <r>
    <s v="Nitya Bhardwaj"/>
    <s v="STU533"/>
    <s v="ENR533"/>
    <x v="1"/>
    <x v="0"/>
    <n v="4"/>
    <s v="Computer Science and Engineering"/>
    <x v="7"/>
    <n v="169000"/>
    <n v="154000"/>
    <n v="15000"/>
    <n v="0"/>
    <x v="0"/>
    <x v="2"/>
    <x v="3"/>
    <x v="3"/>
    <s v="India"/>
    <s v="rajumadhup@example.com"/>
    <n v="919424000000"/>
    <x v="2"/>
    <n v="83"/>
    <n v="67"/>
    <s v="Non-AC"/>
    <x v="349"/>
    <d v="2006-01-16T00:00:00"/>
    <n v="8.1789737171464303"/>
    <x v="4"/>
    <n v="676000"/>
    <n v="736000"/>
  </r>
  <r>
    <s v="Pranay Chaudhry"/>
    <s v="STU900"/>
    <s v="ENR900"/>
    <x v="1"/>
    <x v="0"/>
    <n v="4"/>
    <s v="Computer Science and Engineering"/>
    <x v="5"/>
    <n v="169000"/>
    <n v="154000"/>
    <n v="15000"/>
    <n v="0"/>
    <x v="0"/>
    <x v="1"/>
    <x v="4"/>
    <x v="4"/>
    <s v="India"/>
    <s v="sheresamarth@example.net"/>
    <n v="919600000000"/>
    <x v="4"/>
    <n v="83"/>
    <n v="66"/>
    <s v="AC"/>
    <x v="350"/>
    <d v="2001-03-08T00:00:00"/>
    <n v="8.1789737171464303"/>
    <x v="0"/>
    <n v="676000"/>
    <n v="736000"/>
  </r>
  <r>
    <s v="Neysa Sheth"/>
    <s v="STU325"/>
    <s v="ENR325"/>
    <x v="5"/>
    <x v="1"/>
    <n v="2"/>
    <s v="Computer Science Engineering"/>
    <x v="4"/>
    <n v="92000"/>
    <n v="77000"/>
    <n v="15000"/>
    <n v="0"/>
    <x v="0"/>
    <x v="2"/>
    <x v="9"/>
    <x v="8"/>
    <s v="India"/>
    <s v="tiya28@example.net"/>
    <n v="919302000000"/>
    <x v="1"/>
    <n v="83"/>
    <n v="88"/>
    <s v="Non-AC"/>
    <x v="351"/>
    <d v="1997-01-30T00:00:00"/>
    <n v="8.1789737171464303"/>
    <x v="8"/>
    <n v="184000"/>
    <n v="214000"/>
  </r>
  <r>
    <s v="Jiya Korpal"/>
    <s v="STU404"/>
    <s v="ENR404"/>
    <x v="0"/>
    <x v="0"/>
    <n v="4"/>
    <s v="Computer Science and Engineering"/>
    <x v="5"/>
    <n v="169000"/>
    <n v="154000"/>
    <n v="15000"/>
    <n v="0"/>
    <x v="0"/>
    <x v="2"/>
    <x v="9"/>
    <x v="8"/>
    <s v="India"/>
    <s v="cvyas@example.net"/>
    <n v="919703000000"/>
    <x v="2"/>
    <n v="83"/>
    <n v="91"/>
    <s v="Non-AC"/>
    <x v="352"/>
    <d v="2004-11-29T00:00:00"/>
    <n v="8.1789737171464303"/>
    <x v="5"/>
    <n v="676000"/>
    <n v="736000"/>
  </r>
  <r>
    <s v="Jayan Bahri"/>
    <s v="STU215"/>
    <s v="ENR215"/>
    <x v="4"/>
    <x v="1"/>
    <n v="2"/>
    <s v="Computer Science Engineering"/>
    <x v="4"/>
    <n v="92000"/>
    <n v="77000"/>
    <n v="15000"/>
    <n v="0"/>
    <x v="0"/>
    <x v="2"/>
    <x v="6"/>
    <x v="3"/>
    <s v="India"/>
    <s v="malhotrarohan@example.net"/>
    <n v="918028000000"/>
    <x v="0"/>
    <n v="83"/>
    <n v="67"/>
    <s v="AC"/>
    <x v="353"/>
    <d v="2002-06-15T00:00:00"/>
    <n v="8.1789737171464303"/>
    <x v="6"/>
    <n v="184000"/>
    <n v="214000"/>
  </r>
  <r>
    <s v="Rasha Sheth"/>
    <s v="STU109"/>
    <s v="ENR109"/>
    <x v="4"/>
    <x v="0"/>
    <n v="4"/>
    <s v="Computer Science and Engineering"/>
    <x v="4"/>
    <n v="169000"/>
    <n v="154000"/>
    <n v="15000"/>
    <n v="0"/>
    <x v="0"/>
    <x v="1"/>
    <x v="6"/>
    <x v="3"/>
    <s v="India"/>
    <s v="somsana@example.net"/>
    <n v="919499000000"/>
    <x v="2"/>
    <n v="83"/>
    <n v="60"/>
    <s v="Non-AC"/>
    <x v="354"/>
    <d v="2003-09-17T00:00:00"/>
    <n v="8.1789737171464303"/>
    <x v="3"/>
    <n v="676000"/>
    <n v="736000"/>
  </r>
  <r>
    <s v="Dishani Rajagopalan"/>
    <s v="STU683"/>
    <s v="ENR683"/>
    <x v="4"/>
    <x v="0"/>
    <n v="4"/>
    <s v="Computer Science and Engineering"/>
    <x v="5"/>
    <n v="169000"/>
    <n v="154000"/>
    <n v="15000"/>
    <n v="0"/>
    <x v="0"/>
    <x v="2"/>
    <x v="3"/>
    <x v="3"/>
    <s v="India"/>
    <s v="ugupta@example.org"/>
    <n v="919590000000"/>
    <x v="3"/>
    <n v="83"/>
    <n v="77"/>
    <s v="Non-AC"/>
    <x v="355"/>
    <d v="2006-06-14T00:00:00"/>
    <n v="8.1789737171464303"/>
    <x v="4"/>
    <n v="676000"/>
    <n v="736000"/>
  </r>
  <r>
    <s v="Dharmajan Kumer"/>
    <s v="STU241"/>
    <s v="ENR241"/>
    <x v="1"/>
    <x v="0"/>
    <n v="4"/>
    <s v="Computer Science and Engineering"/>
    <x v="4"/>
    <n v="169000"/>
    <n v="154000"/>
    <n v="15000"/>
    <n v="0"/>
    <x v="0"/>
    <x v="0"/>
    <x v="3"/>
    <x v="3"/>
    <s v="India"/>
    <s v="sathelagan@example.com"/>
    <n v="918758000000"/>
    <x v="4"/>
    <n v="83"/>
    <n v="61"/>
    <s v="AC"/>
    <x v="356"/>
    <d v="2001-06-16T00:00:00"/>
    <n v="8.1789737171464303"/>
    <x v="0"/>
    <n v="676000"/>
    <n v="736000"/>
  </r>
  <r>
    <s v="Tanya Rastogi"/>
    <s v="STU245"/>
    <s v="ENR245"/>
    <x v="1"/>
    <x v="1"/>
    <n v="2"/>
    <s v="Computer Science Engineering"/>
    <x v="5"/>
    <n v="92000"/>
    <n v="77000"/>
    <n v="15000"/>
    <n v="0"/>
    <x v="0"/>
    <x v="0"/>
    <x v="8"/>
    <x v="7"/>
    <s v="India"/>
    <s v="prerak65@example.com"/>
    <n v="918843000000"/>
    <x v="1"/>
    <n v="83"/>
    <n v="76"/>
    <s v="AC"/>
    <x v="357"/>
    <d v="2002-04-26T00:00:00"/>
    <n v="8.1789737171464303"/>
    <x v="6"/>
    <n v="184000"/>
    <n v="214000"/>
  </r>
  <r>
    <s v="Shray Basak"/>
    <s v="STU531"/>
    <s v="ENR531"/>
    <x v="0"/>
    <x v="0"/>
    <n v="4"/>
    <s v="Computer Science and Engineering"/>
    <x v="2"/>
    <n v="169000"/>
    <n v="154000"/>
    <n v="15000"/>
    <n v="0"/>
    <x v="0"/>
    <x v="2"/>
    <x v="5"/>
    <x v="5"/>
    <s v="India"/>
    <s v="vargheseaarav@example.org"/>
    <n v="917931000000"/>
    <x v="1"/>
    <n v="83"/>
    <n v="70"/>
    <s v="Non-AC"/>
    <x v="358"/>
    <d v="2002-04-22T00:00:00"/>
    <n v="8.1789737171464303"/>
    <x v="6"/>
    <n v="676000"/>
    <n v="736000"/>
  </r>
  <r>
    <s v="Badal Suresh"/>
    <s v="STU104"/>
    <s v="ENR104"/>
    <x v="2"/>
    <x v="0"/>
    <n v="4"/>
    <s v="Computer Science and Engineering"/>
    <x v="3"/>
    <n v="169000"/>
    <n v="154000"/>
    <n v="15000"/>
    <n v="0"/>
    <x v="0"/>
    <x v="1"/>
    <x v="4"/>
    <x v="4"/>
    <s v="India"/>
    <s v="kismat41@example.net"/>
    <n v="918148000000"/>
    <x v="4"/>
    <n v="83"/>
    <n v="84"/>
    <s v="AC"/>
    <x v="359"/>
    <d v="2005-12-20T00:00:00"/>
    <n v="8.1789737171464303"/>
    <x v="4"/>
    <n v="676000"/>
    <n v="736000"/>
  </r>
  <r>
    <s v="Kismat Rana"/>
    <s v="STU869"/>
    <s v="ENR869"/>
    <x v="5"/>
    <x v="0"/>
    <n v="4"/>
    <s v="Computer Science and Engineering"/>
    <x v="6"/>
    <n v="169000"/>
    <n v="154000"/>
    <n v="15000"/>
    <n v="0"/>
    <x v="0"/>
    <x v="2"/>
    <x v="5"/>
    <x v="5"/>
    <s v="India"/>
    <s v="gokul85@example.org"/>
    <n v="919360000000"/>
    <x v="2"/>
    <n v="83"/>
    <n v="70"/>
    <s v="Non-AC"/>
    <x v="360"/>
    <d v="2004-06-03T00:00:00"/>
    <n v="8.1789737171464303"/>
    <x v="3"/>
    <n v="676000"/>
    <n v="736000"/>
  </r>
  <r>
    <s v="Arhaan Batta"/>
    <s v="STU1136"/>
    <s v="ENR1136"/>
    <x v="1"/>
    <x v="0"/>
    <n v="4"/>
    <s v="Computer Science and Engineering"/>
    <x v="3"/>
    <n v="169000"/>
    <n v="154000"/>
    <n v="15000"/>
    <n v="0"/>
    <x v="0"/>
    <x v="0"/>
    <x v="4"/>
    <x v="4"/>
    <s v="India"/>
    <s v="jayantbhardwaj@example.com"/>
    <n v="917385000000"/>
    <x v="3"/>
    <n v="83"/>
    <n v="80"/>
    <s v="Non-AC"/>
    <x v="361"/>
    <d v="2004-07-24T00:00:00"/>
    <n v="8.1789737171464303"/>
    <x v="5"/>
    <n v="676000"/>
    <n v="736000"/>
  </r>
  <r>
    <s v="Anika Bhatia"/>
    <s v="STU447"/>
    <s v="ENR447"/>
    <x v="1"/>
    <x v="1"/>
    <n v="2"/>
    <s v="Computer Science Engineering"/>
    <x v="3"/>
    <n v="92000"/>
    <n v="77000"/>
    <n v="15000"/>
    <n v="0"/>
    <x v="0"/>
    <x v="0"/>
    <x v="7"/>
    <x v="6"/>
    <s v="India"/>
    <s v="alishamander@example.net"/>
    <n v="917235000000"/>
    <x v="4"/>
    <n v="83"/>
    <n v="83"/>
    <s v="AC"/>
    <x v="362"/>
    <d v="1997-04-30T00:00:00"/>
    <n v="8.1789737171464303"/>
    <x v="8"/>
    <n v="184000"/>
    <n v="214000"/>
  </r>
  <r>
    <s v="Sara Sibal"/>
    <s v="STU478"/>
    <s v="ENR478"/>
    <x v="0"/>
    <x v="1"/>
    <n v="2"/>
    <s v="Computer Science Engineering"/>
    <x v="4"/>
    <n v="92000"/>
    <n v="77000"/>
    <n v="15000"/>
    <n v="0"/>
    <x v="0"/>
    <x v="2"/>
    <x v="5"/>
    <x v="5"/>
    <s v="India"/>
    <s v="vardaniyagupta@example.net"/>
    <n v="919577000000"/>
    <x v="2"/>
    <n v="83"/>
    <n v="75"/>
    <s v="AC"/>
    <x v="363"/>
    <d v="2001-03-11T00:00:00"/>
    <n v="8.1789737171464303"/>
    <x v="0"/>
    <n v="184000"/>
    <n v="214000"/>
  </r>
  <r>
    <s v="Aarna Majumdar"/>
    <s v="STU486"/>
    <s v="ENR486"/>
    <x v="0"/>
    <x v="0"/>
    <n v="4"/>
    <s v="Computer Science and Engineering"/>
    <x v="5"/>
    <n v="169000"/>
    <n v="154000"/>
    <n v="15000"/>
    <n v="0"/>
    <x v="0"/>
    <x v="2"/>
    <x v="6"/>
    <x v="3"/>
    <s v="India"/>
    <s v="pihu44@example.net"/>
    <n v="918018000000"/>
    <x v="4"/>
    <n v="83"/>
    <n v="78"/>
    <s v="Non-AC"/>
    <x v="364"/>
    <d v="2003-02-28T00:00:00"/>
    <n v="8.1789737171464303"/>
    <x v="2"/>
    <n v="676000"/>
    <n v="736000"/>
  </r>
  <r>
    <s v="Ivana Kumer"/>
    <s v="STU187"/>
    <s v="ENR187"/>
    <x v="5"/>
    <x v="1"/>
    <n v="2"/>
    <s v="Computer Science Engineering"/>
    <x v="1"/>
    <n v="92000"/>
    <n v="77000"/>
    <n v="15000"/>
    <n v="0"/>
    <x v="0"/>
    <x v="0"/>
    <x v="8"/>
    <x v="7"/>
    <s v="India"/>
    <s v="ejani@example.org"/>
    <n v="917666000000"/>
    <x v="2"/>
    <n v="83"/>
    <n v="62"/>
    <s v="AC"/>
    <x v="365"/>
    <d v="1996-08-22T00:00:00"/>
    <n v="8.1789737171464303"/>
    <x v="8"/>
    <n v="184000"/>
    <n v="214000"/>
  </r>
  <r>
    <s v="Yuvraj  Bhagat"/>
    <s v="STU282"/>
    <s v="ENR282"/>
    <x v="5"/>
    <x v="1"/>
    <n v="2"/>
    <s v="Computer Science Engineering"/>
    <x v="1"/>
    <n v="92000"/>
    <n v="77000"/>
    <n v="15000"/>
    <n v="0"/>
    <x v="0"/>
    <x v="2"/>
    <x v="5"/>
    <x v="5"/>
    <s v="India"/>
    <s v="hayresaira@example.org"/>
    <n v="918041000000"/>
    <x v="0"/>
    <n v="83"/>
    <n v="90"/>
    <s v="Non-AC"/>
    <x v="366"/>
    <d v="1997-07-25T00:00:00"/>
    <n v="8.1789737171464303"/>
    <x v="9"/>
    <n v="184000"/>
    <n v="214000"/>
  </r>
  <r>
    <s v="Gatik Bhatnagar"/>
    <s v="STU660"/>
    <s v="ENR660"/>
    <x v="1"/>
    <x v="0"/>
    <n v="4"/>
    <s v="Computer Science and Engineering"/>
    <x v="8"/>
    <n v="169000"/>
    <n v="154000"/>
    <n v="15000"/>
    <n v="0"/>
    <x v="0"/>
    <x v="0"/>
    <x v="5"/>
    <x v="5"/>
    <s v="India"/>
    <s v="qroy@example.com"/>
    <n v="917702000000"/>
    <x v="2"/>
    <n v="83"/>
    <n v="85"/>
    <s v="AC"/>
    <x v="367"/>
    <d v="2005-09-25T00:00:00"/>
    <n v="8.1789737171464303"/>
    <x v="4"/>
    <n v="676000"/>
    <n v="736000"/>
  </r>
  <r>
    <s v="Anvi Krishnan"/>
    <s v="STU657"/>
    <s v="ENR657"/>
    <x v="4"/>
    <x v="0"/>
    <n v="4"/>
    <s v="Computer Science and Engineering"/>
    <x v="8"/>
    <n v="169000"/>
    <n v="154000"/>
    <n v="15000"/>
    <n v="0"/>
    <x v="1"/>
    <x v="0"/>
    <x v="4"/>
    <x v="4"/>
    <s v="India"/>
    <s v="banerjeealisha@example.com"/>
    <n v="918345000000"/>
    <x v="1"/>
    <n v="83"/>
    <n v="69"/>
    <s v="AC"/>
    <x v="368"/>
    <d v="2005-02-09T00:00:00"/>
    <n v="8.1789737171464303"/>
    <x v="5"/>
    <n v="676000"/>
    <n v="736000"/>
  </r>
  <r>
    <s v="Jiya Hegde"/>
    <s v="STU130"/>
    <s v="ENR130"/>
    <x v="4"/>
    <x v="0"/>
    <n v="4"/>
    <s v="Computer Science and Engineering"/>
    <x v="6"/>
    <n v="169000"/>
    <n v="154000"/>
    <n v="15000"/>
    <n v="0"/>
    <x v="1"/>
    <x v="2"/>
    <x v="0"/>
    <x v="0"/>
    <s v="India"/>
    <s v="akibe@example.com"/>
    <n v="917862000000"/>
    <x v="3"/>
    <n v="83"/>
    <n v="78"/>
    <s v="AC"/>
    <x v="369"/>
    <d v="2006-03-20T00:00:00"/>
    <n v="8.1789737171464303"/>
    <x v="4"/>
    <n v="676000"/>
    <n v="736000"/>
  </r>
  <r>
    <s v="Nitara Soman"/>
    <s v="STU486"/>
    <s v="ENR486"/>
    <x v="0"/>
    <x v="1"/>
    <n v="2"/>
    <s v="Computer Science Engineering"/>
    <x v="1"/>
    <n v="92000"/>
    <n v="77000"/>
    <n v="15000"/>
    <n v="0"/>
    <x v="1"/>
    <x v="2"/>
    <x v="9"/>
    <x v="8"/>
    <s v="India"/>
    <s v="khannadevansh@example.net"/>
    <n v="919687000000"/>
    <x v="1"/>
    <n v="83"/>
    <n v="80"/>
    <s v="AC"/>
    <x v="370"/>
    <d v="2001-05-07T00:00:00"/>
    <n v="8.1789737171464303"/>
    <x v="0"/>
    <n v="184000"/>
    <n v="214000"/>
  </r>
  <r>
    <s v="Kabir Kannan"/>
    <s v="STU496"/>
    <s v="ENR496"/>
    <x v="4"/>
    <x v="0"/>
    <n v="4"/>
    <s v="Computer Science and Engineering"/>
    <x v="3"/>
    <n v="169000"/>
    <n v="154000"/>
    <n v="15000"/>
    <n v="0"/>
    <x v="1"/>
    <x v="1"/>
    <x v="8"/>
    <x v="7"/>
    <s v="India"/>
    <s v="ramachandrantrisha@example.com"/>
    <n v="919637000000"/>
    <x v="1"/>
    <n v="83"/>
    <n v="67"/>
    <s v="AC"/>
    <x v="371"/>
    <d v="2003-01-31T00:00:00"/>
    <n v="8.1789737171464303"/>
    <x v="2"/>
    <n v="676000"/>
    <n v="736000"/>
  </r>
  <r>
    <s v="Keya Yogi"/>
    <s v="STU1149"/>
    <s v="ENR1149"/>
    <x v="1"/>
    <x v="0"/>
    <n v="4"/>
    <s v="Computer Science and Engineering"/>
    <x v="0"/>
    <n v="169000"/>
    <n v="154000"/>
    <n v="15000"/>
    <n v="0"/>
    <x v="1"/>
    <x v="1"/>
    <x v="3"/>
    <x v="3"/>
    <s v="India"/>
    <s v="salvinehmat@example.net"/>
    <n v="917101000000"/>
    <x v="1"/>
    <n v="83"/>
    <n v="77"/>
    <s v="Non-AC"/>
    <x v="372"/>
    <d v="2002-10-04T00:00:00"/>
    <n v="8.1789737171464303"/>
    <x v="2"/>
    <n v="676000"/>
    <n v="736000"/>
  </r>
  <r>
    <s v="Mehul Gaba"/>
    <s v="STU861"/>
    <s v="ENR861"/>
    <x v="5"/>
    <x v="0"/>
    <n v="4"/>
    <s v="Computer Science and Engineering"/>
    <x v="5"/>
    <n v="169000"/>
    <n v="154000"/>
    <n v="15000"/>
    <n v="0"/>
    <x v="1"/>
    <x v="2"/>
    <x v="4"/>
    <x v="4"/>
    <s v="India"/>
    <s v="udani@example.com"/>
    <n v="917640000000"/>
    <x v="2"/>
    <n v="83"/>
    <n v="80"/>
    <s v="AC"/>
    <x v="373"/>
    <d v="2002-06-02T00:00:00"/>
    <n v="8.1789737171464303"/>
    <x v="6"/>
    <n v="676000"/>
    <n v="736000"/>
  </r>
  <r>
    <s v="Urvi Sur"/>
    <s v="STU602"/>
    <s v="ENR602"/>
    <x v="2"/>
    <x v="0"/>
    <n v="4"/>
    <s v="Computer Science and Engineering"/>
    <x v="4"/>
    <n v="169000"/>
    <n v="154000"/>
    <n v="15000"/>
    <n v="0"/>
    <x v="1"/>
    <x v="0"/>
    <x v="6"/>
    <x v="3"/>
    <s v="India"/>
    <s v="reyansh18@example.net"/>
    <n v="917733000000"/>
    <x v="1"/>
    <n v="83"/>
    <n v="69"/>
    <s v="Non-AC"/>
    <x v="374"/>
    <d v="2005-04-30T00:00:00"/>
    <n v="8.1789737171464303"/>
    <x v="5"/>
    <n v="676000"/>
    <n v="736000"/>
  </r>
  <r>
    <s v="Anahi Barad"/>
    <s v="STU780"/>
    <s v="ENR780"/>
    <x v="1"/>
    <x v="0"/>
    <n v="4"/>
    <s v="Computer Science and Engineering"/>
    <x v="5"/>
    <n v="169000"/>
    <n v="154000"/>
    <n v="15000"/>
    <n v="0"/>
    <x v="1"/>
    <x v="2"/>
    <x v="2"/>
    <x v="2"/>
    <s v="India"/>
    <s v="dubeydishani@example.com"/>
    <n v="918118000000"/>
    <x v="0"/>
    <n v="83"/>
    <n v="73"/>
    <s v="AC"/>
    <x v="375"/>
    <d v="2003-05-16T00:00:00"/>
    <n v="8.1789737171464303"/>
    <x v="2"/>
    <n v="676000"/>
    <n v="736000"/>
  </r>
  <r>
    <s v="Divij Dara"/>
    <s v="STU301"/>
    <s v="ENR301"/>
    <x v="0"/>
    <x v="1"/>
    <n v="2"/>
    <s v="Computer Science Engineering"/>
    <x v="3"/>
    <n v="92000"/>
    <n v="77000"/>
    <n v="15000"/>
    <n v="0"/>
    <x v="1"/>
    <x v="0"/>
    <x v="4"/>
    <x v="4"/>
    <s v="India"/>
    <s v="tusharmaster@example.com"/>
    <n v="918177000000"/>
    <x v="1"/>
    <n v="83"/>
    <n v="85"/>
    <s v="Non-AC"/>
    <x v="376"/>
    <d v="1998-10-10T00:00:00"/>
    <n v="8.1789737171464303"/>
    <x v="7"/>
    <n v="184000"/>
    <n v="214000"/>
  </r>
  <r>
    <s v="Madhav Kari"/>
    <s v="STU302"/>
    <s v="ENR302"/>
    <x v="5"/>
    <x v="1"/>
    <n v="2"/>
    <s v="Computer Science Engineering"/>
    <x v="0"/>
    <n v="92000"/>
    <n v="77000"/>
    <n v="15000"/>
    <n v="0"/>
    <x v="1"/>
    <x v="2"/>
    <x v="4"/>
    <x v="4"/>
    <s v="India"/>
    <s v="pshah@example.org"/>
    <n v="919087000000"/>
    <x v="2"/>
    <n v="83"/>
    <n v="71"/>
    <s v="AC"/>
    <x v="377"/>
    <d v="1999-09-06T00:00:00"/>
    <n v="8.1789737171464303"/>
    <x v="1"/>
    <n v="184000"/>
    <n v="214000"/>
  </r>
  <r>
    <s v="Keya Kapur"/>
    <s v="STU856"/>
    <s v="ENR856"/>
    <x v="0"/>
    <x v="0"/>
    <n v="4"/>
    <s v="Computer Science and Engineering"/>
    <x v="8"/>
    <n v="169000"/>
    <n v="154000"/>
    <n v="15000"/>
    <n v="0"/>
    <x v="1"/>
    <x v="0"/>
    <x v="6"/>
    <x v="3"/>
    <s v="India"/>
    <s v="zbalakrishnan@example.com"/>
    <n v="917211000000"/>
    <x v="0"/>
    <n v="83"/>
    <n v="86"/>
    <s v="AC"/>
    <x v="378"/>
    <d v="2002-07-30T00:00:00"/>
    <n v="8.1789737171464303"/>
    <x v="2"/>
    <n v="676000"/>
    <n v="736000"/>
  </r>
  <r>
    <s v="Tushar Sanghvi"/>
    <s v="STU441"/>
    <s v="ENR441"/>
    <x v="3"/>
    <x v="0"/>
    <n v="4"/>
    <s v="Computer Science and Engineering"/>
    <x v="7"/>
    <n v="169000"/>
    <n v="154000"/>
    <n v="15000"/>
    <n v="0"/>
    <x v="0"/>
    <x v="2"/>
    <x v="5"/>
    <x v="5"/>
    <s v="India"/>
    <s v="tara99@example.com"/>
    <n v="917733000000"/>
    <x v="1"/>
    <n v="83"/>
    <n v="85"/>
    <s v="Non-AC"/>
    <x v="379"/>
    <d v="2005-11-04T00:00:00"/>
    <n v="8.1789737171464303"/>
    <x v="4"/>
    <n v="676000"/>
    <n v="736000"/>
  </r>
  <r>
    <s v="Ehsaan Contractor"/>
    <s v="STU063"/>
    <s v="ENR063"/>
    <x v="2"/>
    <x v="0"/>
    <n v="4"/>
    <s v="Computer Science and Engineering"/>
    <x v="6"/>
    <n v="169000"/>
    <n v="154000"/>
    <n v="15000"/>
    <n v="0"/>
    <x v="0"/>
    <x v="2"/>
    <x v="4"/>
    <x v="4"/>
    <s v="India"/>
    <s v="walionkar@example.net"/>
    <n v="917156000000"/>
    <x v="4"/>
    <n v="83"/>
    <n v="78"/>
    <s v="Non-AC"/>
    <x v="380"/>
    <d v="2006-04-17T00:00:00"/>
    <n v="8.1789737171464303"/>
    <x v="4"/>
    <n v="676000"/>
    <n v="736000"/>
  </r>
  <r>
    <s v="Ela Keer"/>
    <s v="STU180"/>
    <s v="ENR180"/>
    <x v="2"/>
    <x v="0"/>
    <n v="4"/>
    <s v="Computer Science and Engineering"/>
    <x v="5"/>
    <n v="169000"/>
    <n v="154000"/>
    <n v="15000"/>
    <n v="0"/>
    <x v="0"/>
    <x v="1"/>
    <x v="0"/>
    <x v="0"/>
    <s v="India"/>
    <s v="qsrinivasan@example.net"/>
    <n v="917915000000"/>
    <x v="3"/>
    <n v="83"/>
    <n v="92"/>
    <s v="Non-AC"/>
    <x v="381"/>
    <d v="2001-09-20T00:00:00"/>
    <n v="8.1789737171464303"/>
    <x v="6"/>
    <n v="676000"/>
    <n v="736000"/>
  </r>
  <r>
    <s v="Jivin Jayaraman"/>
    <s v="STU1165"/>
    <s v="ENR1165"/>
    <x v="2"/>
    <x v="0"/>
    <n v="4"/>
    <s v="Computer Science and Engineering"/>
    <x v="2"/>
    <n v="169000"/>
    <n v="154000"/>
    <n v="15000"/>
    <n v="0"/>
    <x v="0"/>
    <x v="0"/>
    <x v="3"/>
    <x v="3"/>
    <s v="India"/>
    <s v="jivinarora@example.net"/>
    <n v="917486000000"/>
    <x v="4"/>
    <n v="83"/>
    <n v="74"/>
    <s v="AC"/>
    <x v="382"/>
    <d v="2004-02-08T00:00:00"/>
    <n v="8.1789737171464303"/>
    <x v="3"/>
    <n v="676000"/>
    <n v="736000"/>
  </r>
  <r>
    <s v="Aradhya Mangal"/>
    <s v="STU202"/>
    <s v="ENR202"/>
    <x v="1"/>
    <x v="1"/>
    <n v="2"/>
    <s v="Computer Science Engineering"/>
    <x v="3"/>
    <n v="92000"/>
    <n v="77000"/>
    <n v="15000"/>
    <n v="0"/>
    <x v="0"/>
    <x v="1"/>
    <x v="2"/>
    <x v="2"/>
    <s v="India"/>
    <s v="shlok11@example.org"/>
    <n v="918067000000"/>
    <x v="4"/>
    <n v="83"/>
    <n v="83"/>
    <s v="Non-AC"/>
    <x v="383"/>
    <d v="1999-09-13T00:00:00"/>
    <n v="8.1789737171464303"/>
    <x v="1"/>
    <n v="184000"/>
    <n v="214000"/>
  </r>
  <r>
    <s v="Aayush Chaudhari"/>
    <s v="STU382"/>
    <s v="ENR382"/>
    <x v="1"/>
    <x v="1"/>
    <n v="2"/>
    <s v="Computer Science Engineering"/>
    <x v="6"/>
    <n v="92000"/>
    <n v="77000"/>
    <n v="15000"/>
    <n v="0"/>
    <x v="0"/>
    <x v="2"/>
    <x v="2"/>
    <x v="2"/>
    <s v="India"/>
    <s v="yuvraj-srinivas@example.com"/>
    <n v="917361000000"/>
    <x v="2"/>
    <n v="83"/>
    <n v="78"/>
    <s v="AC"/>
    <x v="384"/>
    <d v="2001-12-30T00:00:00"/>
    <n v="8.1789737171464303"/>
    <x v="6"/>
    <n v="184000"/>
    <n v="214000"/>
  </r>
  <r>
    <s v="Nitya Bumb"/>
    <s v="STU508"/>
    <s v="ENR508"/>
    <x v="1"/>
    <x v="1"/>
    <n v="2"/>
    <s v="Computer Science Engineering"/>
    <x v="3"/>
    <n v="92000"/>
    <n v="77000"/>
    <n v="15000"/>
    <n v="0"/>
    <x v="0"/>
    <x v="0"/>
    <x v="2"/>
    <x v="2"/>
    <s v="India"/>
    <s v="wvenkataraman@example.com"/>
    <n v="919360000000"/>
    <x v="1"/>
    <n v="83"/>
    <n v="75"/>
    <s v="AC"/>
    <x v="385"/>
    <d v="1996-08-22T00:00:00"/>
    <n v="8.1789737171464303"/>
    <x v="8"/>
    <n v="184000"/>
    <n v="214000"/>
  </r>
  <r>
    <s v="Shalv Bhalla"/>
    <s v="STU297"/>
    <s v="ENR297"/>
    <x v="5"/>
    <x v="0"/>
    <n v="4"/>
    <s v="Computer Science and Engineering"/>
    <x v="3"/>
    <n v="169000"/>
    <n v="154000"/>
    <n v="15000"/>
    <n v="0"/>
    <x v="0"/>
    <x v="0"/>
    <x v="2"/>
    <x v="2"/>
    <s v="India"/>
    <s v="vaibhavvarkey@example.net"/>
    <n v="918185000000"/>
    <x v="1"/>
    <n v="83"/>
    <n v="74"/>
    <s v="AC"/>
    <x v="386"/>
    <d v="2004-10-26T00:00:00"/>
    <n v="8.1789737171464303"/>
    <x v="5"/>
    <n v="676000"/>
    <n v="736000"/>
  </r>
  <r>
    <s v="Ishita Bhalla"/>
    <s v="STU287"/>
    <s v="ENR287"/>
    <x v="0"/>
    <x v="0"/>
    <n v="4"/>
    <s v="Computer Science and Engineering"/>
    <x v="6"/>
    <n v="169000"/>
    <n v="154000"/>
    <n v="15000"/>
    <n v="0"/>
    <x v="0"/>
    <x v="0"/>
    <x v="0"/>
    <x v="0"/>
    <s v="India"/>
    <s v="karnitara@example.com"/>
    <n v="919985000000"/>
    <x v="0"/>
    <n v="83"/>
    <n v="68"/>
    <s v="Non-AC"/>
    <x v="387"/>
    <d v="2002-03-04T00:00:00"/>
    <n v="8.1789737171464303"/>
    <x v="6"/>
    <n v="676000"/>
    <n v="736000"/>
  </r>
  <r>
    <s v="Nakul Sandhu"/>
    <s v="STU380"/>
    <s v="ENR380"/>
    <x v="2"/>
    <x v="1"/>
    <n v="2"/>
    <s v="Computer Science Engineering"/>
    <x v="3"/>
    <n v="92000"/>
    <n v="77000"/>
    <n v="15000"/>
    <n v="0"/>
    <x v="0"/>
    <x v="0"/>
    <x v="1"/>
    <x v="1"/>
    <s v="India"/>
    <s v="chahalpihu@example.org"/>
    <n v="917317000000"/>
    <x v="3"/>
    <n v="83"/>
    <n v="71"/>
    <s v="Non-AC"/>
    <x v="388"/>
    <d v="1999-05-06T00:00:00"/>
    <n v="8.1789737171464303"/>
    <x v="7"/>
    <n v="184000"/>
    <n v="214000"/>
  </r>
  <r>
    <s v="Ritvik Tak"/>
    <s v="STU522"/>
    <s v="ENR522"/>
    <x v="3"/>
    <x v="1"/>
    <n v="2"/>
    <s v="Computer Science Engineering"/>
    <x v="6"/>
    <n v="92000"/>
    <n v="77000"/>
    <n v="15000"/>
    <n v="0"/>
    <x v="0"/>
    <x v="0"/>
    <x v="1"/>
    <x v="1"/>
    <s v="India"/>
    <s v="nitarawadhwa@example.com"/>
    <n v="918990000000"/>
    <x v="3"/>
    <n v="83"/>
    <n v="78"/>
    <s v="AC"/>
    <x v="389"/>
    <d v="2000-04-16T00:00:00"/>
    <n v="8.1789737171464303"/>
    <x v="1"/>
    <n v="184000"/>
    <n v="214000"/>
  </r>
  <r>
    <s v="Ritvik Keer"/>
    <s v="STU229"/>
    <s v="ENR229"/>
    <x v="4"/>
    <x v="0"/>
    <n v="4"/>
    <s v="Computer Science and Engineering"/>
    <x v="9"/>
    <n v="169000"/>
    <n v="154000"/>
    <n v="15000"/>
    <n v="0"/>
    <x v="0"/>
    <x v="1"/>
    <x v="7"/>
    <x v="6"/>
    <s v="India"/>
    <s v="shroffsamaira@example.com"/>
    <n v="917198000000"/>
    <x v="4"/>
    <n v="83"/>
    <n v="78"/>
    <s v="AC"/>
    <x v="390"/>
    <d v="2005-12-13T00:00:00"/>
    <n v="8.1789737171464303"/>
    <x v="4"/>
    <n v="676000"/>
    <n v="736000"/>
  </r>
  <r>
    <s v="Onkar Saha"/>
    <s v="STU964"/>
    <s v="ENR964"/>
    <x v="1"/>
    <x v="0"/>
    <n v="4"/>
    <s v="Computer Science and Engineering"/>
    <x v="6"/>
    <n v="169000"/>
    <n v="154000"/>
    <n v="15000"/>
    <n v="0"/>
    <x v="0"/>
    <x v="1"/>
    <x v="1"/>
    <x v="1"/>
    <s v="India"/>
    <s v="pranay82@example.com"/>
    <n v="918328000000"/>
    <x v="4"/>
    <n v="83"/>
    <n v="78"/>
    <s v="Non-AC"/>
    <x v="391"/>
    <d v="2003-04-10T00:00:00"/>
    <n v="8.1789737171464303"/>
    <x v="2"/>
    <n v="676000"/>
    <n v="736000"/>
  </r>
  <r>
    <s v="Alisha Tailor"/>
    <s v="STU1031"/>
    <s v="ENR1031"/>
    <x v="5"/>
    <x v="0"/>
    <n v="4"/>
    <s v="Computer Science and Engineering"/>
    <x v="2"/>
    <n v="169000"/>
    <n v="154000"/>
    <n v="15000"/>
    <n v="0"/>
    <x v="0"/>
    <x v="1"/>
    <x v="3"/>
    <x v="3"/>
    <s v="India"/>
    <s v="ahana-55@example.net"/>
    <n v="918445000000"/>
    <x v="2"/>
    <n v="83"/>
    <n v="92"/>
    <s v="AC"/>
    <x v="392"/>
    <d v="2002-06-20T00:00:00"/>
    <n v="8.1789737171464303"/>
    <x v="6"/>
    <n v="676000"/>
    <n v="736000"/>
  </r>
  <r>
    <s v="Kartik Cheema"/>
    <s v="STU1024"/>
    <s v="ENR1024"/>
    <x v="2"/>
    <x v="0"/>
    <n v="4"/>
    <s v="Computer Science and Engineering"/>
    <x v="4"/>
    <n v="169000"/>
    <n v="154000"/>
    <n v="15000"/>
    <n v="0"/>
    <x v="0"/>
    <x v="2"/>
    <x v="0"/>
    <x v="0"/>
    <s v="India"/>
    <s v="varya@example.org"/>
    <n v="918644000000"/>
    <x v="2"/>
    <n v="83"/>
    <n v="80"/>
    <s v="AC"/>
    <x v="393"/>
    <d v="2001-10-01T00:00:00"/>
    <n v="8.1789737171464303"/>
    <x v="6"/>
    <n v="676000"/>
    <n v="736000"/>
  </r>
  <r>
    <s v="Vivaan Gade"/>
    <s v="STU996"/>
    <s v="ENR996"/>
    <x v="4"/>
    <x v="0"/>
    <n v="4"/>
    <s v="Computer Science and Engineering"/>
    <x v="3"/>
    <n v="169000"/>
    <n v="154000"/>
    <n v="15000"/>
    <n v="0"/>
    <x v="0"/>
    <x v="0"/>
    <x v="9"/>
    <x v="8"/>
    <s v="India"/>
    <s v="lallakavya@example.net"/>
    <n v="918997000000"/>
    <x v="2"/>
    <n v="83"/>
    <n v="83"/>
    <s v="AC"/>
    <x v="394"/>
    <d v="2005-03-14T00:00:00"/>
    <n v="8.1789737171464303"/>
    <x v="5"/>
    <n v="676000"/>
    <n v="736000"/>
  </r>
  <r>
    <s v="Nehmat Vasa"/>
    <s v="STU339"/>
    <s v="ENR339"/>
    <x v="1"/>
    <x v="1"/>
    <n v="2"/>
    <s v="Computer Science Engineering"/>
    <x v="6"/>
    <n v="92000"/>
    <n v="77000"/>
    <n v="15000"/>
    <n v="0"/>
    <x v="0"/>
    <x v="1"/>
    <x v="0"/>
    <x v="0"/>
    <s v="India"/>
    <s v="kismatdyal@example.com"/>
    <n v="918548000000"/>
    <x v="2"/>
    <n v="83"/>
    <n v="88"/>
    <s v="AC"/>
    <x v="395"/>
    <d v="2002-01-22T00:00:00"/>
    <n v="8.1789737171464303"/>
    <x v="6"/>
    <n v="184000"/>
    <n v="214000"/>
  </r>
  <r>
    <s v="Parinaaz Rau"/>
    <s v="STU278"/>
    <s v="ENR278"/>
    <x v="4"/>
    <x v="0"/>
    <n v="4"/>
    <s v="Computer Science and Engineering"/>
    <x v="8"/>
    <n v="169000"/>
    <n v="154000"/>
    <n v="15000"/>
    <n v="0"/>
    <x v="0"/>
    <x v="1"/>
    <x v="7"/>
    <x v="6"/>
    <s v="India"/>
    <s v="lakshit59@example.org"/>
    <n v="917165000000"/>
    <x v="1"/>
    <n v="83"/>
    <n v="63"/>
    <s v="Non-AC"/>
    <x v="396"/>
    <d v="2005-06-26T00:00:00"/>
    <n v="8.1789737171464303"/>
    <x v="5"/>
    <n v="676000"/>
    <n v="736000"/>
  </r>
  <r>
    <s v="Samarth Talwar"/>
    <s v="STU356"/>
    <s v="ENR356"/>
    <x v="5"/>
    <x v="0"/>
    <n v="4"/>
    <s v="Computer Science and Engineering"/>
    <x v="0"/>
    <n v="169000"/>
    <n v="154000"/>
    <n v="15000"/>
    <n v="0"/>
    <x v="0"/>
    <x v="0"/>
    <x v="3"/>
    <x v="3"/>
    <s v="India"/>
    <s v="khushi99@example.org"/>
    <n v="918760000000"/>
    <x v="0"/>
    <n v="83"/>
    <n v="69"/>
    <s v="Non-AC"/>
    <x v="397"/>
    <d v="2005-09-04T00:00:00"/>
    <n v="8.1789737171464303"/>
    <x v="4"/>
    <n v="676000"/>
    <n v="736000"/>
  </r>
  <r>
    <s v="Madhup Cherian"/>
    <s v="STU866"/>
    <s v="ENR866"/>
    <x v="4"/>
    <x v="0"/>
    <n v="4"/>
    <s v="Computer Science and Engineering"/>
    <x v="6"/>
    <n v="169000"/>
    <n v="154000"/>
    <n v="15000"/>
    <n v="0"/>
    <x v="0"/>
    <x v="0"/>
    <x v="5"/>
    <x v="5"/>
    <s v="India"/>
    <s v="hansabram@example.org"/>
    <n v="919964000000"/>
    <x v="1"/>
    <n v="82"/>
    <n v="86"/>
    <s v="Non-AC"/>
    <x v="398"/>
    <d v="2004-04-23T00:00:00"/>
    <n v="7.1789737171464303"/>
    <x v="3"/>
    <n v="676000"/>
    <n v="736000"/>
  </r>
  <r>
    <s v="Inaaya  Bath"/>
    <s v="STU239"/>
    <s v="ENR239"/>
    <x v="0"/>
    <x v="0"/>
    <n v="4"/>
    <s v="Computer Science and Engineering"/>
    <x v="8"/>
    <n v="169000"/>
    <n v="154000"/>
    <n v="15000"/>
    <n v="0"/>
    <x v="0"/>
    <x v="1"/>
    <x v="7"/>
    <x v="6"/>
    <s v="India"/>
    <s v="taran52@example.net"/>
    <n v="917252000000"/>
    <x v="1"/>
    <n v="82"/>
    <n v="64"/>
    <s v="Non-AC"/>
    <x v="399"/>
    <d v="2001-12-19T00:00:00"/>
    <n v="7.1789737171464303"/>
    <x v="6"/>
    <n v="676000"/>
    <n v="736000"/>
  </r>
  <r>
    <s v="Samaira Dalal"/>
    <s v="STU039"/>
    <s v="ENR039"/>
    <x v="0"/>
    <x v="0"/>
    <n v="4"/>
    <s v="Computer Science and Engineering"/>
    <x v="5"/>
    <n v="169000"/>
    <n v="154000"/>
    <n v="15000"/>
    <n v="0"/>
    <x v="0"/>
    <x v="2"/>
    <x v="7"/>
    <x v="6"/>
    <s v="India"/>
    <s v="urviranganathan@example.com"/>
    <n v="917907000000"/>
    <x v="1"/>
    <n v="82"/>
    <n v="69"/>
    <s v="Non-AC"/>
    <x v="400"/>
    <d v="2006-06-09T00:00:00"/>
    <n v="7.1789737171464303"/>
    <x v="4"/>
    <n v="676000"/>
    <n v="736000"/>
  </r>
  <r>
    <s v="Myra Srinivas"/>
    <s v="STU206"/>
    <s v="ENR206"/>
    <x v="5"/>
    <x v="0"/>
    <n v="4"/>
    <s v="Computer Science and Engineering"/>
    <x v="6"/>
    <n v="169000"/>
    <n v="154000"/>
    <n v="15000"/>
    <n v="0"/>
    <x v="0"/>
    <x v="1"/>
    <x v="8"/>
    <x v="7"/>
    <s v="India"/>
    <s v="vihaan32@example.net"/>
    <n v="917870000000"/>
    <x v="3"/>
    <n v="82"/>
    <n v="83"/>
    <s v="Non-AC"/>
    <x v="401"/>
    <d v="2006-05-01T00:00:00"/>
    <n v="7.1789737171464303"/>
    <x v="4"/>
    <n v="676000"/>
    <n v="736000"/>
  </r>
  <r>
    <s v="Biju Tandon"/>
    <s v="STU493"/>
    <s v="ENR493"/>
    <x v="5"/>
    <x v="1"/>
    <n v="2"/>
    <s v="Computer Science Engineering"/>
    <x v="5"/>
    <n v="92000"/>
    <n v="77000"/>
    <n v="15000"/>
    <n v="0"/>
    <x v="0"/>
    <x v="0"/>
    <x v="8"/>
    <x v="7"/>
    <s v="India"/>
    <s v="sairabhagat@example.com"/>
    <n v="918636000000"/>
    <x v="4"/>
    <n v="82"/>
    <n v="77"/>
    <s v="Non-AC"/>
    <x v="402"/>
    <d v="2002-01-09T00:00:00"/>
    <n v="7.1789737171464303"/>
    <x v="6"/>
    <n v="184000"/>
    <n v="214000"/>
  </r>
  <r>
    <s v="Biju Sahota"/>
    <s v="STU997"/>
    <s v="ENR997"/>
    <x v="2"/>
    <x v="0"/>
    <n v="4"/>
    <s v="Computer Science and Engineering"/>
    <x v="3"/>
    <n v="169000"/>
    <n v="154000"/>
    <n v="15000"/>
    <n v="0"/>
    <x v="0"/>
    <x v="2"/>
    <x v="1"/>
    <x v="1"/>
    <s v="India"/>
    <s v="earya@example.net"/>
    <n v="917173000000"/>
    <x v="1"/>
    <n v="82"/>
    <n v="65"/>
    <s v="Non-AC"/>
    <x v="403"/>
    <d v="2005-12-05T00:00:00"/>
    <n v="7.1789737171464303"/>
    <x v="4"/>
    <n v="676000"/>
    <n v="736000"/>
  </r>
  <r>
    <s v="Hridaan Vyas"/>
    <s v="STU331"/>
    <s v="ENR331"/>
    <x v="2"/>
    <x v="0"/>
    <n v="4"/>
    <s v="Computer Science and Engineering"/>
    <x v="8"/>
    <n v="169000"/>
    <n v="154000"/>
    <n v="15000"/>
    <n v="0"/>
    <x v="0"/>
    <x v="1"/>
    <x v="3"/>
    <x v="3"/>
    <s v="India"/>
    <s v="kartik16@example.com"/>
    <n v="917895000000"/>
    <x v="0"/>
    <n v="82"/>
    <n v="67"/>
    <s v="AC"/>
    <x v="404"/>
    <d v="2004-04-01T00:00:00"/>
    <n v="7.1789737171464303"/>
    <x v="3"/>
    <n v="676000"/>
    <n v="736000"/>
  </r>
  <r>
    <s v="Anika Atwal"/>
    <s v="STU312"/>
    <s v="ENR312"/>
    <x v="1"/>
    <x v="1"/>
    <n v="2"/>
    <s v="Computer Science Engineering"/>
    <x v="3"/>
    <n v="92000"/>
    <n v="77000"/>
    <n v="15000"/>
    <n v="0"/>
    <x v="0"/>
    <x v="1"/>
    <x v="3"/>
    <x v="3"/>
    <s v="India"/>
    <s v="ahana-26@example.net"/>
    <n v="919721000000"/>
    <x v="2"/>
    <n v="82"/>
    <n v="73"/>
    <s v="AC"/>
    <x v="405"/>
    <d v="1997-12-26T00:00:00"/>
    <n v="7.1789737171464303"/>
    <x v="9"/>
    <n v="184000"/>
    <n v="214000"/>
  </r>
  <r>
    <s v="Anahi Ravi"/>
    <s v="STU340"/>
    <s v="ENR340"/>
    <x v="4"/>
    <x v="1"/>
    <n v="2"/>
    <s v="Computer Science Engineering"/>
    <x v="0"/>
    <n v="92000"/>
    <n v="77000"/>
    <n v="15000"/>
    <n v="0"/>
    <x v="0"/>
    <x v="1"/>
    <x v="4"/>
    <x v="4"/>
    <s v="India"/>
    <s v="anvi31@example.org"/>
    <n v="919493000000"/>
    <x v="4"/>
    <n v="82"/>
    <n v="85"/>
    <s v="Non-AC"/>
    <x v="406"/>
    <d v="2002-06-06T00:00:00"/>
    <n v="7.1789737171464303"/>
    <x v="6"/>
    <n v="184000"/>
    <n v="214000"/>
  </r>
  <r>
    <s v="Urvi Amble"/>
    <s v="STU644"/>
    <s v="ENR644"/>
    <x v="3"/>
    <x v="0"/>
    <n v="4"/>
    <s v="Computer Science and Engineering"/>
    <x v="9"/>
    <n v="169000"/>
    <n v="154000"/>
    <n v="15000"/>
    <n v="0"/>
    <x v="0"/>
    <x v="2"/>
    <x v="9"/>
    <x v="8"/>
    <s v="India"/>
    <s v="dbains@example.org"/>
    <n v="919703000000"/>
    <x v="1"/>
    <n v="82"/>
    <n v="83"/>
    <s v="Non-AC"/>
    <x v="407"/>
    <d v="2005-01-17T00:00:00"/>
    <n v="7.1789737171464303"/>
    <x v="5"/>
    <n v="676000"/>
    <n v="736000"/>
  </r>
  <r>
    <s v="Trisha Rattan"/>
    <s v="STU512"/>
    <s v="ENR512"/>
    <x v="1"/>
    <x v="1"/>
    <n v="2"/>
    <s v="Computer Science Engineering"/>
    <x v="0"/>
    <n v="92000"/>
    <n v="77000"/>
    <n v="15000"/>
    <n v="0"/>
    <x v="0"/>
    <x v="0"/>
    <x v="2"/>
    <x v="2"/>
    <s v="India"/>
    <s v="pwarrior@example.net"/>
    <n v="919448000000"/>
    <x v="4"/>
    <n v="82"/>
    <n v="74"/>
    <s v="Non-AC"/>
    <x v="408"/>
    <d v="1997-09-05T00:00:00"/>
    <n v="7.1789737171464303"/>
    <x v="9"/>
    <n v="184000"/>
    <n v="214000"/>
  </r>
  <r>
    <s v="Akarsh Kumer"/>
    <s v="STU181"/>
    <s v="ENR181"/>
    <x v="1"/>
    <x v="0"/>
    <n v="4"/>
    <s v="Computer Science and Engineering"/>
    <x v="0"/>
    <n v="169000"/>
    <n v="154000"/>
    <n v="15000"/>
    <n v="0"/>
    <x v="0"/>
    <x v="1"/>
    <x v="7"/>
    <x v="6"/>
    <s v="India"/>
    <s v="bsagar@example.net"/>
    <n v="919234000000"/>
    <x v="0"/>
    <n v="82"/>
    <n v="92"/>
    <s v="AC"/>
    <x v="409"/>
    <d v="2005-10-31T00:00:00"/>
    <n v="7.1789737171464303"/>
    <x v="4"/>
    <n v="676000"/>
    <n v="736000"/>
  </r>
  <r>
    <s v="Prerak Kala"/>
    <s v="STU1028"/>
    <s v="ENR1028"/>
    <x v="0"/>
    <x v="0"/>
    <n v="4"/>
    <s v="Computer Science and Engineering"/>
    <x v="2"/>
    <n v="169000"/>
    <n v="154000"/>
    <n v="15000"/>
    <n v="0"/>
    <x v="0"/>
    <x v="0"/>
    <x v="8"/>
    <x v="7"/>
    <s v="India"/>
    <s v="mishadoctor@example.com"/>
    <n v="918400000000"/>
    <x v="2"/>
    <n v="82"/>
    <n v="86"/>
    <s v="Non-AC"/>
    <x v="410"/>
    <d v="2004-03-10T00:00:00"/>
    <n v="7.1789737171464303"/>
    <x v="3"/>
    <n v="676000"/>
    <n v="736000"/>
  </r>
  <r>
    <s v="Onkar Bhatti"/>
    <s v="STU511"/>
    <s v="ENR511"/>
    <x v="2"/>
    <x v="1"/>
    <n v="2"/>
    <s v="Computer Science Engineering"/>
    <x v="4"/>
    <n v="92000"/>
    <n v="77000"/>
    <n v="15000"/>
    <n v="0"/>
    <x v="0"/>
    <x v="0"/>
    <x v="4"/>
    <x v="4"/>
    <s v="India"/>
    <s v="uaggarwal@example.org"/>
    <n v="919405000000"/>
    <x v="1"/>
    <n v="82"/>
    <n v="60"/>
    <s v="AC"/>
    <x v="411"/>
    <d v="1998-03-07T00:00:00"/>
    <n v="7.1789737171464303"/>
    <x v="9"/>
    <n v="184000"/>
    <n v="214000"/>
  </r>
  <r>
    <s v="Lavanya Sandal"/>
    <s v="STU507"/>
    <s v="ENR507"/>
    <x v="3"/>
    <x v="0"/>
    <n v="4"/>
    <s v="Computer Science and Engineering"/>
    <x v="2"/>
    <n v="169000"/>
    <n v="154000"/>
    <n v="15000"/>
    <n v="0"/>
    <x v="0"/>
    <x v="2"/>
    <x v="6"/>
    <x v="3"/>
    <s v="India"/>
    <s v="adevi@example.net"/>
    <n v="918011000000"/>
    <x v="0"/>
    <n v="82"/>
    <n v="89"/>
    <s v="Non-AC"/>
    <x v="412"/>
    <d v="2001-08-30T00:00:00"/>
    <n v="7.1789737171464303"/>
    <x v="6"/>
    <n v="676000"/>
    <n v="736000"/>
  </r>
  <r>
    <s v="Eva Reddy"/>
    <s v="STU074"/>
    <s v="ENR074"/>
    <x v="4"/>
    <x v="0"/>
    <n v="4"/>
    <s v="Computer Science and Engineering"/>
    <x v="8"/>
    <n v="169000"/>
    <n v="154000"/>
    <n v="15000"/>
    <n v="0"/>
    <x v="0"/>
    <x v="0"/>
    <x v="3"/>
    <x v="3"/>
    <s v="India"/>
    <s v="aarna63@example.com"/>
    <n v="919267000000"/>
    <x v="0"/>
    <n v="82"/>
    <n v="67"/>
    <s v="AC"/>
    <x v="413"/>
    <d v="2003-02-01T00:00:00"/>
    <n v="7.1789737171464303"/>
    <x v="2"/>
    <n v="676000"/>
    <n v="736000"/>
  </r>
  <r>
    <s v="Nirvi Wason"/>
    <s v="STU263"/>
    <s v="ENR263"/>
    <x v="1"/>
    <x v="0"/>
    <n v="4"/>
    <s v="Computer Science and Engineering"/>
    <x v="9"/>
    <n v="169000"/>
    <n v="154000"/>
    <n v="15000"/>
    <n v="0"/>
    <x v="0"/>
    <x v="2"/>
    <x v="9"/>
    <x v="8"/>
    <s v="India"/>
    <s v="zbumb@example.com"/>
    <n v="919759000000"/>
    <x v="3"/>
    <n v="82"/>
    <n v="85"/>
    <s v="AC"/>
    <x v="414"/>
    <d v="2001-11-08T00:00:00"/>
    <n v="7.1789737171464303"/>
    <x v="6"/>
    <n v="676000"/>
    <n v="736000"/>
  </r>
  <r>
    <s v="Dhanuk Dugar"/>
    <s v="STU1070"/>
    <s v="ENR1070"/>
    <x v="1"/>
    <x v="0"/>
    <n v="4"/>
    <s v="Computer Science and Engineering"/>
    <x v="7"/>
    <n v="169000"/>
    <n v="154000"/>
    <n v="15000"/>
    <n v="0"/>
    <x v="0"/>
    <x v="2"/>
    <x v="0"/>
    <x v="0"/>
    <s v="India"/>
    <s v="skade@example.com"/>
    <n v="918056000000"/>
    <x v="0"/>
    <n v="82"/>
    <n v="69"/>
    <s v="Non-AC"/>
    <x v="415"/>
    <d v="2003-01-19T00:00:00"/>
    <n v="7.1789737171464303"/>
    <x v="2"/>
    <n v="676000"/>
    <n v="736000"/>
  </r>
  <r>
    <s v="Hiran Jain"/>
    <s v="STU065"/>
    <s v="ENR065"/>
    <x v="2"/>
    <x v="0"/>
    <n v="4"/>
    <s v="Computer Science and Engineering"/>
    <x v="8"/>
    <n v="169000"/>
    <n v="154000"/>
    <n v="15000"/>
    <n v="0"/>
    <x v="0"/>
    <x v="2"/>
    <x v="4"/>
    <x v="4"/>
    <s v="India"/>
    <s v="fmand@example.org"/>
    <n v="917030000000"/>
    <x v="3"/>
    <n v="82"/>
    <n v="74"/>
    <s v="Non-AC"/>
    <x v="416"/>
    <d v="2003-05-26T00:00:00"/>
    <n v="7.1789737171464303"/>
    <x v="2"/>
    <n v="676000"/>
    <n v="736000"/>
  </r>
  <r>
    <s v="Drishya Raval"/>
    <s v="STU014"/>
    <s v="ENR014"/>
    <x v="2"/>
    <x v="0"/>
    <n v="4"/>
    <s v="Computer Science and Engineering"/>
    <x v="8"/>
    <n v="169000"/>
    <n v="154000"/>
    <n v="15000"/>
    <n v="0"/>
    <x v="0"/>
    <x v="1"/>
    <x v="4"/>
    <x v="4"/>
    <s v="India"/>
    <s v="aaina98@example.com"/>
    <n v="917701000000"/>
    <x v="4"/>
    <n v="82"/>
    <n v="76"/>
    <s v="Non-AC"/>
    <x v="417"/>
    <d v="2004-03-12T00:00:00"/>
    <n v="7.1789737171464303"/>
    <x v="3"/>
    <n v="676000"/>
    <n v="736000"/>
  </r>
  <r>
    <s v="Ryan Keer"/>
    <s v="STU225"/>
    <s v="ENR225"/>
    <x v="0"/>
    <x v="1"/>
    <n v="2"/>
    <s v="Computer Science Engineering"/>
    <x v="3"/>
    <n v="92000"/>
    <n v="77000"/>
    <n v="15000"/>
    <n v="0"/>
    <x v="0"/>
    <x v="2"/>
    <x v="2"/>
    <x v="2"/>
    <s v="India"/>
    <s v="madhavshanker@example.net"/>
    <n v="917654000000"/>
    <x v="3"/>
    <n v="82"/>
    <n v="70"/>
    <s v="Non-AC"/>
    <x v="418"/>
    <d v="2000-10-06T00:00:00"/>
    <n v="7.1789737171464303"/>
    <x v="0"/>
    <n v="184000"/>
    <n v="214000"/>
  </r>
  <r>
    <s v="Sahil Chaudhari"/>
    <s v="STU589"/>
    <s v="ENR589"/>
    <x v="2"/>
    <x v="0"/>
    <n v="4"/>
    <s v="Computer Science and Engineering"/>
    <x v="1"/>
    <n v="169000"/>
    <n v="154000"/>
    <n v="15000"/>
    <n v="0"/>
    <x v="0"/>
    <x v="2"/>
    <x v="1"/>
    <x v="1"/>
    <s v="India"/>
    <s v="dhruvseth@example.com"/>
    <n v="918116000000"/>
    <x v="2"/>
    <n v="82"/>
    <n v="87"/>
    <s v="Non-AC"/>
    <x v="419"/>
    <d v="2003-04-16T00:00:00"/>
    <n v="7.1789737171464303"/>
    <x v="2"/>
    <n v="676000"/>
    <n v="736000"/>
  </r>
  <r>
    <s v="Sumer Anne"/>
    <s v="STU304"/>
    <s v="ENR304"/>
    <x v="3"/>
    <x v="0"/>
    <n v="4"/>
    <s v="Computer Science and Engineering"/>
    <x v="6"/>
    <n v="169000"/>
    <n v="154000"/>
    <n v="15000"/>
    <n v="0"/>
    <x v="0"/>
    <x v="1"/>
    <x v="8"/>
    <x v="7"/>
    <s v="India"/>
    <s v="veerchar@example.com"/>
    <n v="919508000000"/>
    <x v="4"/>
    <n v="82"/>
    <n v="90"/>
    <s v="Non-AC"/>
    <x v="420"/>
    <d v="2002-09-27T00:00:00"/>
    <n v="7.1789737171464303"/>
    <x v="2"/>
    <n v="676000"/>
    <n v="736000"/>
  </r>
  <r>
    <s v="Zoya Talwar"/>
    <s v="STU170"/>
    <s v="ENR170"/>
    <x v="3"/>
    <x v="0"/>
    <n v="4"/>
    <s v="Computer Science and Engineering"/>
    <x v="0"/>
    <n v="169000"/>
    <n v="154000"/>
    <n v="15000"/>
    <n v="0"/>
    <x v="0"/>
    <x v="0"/>
    <x v="2"/>
    <x v="2"/>
    <s v="India"/>
    <s v="riyasoman@example.com"/>
    <n v="919346000000"/>
    <x v="1"/>
    <n v="82"/>
    <n v="62"/>
    <s v="AC"/>
    <x v="421"/>
    <d v="2001-10-24T00:00:00"/>
    <n v="7.1789737171464303"/>
    <x v="6"/>
    <n v="676000"/>
    <n v="736000"/>
  </r>
  <r>
    <s v="Ivan Amble"/>
    <s v="STU1109"/>
    <s v="ENR1109"/>
    <x v="4"/>
    <x v="0"/>
    <n v="4"/>
    <s v="Computer Science and Engineering"/>
    <x v="2"/>
    <n v="169000"/>
    <n v="154000"/>
    <n v="15000"/>
    <n v="0"/>
    <x v="0"/>
    <x v="1"/>
    <x v="0"/>
    <x v="0"/>
    <s v="India"/>
    <s v="nitara29@example.org"/>
    <n v="918968000000"/>
    <x v="4"/>
    <n v="82"/>
    <n v="85"/>
    <s v="AC"/>
    <x v="422"/>
    <d v="2003-12-06T00:00:00"/>
    <n v="7.1789737171464303"/>
    <x v="3"/>
    <n v="676000"/>
    <n v="736000"/>
  </r>
  <r>
    <s v="Nirvi Sarna"/>
    <s v="STU906"/>
    <s v="ENR906"/>
    <x v="5"/>
    <x v="0"/>
    <n v="4"/>
    <s v="Computer Science and Engineering"/>
    <x v="9"/>
    <n v="169000"/>
    <n v="154000"/>
    <n v="15000"/>
    <n v="0"/>
    <x v="0"/>
    <x v="0"/>
    <x v="4"/>
    <x v="4"/>
    <s v="India"/>
    <s v="chiragchoudhury@example.com"/>
    <n v="919778000000"/>
    <x v="4"/>
    <n v="82"/>
    <n v="83"/>
    <s v="Non-AC"/>
    <x v="423"/>
    <d v="2003-06-19T00:00:00"/>
    <n v="7.1789737171464303"/>
    <x v="2"/>
    <n v="676000"/>
    <n v="736000"/>
  </r>
  <r>
    <s v="Tushar Guha"/>
    <s v="STU665"/>
    <s v="ENR665"/>
    <x v="3"/>
    <x v="0"/>
    <n v="4"/>
    <s v="Computer Science and Engineering"/>
    <x v="3"/>
    <n v="169000"/>
    <n v="154000"/>
    <n v="15000"/>
    <n v="0"/>
    <x v="0"/>
    <x v="1"/>
    <x v="2"/>
    <x v="2"/>
    <s v="India"/>
    <s v="qchadha@example.net"/>
    <n v="917280000000"/>
    <x v="2"/>
    <n v="82"/>
    <n v="84"/>
    <s v="Non-AC"/>
    <x v="424"/>
    <d v="2001-01-08T00:00:00"/>
    <n v="7.1789737171464303"/>
    <x v="0"/>
    <n v="676000"/>
    <n v="736000"/>
  </r>
  <r>
    <s v="Saanvi Sidhu"/>
    <s v="STU697"/>
    <s v="ENR697"/>
    <x v="1"/>
    <x v="0"/>
    <n v="4"/>
    <s v="Computer Science and Engineering"/>
    <x v="2"/>
    <n v="169000"/>
    <n v="154000"/>
    <n v="15000"/>
    <n v="0"/>
    <x v="0"/>
    <x v="0"/>
    <x v="6"/>
    <x v="3"/>
    <s v="India"/>
    <s v="advikkakar@example.com"/>
    <n v="919276000000"/>
    <x v="4"/>
    <n v="82"/>
    <n v="84"/>
    <s v="AC"/>
    <x v="425"/>
    <d v="2005-06-15T00:00:00"/>
    <n v="7.1789737171464303"/>
    <x v="5"/>
    <n v="676000"/>
    <n v="736000"/>
  </r>
  <r>
    <s v="Kavya Karnik"/>
    <s v="STU711"/>
    <s v="ENR711"/>
    <x v="3"/>
    <x v="0"/>
    <n v="4"/>
    <s v="Computer Science and Engineering"/>
    <x v="0"/>
    <n v="169000"/>
    <n v="154000"/>
    <n v="15000"/>
    <n v="0"/>
    <x v="0"/>
    <x v="2"/>
    <x v="3"/>
    <x v="3"/>
    <s v="India"/>
    <s v="anahibadami@example.net"/>
    <n v="918947000000"/>
    <x v="0"/>
    <n v="82"/>
    <n v="84"/>
    <s v="Non-AC"/>
    <x v="426"/>
    <d v="2002-08-09T00:00:00"/>
    <n v="7.1789737171464303"/>
    <x v="2"/>
    <n v="676000"/>
    <n v="736000"/>
  </r>
  <r>
    <s v="Tanya Rattan"/>
    <s v="STU246"/>
    <s v="ENR246"/>
    <x v="0"/>
    <x v="1"/>
    <n v="2"/>
    <s v="Computer Science Engineering"/>
    <x v="3"/>
    <n v="92000"/>
    <n v="77000"/>
    <n v="15000"/>
    <n v="0"/>
    <x v="0"/>
    <x v="2"/>
    <x v="1"/>
    <x v="1"/>
    <s v="India"/>
    <s v="sundarammishti@example.net"/>
    <n v="918141000000"/>
    <x v="4"/>
    <n v="82"/>
    <n v="81"/>
    <s v="AC"/>
    <x v="427"/>
    <d v="1999-01-14T00:00:00"/>
    <n v="7.1789737171464303"/>
    <x v="7"/>
    <n v="184000"/>
    <n v="214000"/>
  </r>
  <r>
    <s v="Hridaan Chowdhury"/>
    <s v="STU156"/>
    <s v="ENR156"/>
    <x v="4"/>
    <x v="0"/>
    <n v="4"/>
    <s v="Computer Science and Engineering"/>
    <x v="0"/>
    <n v="169000"/>
    <n v="154000"/>
    <n v="15000"/>
    <n v="0"/>
    <x v="0"/>
    <x v="2"/>
    <x v="4"/>
    <x v="4"/>
    <s v="India"/>
    <s v="latasuhana@example.org"/>
    <n v="919416000000"/>
    <x v="1"/>
    <n v="82"/>
    <n v="88"/>
    <s v="AC"/>
    <x v="428"/>
    <d v="2002-08-27T00:00:00"/>
    <n v="7.1789737171464303"/>
    <x v="2"/>
    <n v="676000"/>
    <n v="736000"/>
  </r>
  <r>
    <s v="Samaira Balan"/>
    <s v="STU198"/>
    <s v="ENR198"/>
    <x v="5"/>
    <x v="1"/>
    <n v="2"/>
    <s v="Computer Science Engineering"/>
    <x v="6"/>
    <n v="92000"/>
    <n v="77000"/>
    <n v="15000"/>
    <n v="0"/>
    <x v="0"/>
    <x v="2"/>
    <x v="4"/>
    <x v="4"/>
    <s v="India"/>
    <s v="vidurmann@example.com"/>
    <n v="919514000000"/>
    <x v="4"/>
    <n v="82"/>
    <n v="87"/>
    <s v="Non-AC"/>
    <x v="429"/>
    <d v="2002-03-12T00:00:00"/>
    <n v="7.1789737171464303"/>
    <x v="6"/>
    <n v="184000"/>
    <n v="214000"/>
  </r>
  <r>
    <s v="Dharmajan Ganesan"/>
    <s v="STU688"/>
    <s v="ENR688"/>
    <x v="0"/>
    <x v="0"/>
    <n v="4"/>
    <s v="Computer Science and Engineering"/>
    <x v="7"/>
    <n v="169000"/>
    <n v="154000"/>
    <n v="15000"/>
    <n v="0"/>
    <x v="0"/>
    <x v="0"/>
    <x v="0"/>
    <x v="0"/>
    <s v="India"/>
    <s v="usuresh@example.org"/>
    <n v="918067000000"/>
    <x v="3"/>
    <n v="82"/>
    <n v="73"/>
    <s v="AC"/>
    <x v="430"/>
    <d v="2002-12-06T00:00:00"/>
    <n v="7.1789737171464303"/>
    <x v="2"/>
    <n v="676000"/>
    <n v="736000"/>
  </r>
  <r>
    <s v="Miraya Chada"/>
    <s v="STU214"/>
    <s v="ENR214"/>
    <x v="4"/>
    <x v="0"/>
    <n v="4"/>
    <s v="Computer Science and Engineering"/>
    <x v="3"/>
    <n v="169000"/>
    <n v="154000"/>
    <n v="15000"/>
    <n v="0"/>
    <x v="0"/>
    <x v="0"/>
    <x v="9"/>
    <x v="8"/>
    <s v="India"/>
    <s v="bverma@example.com"/>
    <n v="918321000000"/>
    <x v="1"/>
    <n v="82"/>
    <n v="68"/>
    <s v="AC"/>
    <x v="431"/>
    <d v="2000-10-01T00:00:00"/>
    <n v="7.1789737171464303"/>
    <x v="0"/>
    <n v="676000"/>
    <n v="736000"/>
  </r>
  <r>
    <s v="Ela Rana"/>
    <s v="STU1081"/>
    <s v="ENR1081"/>
    <x v="4"/>
    <x v="0"/>
    <n v="4"/>
    <s v="Computer Science and Engineering"/>
    <x v="8"/>
    <n v="169000"/>
    <n v="154000"/>
    <n v="15000"/>
    <n v="0"/>
    <x v="0"/>
    <x v="0"/>
    <x v="7"/>
    <x v="6"/>
    <s v="India"/>
    <s v="fateh43@example.net"/>
    <n v="918102000000"/>
    <x v="3"/>
    <n v="82"/>
    <n v="79"/>
    <s v="AC"/>
    <x v="432"/>
    <d v="2004-12-25T00:00:00"/>
    <n v="7.1789737171464303"/>
    <x v="5"/>
    <n v="676000"/>
    <n v="736000"/>
  </r>
  <r>
    <s v="Pihu Ramaswamy"/>
    <s v="STU818"/>
    <s v="ENR818"/>
    <x v="0"/>
    <x v="0"/>
    <n v="4"/>
    <s v="Computer Science and Engineering"/>
    <x v="7"/>
    <n v="169000"/>
    <n v="154000"/>
    <n v="15000"/>
    <n v="0"/>
    <x v="0"/>
    <x v="1"/>
    <x v="0"/>
    <x v="0"/>
    <s v="India"/>
    <s v="ladjivin@example.net"/>
    <n v="917881000000"/>
    <x v="3"/>
    <n v="82"/>
    <n v="60"/>
    <s v="Non-AC"/>
    <x v="433"/>
    <d v="2002-05-05T00:00:00"/>
    <n v="7.1789737171464303"/>
    <x v="6"/>
    <n v="676000"/>
    <n v="736000"/>
  </r>
  <r>
    <s v="Pihu Singh"/>
    <s v="STU158"/>
    <s v="ENR158"/>
    <x v="1"/>
    <x v="0"/>
    <n v="4"/>
    <s v="Computer Science and Engineering"/>
    <x v="4"/>
    <n v="169000"/>
    <n v="154000"/>
    <n v="15000"/>
    <n v="0"/>
    <x v="0"/>
    <x v="2"/>
    <x v="1"/>
    <x v="1"/>
    <s v="India"/>
    <s v="bhattaran@example.com"/>
    <n v="917539000000"/>
    <x v="1"/>
    <n v="82"/>
    <n v="65"/>
    <s v="AC"/>
    <x v="434"/>
    <d v="2002-08-09T00:00:00"/>
    <n v="7.1789737171464303"/>
    <x v="2"/>
    <n v="676000"/>
    <n v="736000"/>
  </r>
  <r>
    <s v="Kartik Borah"/>
    <s v="STU411"/>
    <s v="ENR411"/>
    <x v="0"/>
    <x v="0"/>
    <n v="4"/>
    <s v="Computer Science and Engineering"/>
    <x v="1"/>
    <n v="169000"/>
    <n v="154000"/>
    <n v="15000"/>
    <n v="0"/>
    <x v="0"/>
    <x v="1"/>
    <x v="4"/>
    <x v="4"/>
    <s v="India"/>
    <s v="soodvidur@example.org"/>
    <n v="919749000000"/>
    <x v="1"/>
    <n v="82"/>
    <n v="75"/>
    <s v="Non-AC"/>
    <x v="435"/>
    <d v="2005-09-24T00:00:00"/>
    <n v="7.1789737171464303"/>
    <x v="4"/>
    <n v="676000"/>
    <n v="736000"/>
  </r>
  <r>
    <s v="Kiara Gill"/>
    <s v="STU317"/>
    <s v="ENR317"/>
    <x v="1"/>
    <x v="1"/>
    <n v="2"/>
    <s v="Computer Science Engineering"/>
    <x v="3"/>
    <n v="92000"/>
    <n v="77000"/>
    <n v="15000"/>
    <n v="0"/>
    <x v="0"/>
    <x v="0"/>
    <x v="9"/>
    <x v="8"/>
    <s v="India"/>
    <s v="basakanvi@example.net"/>
    <n v="919953000000"/>
    <x v="4"/>
    <n v="82"/>
    <n v="92"/>
    <s v="AC"/>
    <x v="436"/>
    <d v="1996-08-29T00:00:00"/>
    <n v="7.1789737171464303"/>
    <x v="8"/>
    <n v="184000"/>
    <n v="214000"/>
  </r>
  <r>
    <s v="Mannat Varughese"/>
    <s v="STU251"/>
    <s v="ENR251"/>
    <x v="5"/>
    <x v="0"/>
    <n v="4"/>
    <s v="Computer Science and Engineering"/>
    <x v="9"/>
    <n v="169000"/>
    <n v="154000"/>
    <n v="15000"/>
    <n v="0"/>
    <x v="0"/>
    <x v="1"/>
    <x v="9"/>
    <x v="8"/>
    <s v="India"/>
    <s v="skapadia@example.org"/>
    <n v="919909000000"/>
    <x v="3"/>
    <n v="82"/>
    <n v="71"/>
    <s v="AC"/>
    <x v="437"/>
    <d v="2002-04-12T00:00:00"/>
    <n v="7.1789737171464303"/>
    <x v="6"/>
    <n v="676000"/>
    <n v="736000"/>
  </r>
  <r>
    <s v="Yuvaan Vohra"/>
    <s v="STU745"/>
    <s v="ENR745"/>
    <x v="1"/>
    <x v="0"/>
    <n v="4"/>
    <s v="Computer Science and Engineering"/>
    <x v="9"/>
    <n v="169000"/>
    <n v="154000"/>
    <n v="15000"/>
    <n v="0"/>
    <x v="0"/>
    <x v="0"/>
    <x v="2"/>
    <x v="2"/>
    <s v="India"/>
    <s v="divyanshshah@example.com"/>
    <n v="919683000000"/>
    <x v="1"/>
    <n v="82"/>
    <n v="82"/>
    <s v="AC"/>
    <x v="438"/>
    <d v="2005-12-20T00:00:00"/>
    <n v="7.1789737171464303"/>
    <x v="4"/>
    <n v="676000"/>
    <n v="736000"/>
  </r>
  <r>
    <s v="Sahil Majumdar"/>
    <s v="STU319"/>
    <s v="ENR319"/>
    <x v="4"/>
    <x v="1"/>
    <n v="2"/>
    <s v="Computer Science Engineering"/>
    <x v="0"/>
    <n v="92000"/>
    <n v="77000"/>
    <n v="15000"/>
    <n v="0"/>
    <x v="0"/>
    <x v="1"/>
    <x v="0"/>
    <x v="0"/>
    <s v="India"/>
    <s v="ratiranganathan@example.com"/>
    <n v="918627000000"/>
    <x v="0"/>
    <n v="82"/>
    <n v="74"/>
    <s v="AC"/>
    <x v="439"/>
    <d v="2000-10-06T00:00:00"/>
    <n v="7.1789737171464303"/>
    <x v="0"/>
    <n v="184000"/>
    <n v="214000"/>
  </r>
  <r>
    <s v="Kiaan Ben"/>
    <s v="STU041"/>
    <s v="ENR041"/>
    <x v="4"/>
    <x v="0"/>
    <n v="4"/>
    <s v="Computer Science and Engineering"/>
    <x v="7"/>
    <n v="169000"/>
    <n v="154000"/>
    <n v="15000"/>
    <n v="0"/>
    <x v="0"/>
    <x v="1"/>
    <x v="6"/>
    <x v="3"/>
    <s v="India"/>
    <s v="tjhaveri@example.org"/>
    <n v="919229000000"/>
    <x v="0"/>
    <n v="82"/>
    <n v="73"/>
    <s v="Non-AC"/>
    <x v="440"/>
    <d v="2001-08-07T00:00:00"/>
    <n v="7.1789737171464303"/>
    <x v="6"/>
    <n v="676000"/>
    <n v="736000"/>
  </r>
  <r>
    <s v="Vidur Thakur"/>
    <s v="STU1085"/>
    <s v="ENR1085"/>
    <x v="1"/>
    <x v="0"/>
    <n v="4"/>
    <s v="Computer Science and Engineering"/>
    <x v="9"/>
    <n v="169000"/>
    <n v="154000"/>
    <n v="15000"/>
    <n v="0"/>
    <x v="0"/>
    <x v="0"/>
    <x v="4"/>
    <x v="4"/>
    <s v="India"/>
    <s v="saranryan@example.net"/>
    <n v="917985000000"/>
    <x v="0"/>
    <n v="82"/>
    <n v="92"/>
    <s v="AC"/>
    <x v="441"/>
    <d v="2001-08-05T00:00:00"/>
    <n v="7.1789737171464303"/>
    <x v="6"/>
    <n v="676000"/>
    <n v="736000"/>
  </r>
  <r>
    <s v="Devansh Ganesh"/>
    <s v="STU571"/>
    <s v="ENR571"/>
    <x v="3"/>
    <x v="0"/>
    <n v="4"/>
    <s v="Computer Science and Engineering"/>
    <x v="7"/>
    <n v="169000"/>
    <n v="154000"/>
    <n v="15000"/>
    <n v="0"/>
    <x v="0"/>
    <x v="0"/>
    <x v="3"/>
    <x v="3"/>
    <s v="India"/>
    <s v="daminivarty@example.org"/>
    <n v="919537000000"/>
    <x v="2"/>
    <n v="82"/>
    <n v="61"/>
    <s v="Non-AC"/>
    <x v="442"/>
    <d v="2000-12-30T00:00:00"/>
    <n v="7.1789737171464303"/>
    <x v="0"/>
    <n v="676000"/>
    <n v="736000"/>
  </r>
  <r>
    <s v="Tiya Kala"/>
    <s v="STU394"/>
    <s v="ENR394"/>
    <x v="1"/>
    <x v="1"/>
    <n v="2"/>
    <s v="Computer Science Engineering"/>
    <x v="3"/>
    <n v="92000"/>
    <n v="77000"/>
    <n v="15000"/>
    <n v="0"/>
    <x v="0"/>
    <x v="2"/>
    <x v="5"/>
    <x v="5"/>
    <s v="India"/>
    <s v="comarjhanvi@example.org"/>
    <n v="917478000000"/>
    <x v="1"/>
    <n v="82"/>
    <n v="60"/>
    <s v="Non-AC"/>
    <x v="443"/>
    <d v="2000-03-26T00:00:00"/>
    <n v="7.1789737171464303"/>
    <x v="1"/>
    <n v="184000"/>
    <n v="214000"/>
  </r>
  <r>
    <s v="Arhaan Badami"/>
    <s v="STU371"/>
    <s v="ENR371"/>
    <x v="2"/>
    <x v="1"/>
    <n v="2"/>
    <s v="Computer Science Engineering"/>
    <x v="1"/>
    <n v="92000"/>
    <n v="77000"/>
    <n v="15000"/>
    <n v="0"/>
    <x v="0"/>
    <x v="1"/>
    <x v="3"/>
    <x v="3"/>
    <s v="India"/>
    <s v="lalmadhup@example.com"/>
    <n v="918163000000"/>
    <x v="2"/>
    <n v="82"/>
    <n v="68"/>
    <s v="Non-AC"/>
    <x v="444"/>
    <d v="1997-06-18T00:00:00"/>
    <n v="7.1789737171464303"/>
    <x v="8"/>
    <n v="184000"/>
    <n v="214000"/>
  </r>
  <r>
    <s v="Hrishita Deol"/>
    <s v="STU801"/>
    <s v="ENR801"/>
    <x v="5"/>
    <x v="0"/>
    <n v="4"/>
    <s v="Computer Science and Engineering"/>
    <x v="8"/>
    <n v="169000"/>
    <n v="154000"/>
    <n v="15000"/>
    <n v="0"/>
    <x v="0"/>
    <x v="2"/>
    <x v="8"/>
    <x v="7"/>
    <s v="India"/>
    <s v="hirankaul@example.com"/>
    <n v="918884000000"/>
    <x v="0"/>
    <n v="81"/>
    <n v="92"/>
    <s v="AC"/>
    <x v="445"/>
    <d v="2004-09-06T00:00:00"/>
    <n v="6.1789737171464303"/>
    <x v="5"/>
    <n v="676000"/>
    <n v="736000"/>
  </r>
  <r>
    <s v="Adira Mane"/>
    <s v="STU227"/>
    <s v="ENR227"/>
    <x v="4"/>
    <x v="1"/>
    <n v="2"/>
    <s v="Computer Science Engineering"/>
    <x v="6"/>
    <n v="92000"/>
    <n v="77000"/>
    <n v="15000"/>
    <n v="0"/>
    <x v="0"/>
    <x v="2"/>
    <x v="3"/>
    <x v="3"/>
    <s v="India"/>
    <s v="mchhabra@example.net"/>
    <n v="918811000000"/>
    <x v="3"/>
    <n v="81"/>
    <n v="81"/>
    <s v="Non-AC"/>
    <x v="446"/>
    <d v="1999-09-17T00:00:00"/>
    <n v="6.1789737171464303"/>
    <x v="1"/>
    <n v="184000"/>
    <n v="214000"/>
  </r>
  <r>
    <s v="Stuvan Balasubramanian"/>
    <s v="STU487"/>
    <s v="ENR487"/>
    <x v="3"/>
    <x v="0"/>
    <n v="4"/>
    <s v="Computer Science and Engineering"/>
    <x v="9"/>
    <n v="169000"/>
    <n v="154000"/>
    <n v="15000"/>
    <n v="0"/>
    <x v="0"/>
    <x v="0"/>
    <x v="4"/>
    <x v="4"/>
    <s v="India"/>
    <s v="xvarghese@example.org"/>
    <n v="918350000000"/>
    <x v="0"/>
    <n v="81"/>
    <n v="65"/>
    <s v="Non-AC"/>
    <x v="447"/>
    <d v="2001-11-01T00:00:00"/>
    <n v="6.1789737171464303"/>
    <x v="6"/>
    <n v="676000"/>
    <n v="736000"/>
  </r>
  <r>
    <s v="Fateh Bhavsar"/>
    <s v="STU809"/>
    <s v="ENR809"/>
    <x v="2"/>
    <x v="0"/>
    <n v="4"/>
    <s v="Computer Science and Engineering"/>
    <x v="9"/>
    <n v="169000"/>
    <n v="154000"/>
    <n v="15000"/>
    <n v="0"/>
    <x v="0"/>
    <x v="0"/>
    <x v="0"/>
    <x v="0"/>
    <s v="India"/>
    <s v="warrioranya@example.com"/>
    <n v="918682000000"/>
    <x v="0"/>
    <n v="81"/>
    <n v="63"/>
    <s v="AC"/>
    <x v="448"/>
    <d v="2000-09-11T00:00:00"/>
    <n v="6.1789737171464303"/>
    <x v="0"/>
    <n v="676000"/>
    <n v="736000"/>
  </r>
  <r>
    <s v="Mannat Mani"/>
    <s v="STU238"/>
    <s v="ENR238"/>
    <x v="0"/>
    <x v="0"/>
    <n v="4"/>
    <s v="Computer Science and Engineering"/>
    <x v="4"/>
    <n v="169000"/>
    <n v="154000"/>
    <n v="15000"/>
    <n v="0"/>
    <x v="0"/>
    <x v="2"/>
    <x v="0"/>
    <x v="0"/>
    <s v="India"/>
    <s v="groverbaiju@example.org"/>
    <n v="918355000000"/>
    <x v="0"/>
    <n v="81"/>
    <n v="87"/>
    <s v="Non-AC"/>
    <x v="449"/>
    <d v="2005-06-30T00:00:00"/>
    <n v="6.1789737171464303"/>
    <x v="5"/>
    <n v="676000"/>
    <n v="736000"/>
  </r>
  <r>
    <s v="Piya Goda"/>
    <s v="STU976"/>
    <s v="ENR976"/>
    <x v="4"/>
    <x v="0"/>
    <n v="4"/>
    <s v="Computer Science and Engineering"/>
    <x v="7"/>
    <n v="169000"/>
    <n v="154000"/>
    <n v="15000"/>
    <n v="0"/>
    <x v="0"/>
    <x v="2"/>
    <x v="7"/>
    <x v="6"/>
    <s v="India"/>
    <s v="daminiraman@example.org"/>
    <n v="917569000000"/>
    <x v="1"/>
    <n v="81"/>
    <n v="86"/>
    <s v="AC"/>
    <x v="450"/>
    <d v="2001-12-03T00:00:00"/>
    <n v="6.1789737171464303"/>
    <x v="6"/>
    <n v="676000"/>
    <n v="736000"/>
  </r>
  <r>
    <s v="Samar Borra"/>
    <s v="STU912"/>
    <s v="ENR912"/>
    <x v="4"/>
    <x v="0"/>
    <n v="4"/>
    <s v="Computer Science and Engineering"/>
    <x v="3"/>
    <n v="169000"/>
    <n v="154000"/>
    <n v="15000"/>
    <n v="0"/>
    <x v="0"/>
    <x v="1"/>
    <x v="0"/>
    <x v="0"/>
    <s v="India"/>
    <s v="cmaharaj@example.com"/>
    <n v="919799000000"/>
    <x v="3"/>
    <n v="81"/>
    <n v="74"/>
    <s v="AC"/>
    <x v="451"/>
    <d v="2005-11-29T00:00:00"/>
    <n v="6.1789737171464303"/>
    <x v="4"/>
    <n v="676000"/>
    <n v="736000"/>
  </r>
  <r>
    <s v="Veer Sura"/>
    <s v="STU276"/>
    <s v="ENR276"/>
    <x v="3"/>
    <x v="1"/>
    <n v="2"/>
    <s v="Computer Science Engineering"/>
    <x v="5"/>
    <n v="92000"/>
    <n v="77000"/>
    <n v="15000"/>
    <n v="0"/>
    <x v="0"/>
    <x v="1"/>
    <x v="6"/>
    <x v="3"/>
    <s v="India"/>
    <s v="tushar43@example.com"/>
    <n v="918551000000"/>
    <x v="2"/>
    <n v="81"/>
    <n v="62"/>
    <s v="AC"/>
    <x v="452"/>
    <d v="1996-09-10T00:00:00"/>
    <n v="6.1789737171464303"/>
    <x v="8"/>
    <n v="184000"/>
    <n v="214000"/>
  </r>
  <r>
    <s v="Hridaan Ghosh"/>
    <s v="STU125"/>
    <s v="ENR125"/>
    <x v="5"/>
    <x v="0"/>
    <n v="4"/>
    <s v="Computer Science and Engineering"/>
    <x v="0"/>
    <n v="169000"/>
    <n v="154000"/>
    <n v="15000"/>
    <n v="0"/>
    <x v="0"/>
    <x v="0"/>
    <x v="8"/>
    <x v="7"/>
    <s v="India"/>
    <s v="kimayashukla@example.com"/>
    <n v="918890000000"/>
    <x v="1"/>
    <n v="81"/>
    <n v="70"/>
    <s v="Non-AC"/>
    <x v="453"/>
    <d v="2001-08-23T00:00:00"/>
    <n v="6.1789737171464303"/>
    <x v="6"/>
    <n v="676000"/>
    <n v="736000"/>
  </r>
  <r>
    <s v="Khushi Solanki"/>
    <s v="STU704"/>
    <s v="ENR704"/>
    <x v="5"/>
    <x v="0"/>
    <n v="4"/>
    <s v="Computer Science and Engineering"/>
    <x v="1"/>
    <n v="169000"/>
    <n v="154000"/>
    <n v="15000"/>
    <n v="0"/>
    <x v="0"/>
    <x v="0"/>
    <x v="7"/>
    <x v="6"/>
    <s v="India"/>
    <s v="srinivasgatik@example.org"/>
    <n v="917867000000"/>
    <x v="2"/>
    <n v="81"/>
    <n v="72"/>
    <s v="AC"/>
    <x v="454"/>
    <d v="2000-12-05T00:00:00"/>
    <n v="6.1789737171464303"/>
    <x v="0"/>
    <n v="676000"/>
    <n v="736000"/>
  </r>
  <r>
    <s v="Diya Suri"/>
    <s v="STU553"/>
    <s v="ENR553"/>
    <x v="5"/>
    <x v="0"/>
    <n v="4"/>
    <s v="Computer Science and Engineering"/>
    <x v="9"/>
    <n v="169000"/>
    <n v="154000"/>
    <n v="15000"/>
    <n v="0"/>
    <x v="0"/>
    <x v="0"/>
    <x v="8"/>
    <x v="7"/>
    <s v="India"/>
    <s v="lagankapadia@example.net"/>
    <n v="919493000000"/>
    <x v="3"/>
    <n v="81"/>
    <n v="91"/>
    <s v="AC"/>
    <x v="455"/>
    <d v="2002-04-19T00:00:00"/>
    <n v="6.1789737171464303"/>
    <x v="6"/>
    <n v="676000"/>
    <n v="736000"/>
  </r>
  <r>
    <s v="Anya Johal"/>
    <s v="STU718"/>
    <s v="ENR718"/>
    <x v="1"/>
    <x v="0"/>
    <n v="4"/>
    <s v="Computer Science and Engineering"/>
    <x v="3"/>
    <n v="169000"/>
    <n v="154000"/>
    <n v="15000"/>
    <n v="0"/>
    <x v="0"/>
    <x v="0"/>
    <x v="7"/>
    <x v="6"/>
    <s v="India"/>
    <s v="fthaman@example.org"/>
    <n v="920000000000"/>
    <x v="1"/>
    <n v="81"/>
    <n v="68"/>
    <s v="AC"/>
    <x v="456"/>
    <d v="2005-11-06T00:00:00"/>
    <n v="6.1789737171464303"/>
    <x v="4"/>
    <n v="676000"/>
    <n v="736000"/>
  </r>
  <r>
    <s v="Shlok Bassi"/>
    <s v="STU545"/>
    <s v="ENR545"/>
    <x v="4"/>
    <x v="0"/>
    <n v="4"/>
    <s v="Computer Science and Engineering"/>
    <x v="1"/>
    <n v="169000"/>
    <n v="154000"/>
    <n v="15000"/>
    <n v="0"/>
    <x v="0"/>
    <x v="0"/>
    <x v="7"/>
    <x v="6"/>
    <s v="India"/>
    <s v="rasha84@example.org"/>
    <n v="919559000000"/>
    <x v="3"/>
    <n v="81"/>
    <n v="65"/>
    <s v="Non-AC"/>
    <x v="457"/>
    <d v="2004-09-16T00:00:00"/>
    <n v="6.1789737171464303"/>
    <x v="5"/>
    <n v="676000"/>
    <n v="736000"/>
  </r>
  <r>
    <s v="Dhanuk Rajagopalan"/>
    <s v="STU291"/>
    <s v="ENR291"/>
    <x v="2"/>
    <x v="0"/>
    <n v="4"/>
    <s v="Computer Science and Engineering"/>
    <x v="4"/>
    <n v="169000"/>
    <n v="154000"/>
    <n v="15000"/>
    <n v="0"/>
    <x v="0"/>
    <x v="1"/>
    <x v="9"/>
    <x v="8"/>
    <s v="India"/>
    <s v="adira26@example.org"/>
    <n v="919617000000"/>
    <x v="4"/>
    <n v="81"/>
    <n v="91"/>
    <s v="Non-AC"/>
    <x v="458"/>
    <d v="2002-02-27T00:00:00"/>
    <n v="6.1789737171464303"/>
    <x v="6"/>
    <n v="676000"/>
    <n v="736000"/>
  </r>
  <r>
    <s v="Aarav Vora"/>
    <s v="STU543"/>
    <s v="ENR543"/>
    <x v="2"/>
    <x v="0"/>
    <n v="4"/>
    <s v="Computer Science and Engineering"/>
    <x v="4"/>
    <n v="169000"/>
    <n v="154000"/>
    <n v="15000"/>
    <n v="0"/>
    <x v="0"/>
    <x v="1"/>
    <x v="3"/>
    <x v="3"/>
    <s v="India"/>
    <s v="bhattdhanuk@example.net"/>
    <n v="919088000000"/>
    <x v="2"/>
    <n v="81"/>
    <n v="71"/>
    <s v="AC"/>
    <x v="459"/>
    <d v="2004-02-02T00:00:00"/>
    <n v="6.1789737171464303"/>
    <x v="3"/>
    <n v="676000"/>
    <n v="736000"/>
  </r>
  <r>
    <s v="Miraan Singh"/>
    <s v="STU1066"/>
    <s v="ENR1066"/>
    <x v="5"/>
    <x v="0"/>
    <n v="4"/>
    <s v="Computer Science and Engineering"/>
    <x v="9"/>
    <n v="169000"/>
    <n v="154000"/>
    <n v="15000"/>
    <n v="0"/>
    <x v="0"/>
    <x v="2"/>
    <x v="6"/>
    <x v="3"/>
    <s v="India"/>
    <s v="indranil19@example.org"/>
    <n v="917297000000"/>
    <x v="3"/>
    <n v="81"/>
    <n v="76"/>
    <s v="Non-AC"/>
    <x v="460"/>
    <d v="2003-07-06T00:00:00"/>
    <n v="6.1789737171464303"/>
    <x v="2"/>
    <n v="676000"/>
    <n v="736000"/>
  </r>
  <r>
    <s v="Drishya Aggarwal"/>
    <s v="STU473"/>
    <s v="ENR473"/>
    <x v="1"/>
    <x v="1"/>
    <n v="2"/>
    <s v="Computer Science Engineering"/>
    <x v="5"/>
    <n v="92000"/>
    <n v="77000"/>
    <n v="15000"/>
    <n v="0"/>
    <x v="0"/>
    <x v="1"/>
    <x v="3"/>
    <x v="3"/>
    <s v="India"/>
    <s v="nitaradeshmukh@example.com"/>
    <n v="918147000000"/>
    <x v="1"/>
    <n v="81"/>
    <n v="74"/>
    <s v="Non-AC"/>
    <x v="461"/>
    <d v="1998-05-24T00:00:00"/>
    <n v="6.1789737171464303"/>
    <x v="9"/>
    <n v="184000"/>
    <n v="214000"/>
  </r>
  <r>
    <s v="Aayush Tara"/>
    <s v="STU1000"/>
    <s v="ENR1000"/>
    <x v="3"/>
    <x v="0"/>
    <n v="4"/>
    <s v="Computer Science and Engineering"/>
    <x v="5"/>
    <n v="169000"/>
    <n v="154000"/>
    <n v="15000"/>
    <n v="0"/>
    <x v="0"/>
    <x v="1"/>
    <x v="7"/>
    <x v="6"/>
    <s v="India"/>
    <s v="fdugar@example.com"/>
    <n v="917249000000"/>
    <x v="1"/>
    <n v="81"/>
    <n v="75"/>
    <s v="Non-AC"/>
    <x v="462"/>
    <d v="2000-07-29T00:00:00"/>
    <n v="6.1789737171464303"/>
    <x v="0"/>
    <n v="676000"/>
    <n v="736000"/>
  </r>
  <r>
    <s v="Eshani Dhawan"/>
    <s v="STU522"/>
    <s v="ENR522"/>
    <x v="5"/>
    <x v="0"/>
    <n v="4"/>
    <s v="Computer Science and Engineering"/>
    <x v="0"/>
    <n v="169000"/>
    <n v="154000"/>
    <n v="15000"/>
    <n v="0"/>
    <x v="0"/>
    <x v="1"/>
    <x v="7"/>
    <x v="6"/>
    <s v="India"/>
    <s v="mannatkalita@example.org"/>
    <n v="919530000000"/>
    <x v="2"/>
    <n v="81"/>
    <n v="79"/>
    <s v="Non-AC"/>
    <x v="463"/>
    <d v="2002-03-06T00:00:00"/>
    <n v="6.1789737171464303"/>
    <x v="6"/>
    <n v="676000"/>
    <n v="736000"/>
  </r>
  <r>
    <s v="Trisha Gill"/>
    <s v="STU173"/>
    <s v="ENR173"/>
    <x v="4"/>
    <x v="1"/>
    <n v="2"/>
    <s v="Computer Science Engineering"/>
    <x v="5"/>
    <n v="92000"/>
    <n v="77000"/>
    <n v="15000"/>
    <n v="0"/>
    <x v="0"/>
    <x v="0"/>
    <x v="8"/>
    <x v="7"/>
    <s v="India"/>
    <s v="nbumb@example.net"/>
    <n v="918753000000"/>
    <x v="4"/>
    <n v="81"/>
    <n v="92"/>
    <s v="AC"/>
    <x v="464"/>
    <d v="1999-04-10T00:00:00"/>
    <n v="6.1789737171464303"/>
    <x v="7"/>
    <n v="184000"/>
    <n v="214000"/>
  </r>
  <r>
    <s v="Zaina Golla"/>
    <s v="STU519"/>
    <s v="ENR519"/>
    <x v="2"/>
    <x v="0"/>
    <n v="4"/>
    <s v="Computer Science and Engineering"/>
    <x v="4"/>
    <n v="169000"/>
    <n v="154000"/>
    <n v="15000"/>
    <n v="0"/>
    <x v="0"/>
    <x v="1"/>
    <x v="0"/>
    <x v="0"/>
    <s v="India"/>
    <s v="gatikbehl@example.net"/>
    <n v="918317000000"/>
    <x v="0"/>
    <n v="81"/>
    <n v="85"/>
    <s v="Non-AC"/>
    <x v="465"/>
    <d v="2004-05-04T00:00:00"/>
    <n v="6.1789737171464303"/>
    <x v="3"/>
    <n v="676000"/>
    <n v="736000"/>
  </r>
  <r>
    <s v="Onkar Vasa"/>
    <s v="STU409"/>
    <s v="ENR409"/>
    <x v="2"/>
    <x v="1"/>
    <n v="2"/>
    <s v="Computer Science Engineering"/>
    <x v="3"/>
    <n v="92000"/>
    <n v="77000"/>
    <n v="15000"/>
    <n v="0"/>
    <x v="0"/>
    <x v="2"/>
    <x v="0"/>
    <x v="0"/>
    <s v="India"/>
    <s v="zainbhavsar@example.net"/>
    <n v="917097000000"/>
    <x v="0"/>
    <n v="81"/>
    <n v="80"/>
    <s v="Non-AC"/>
    <x v="466"/>
    <d v="2000-02-09T00:00:00"/>
    <n v="6.1789737171464303"/>
    <x v="1"/>
    <n v="184000"/>
    <n v="214000"/>
  </r>
  <r>
    <s v="Bhavin Iyer"/>
    <s v="STU776"/>
    <s v="ENR776"/>
    <x v="1"/>
    <x v="0"/>
    <n v="4"/>
    <s v="Computer Science and Engineering"/>
    <x v="7"/>
    <n v="169000"/>
    <n v="154000"/>
    <n v="15000"/>
    <n v="0"/>
    <x v="0"/>
    <x v="2"/>
    <x v="0"/>
    <x v="0"/>
    <s v="India"/>
    <s v="ymahal@example.net"/>
    <n v="917357000000"/>
    <x v="0"/>
    <n v="81"/>
    <n v="73"/>
    <s v="Non-AC"/>
    <x v="467"/>
    <d v="2005-02-17T00:00:00"/>
    <n v="6.1789737171464303"/>
    <x v="5"/>
    <n v="676000"/>
    <n v="736000"/>
  </r>
  <r>
    <s v="Zeeshan Iyer"/>
    <s v="STU275"/>
    <s v="ENR275"/>
    <x v="2"/>
    <x v="0"/>
    <n v="4"/>
    <s v="Computer Science and Engineering"/>
    <x v="9"/>
    <n v="169000"/>
    <n v="154000"/>
    <n v="15000"/>
    <n v="0"/>
    <x v="0"/>
    <x v="2"/>
    <x v="2"/>
    <x v="2"/>
    <s v="India"/>
    <s v="amani66@example.com"/>
    <n v="918289000000"/>
    <x v="4"/>
    <n v="81"/>
    <n v="82"/>
    <s v="AC"/>
    <x v="468"/>
    <d v="2000-11-01T00:00:00"/>
    <n v="6.1789737171464303"/>
    <x v="0"/>
    <n v="676000"/>
    <n v="736000"/>
  </r>
  <r>
    <s v="Lavanya Varughese"/>
    <s v="STU164"/>
    <s v="ENR164"/>
    <x v="2"/>
    <x v="0"/>
    <n v="4"/>
    <s v="Computer Science and Engineering"/>
    <x v="1"/>
    <n v="169000"/>
    <n v="154000"/>
    <n v="15000"/>
    <n v="0"/>
    <x v="0"/>
    <x v="0"/>
    <x v="0"/>
    <x v="0"/>
    <s v="India"/>
    <s v="abram48@example.net"/>
    <n v="918467000000"/>
    <x v="2"/>
    <n v="81"/>
    <n v="83"/>
    <s v="Non-AC"/>
    <x v="469"/>
    <d v="2003-04-20T00:00:00"/>
    <n v="6.1789737171464303"/>
    <x v="2"/>
    <n v="676000"/>
    <n v="736000"/>
  </r>
  <r>
    <s v="Aarav Raman"/>
    <s v="STU401"/>
    <s v="ENR401"/>
    <x v="3"/>
    <x v="1"/>
    <n v="2"/>
    <s v="Computer Science Engineering"/>
    <x v="3"/>
    <n v="92000"/>
    <n v="77000"/>
    <n v="15000"/>
    <n v="0"/>
    <x v="0"/>
    <x v="2"/>
    <x v="2"/>
    <x v="2"/>
    <s v="India"/>
    <s v="jayeshmajumdar@example.org"/>
    <n v="919523000000"/>
    <x v="1"/>
    <n v="81"/>
    <n v="91"/>
    <s v="Non-AC"/>
    <x v="470"/>
    <d v="2000-08-28T00:00:00"/>
    <n v="6.1789737171464303"/>
    <x v="0"/>
    <n v="184000"/>
    <n v="214000"/>
  </r>
  <r>
    <s v="Uthkarsh Singhal"/>
    <s v="STU474"/>
    <s v="ENR474"/>
    <x v="3"/>
    <x v="0"/>
    <n v="4"/>
    <s v="Computer Science and Engineering"/>
    <x v="8"/>
    <n v="169000"/>
    <n v="154000"/>
    <n v="15000"/>
    <n v="0"/>
    <x v="0"/>
    <x v="1"/>
    <x v="0"/>
    <x v="0"/>
    <s v="India"/>
    <s v="pranaysuri@example.net"/>
    <n v="919149000000"/>
    <x v="4"/>
    <n v="81"/>
    <n v="65"/>
    <s v="AC"/>
    <x v="471"/>
    <d v="2006-05-30T00:00:00"/>
    <n v="6.1789737171464303"/>
    <x v="4"/>
    <n v="676000"/>
    <n v="736000"/>
  </r>
  <r>
    <s v="Amira Samra"/>
    <s v="STU473"/>
    <s v="ENR473"/>
    <x v="1"/>
    <x v="0"/>
    <n v="4"/>
    <s v="Computer Science and Engineering"/>
    <x v="4"/>
    <n v="169000"/>
    <n v="154000"/>
    <n v="15000"/>
    <n v="0"/>
    <x v="0"/>
    <x v="2"/>
    <x v="5"/>
    <x v="5"/>
    <s v="India"/>
    <s v="vanya70@example.net"/>
    <n v="918531000000"/>
    <x v="3"/>
    <n v="81"/>
    <n v="88"/>
    <s v="AC"/>
    <x v="472"/>
    <d v="2005-11-11T00:00:00"/>
    <n v="6.1789737171464303"/>
    <x v="4"/>
    <n v="676000"/>
    <n v="736000"/>
  </r>
  <r>
    <s v="Madhav Lala"/>
    <s v="STU959"/>
    <s v="ENR959"/>
    <x v="3"/>
    <x v="0"/>
    <n v="4"/>
    <s v="Computer Science and Engineering"/>
    <x v="7"/>
    <n v="169000"/>
    <n v="154000"/>
    <n v="15000"/>
    <n v="0"/>
    <x v="0"/>
    <x v="1"/>
    <x v="9"/>
    <x v="8"/>
    <s v="India"/>
    <s v="hbrar@example.com"/>
    <n v="918365000000"/>
    <x v="3"/>
    <n v="81"/>
    <n v="70"/>
    <s v="AC"/>
    <x v="473"/>
    <d v="2002-02-25T00:00:00"/>
    <n v="6.1789737171464303"/>
    <x v="6"/>
    <n v="676000"/>
    <n v="736000"/>
  </r>
  <r>
    <s v="Shalv Bera"/>
    <s v="STU447"/>
    <s v="ENR447"/>
    <x v="3"/>
    <x v="0"/>
    <n v="4"/>
    <s v="Computer Science and Engineering"/>
    <x v="6"/>
    <n v="169000"/>
    <n v="154000"/>
    <n v="15000"/>
    <n v="0"/>
    <x v="0"/>
    <x v="0"/>
    <x v="8"/>
    <x v="7"/>
    <s v="India"/>
    <s v="iragulati@example.net"/>
    <n v="918522000000"/>
    <x v="0"/>
    <n v="81"/>
    <n v="92"/>
    <s v="AC"/>
    <x v="474"/>
    <d v="2004-01-23T00:00:00"/>
    <n v="6.1789737171464303"/>
    <x v="3"/>
    <n v="676000"/>
    <n v="736000"/>
  </r>
  <r>
    <s v="Ishita Krish"/>
    <s v="STU859"/>
    <s v="ENR859"/>
    <x v="4"/>
    <x v="0"/>
    <n v="4"/>
    <s v="Computer Science and Engineering"/>
    <x v="5"/>
    <n v="169000"/>
    <n v="154000"/>
    <n v="15000"/>
    <n v="0"/>
    <x v="0"/>
    <x v="0"/>
    <x v="2"/>
    <x v="2"/>
    <s v="India"/>
    <s v="taimur09@example.com"/>
    <n v="917519000000"/>
    <x v="4"/>
    <n v="81"/>
    <n v="76"/>
    <s v="AC"/>
    <x v="475"/>
    <d v="2005-04-23T00:00:00"/>
    <n v="6.1789737171464303"/>
    <x v="5"/>
    <n v="676000"/>
    <n v="736000"/>
  </r>
  <r>
    <s v="Ojas Jha"/>
    <s v="STU948"/>
    <s v="ENR948"/>
    <x v="3"/>
    <x v="0"/>
    <n v="4"/>
    <s v="Computer Science and Engineering"/>
    <x v="1"/>
    <n v="169000"/>
    <n v="154000"/>
    <n v="15000"/>
    <n v="0"/>
    <x v="0"/>
    <x v="1"/>
    <x v="3"/>
    <x v="3"/>
    <s v="India"/>
    <s v="seshadriivana@example.org"/>
    <n v="918248000000"/>
    <x v="0"/>
    <n v="81"/>
    <n v="64"/>
    <s v="AC"/>
    <x v="476"/>
    <d v="2003-11-26T00:00:00"/>
    <n v="6.1789737171464303"/>
    <x v="3"/>
    <n v="676000"/>
    <n v="736000"/>
  </r>
  <r>
    <s v="Vidur Kala"/>
    <s v="STU433"/>
    <s v="ENR433"/>
    <x v="0"/>
    <x v="1"/>
    <n v="2"/>
    <s v="Computer Science Engineering"/>
    <x v="0"/>
    <n v="92000"/>
    <n v="77000"/>
    <n v="15000"/>
    <n v="0"/>
    <x v="0"/>
    <x v="2"/>
    <x v="8"/>
    <x v="7"/>
    <s v="India"/>
    <s v="adira03@example.com"/>
    <n v="917828000000"/>
    <x v="3"/>
    <n v="81"/>
    <n v="67"/>
    <s v="AC"/>
    <x v="477"/>
    <d v="1996-12-03T00:00:00"/>
    <n v="6.1789737171464303"/>
    <x v="8"/>
    <n v="184000"/>
    <n v="214000"/>
  </r>
  <r>
    <s v="Samar Dora"/>
    <s v="STU1092"/>
    <s v="ENR1092"/>
    <x v="0"/>
    <x v="0"/>
    <n v="4"/>
    <s v="Computer Science and Engineering"/>
    <x v="1"/>
    <n v="169000"/>
    <n v="154000"/>
    <n v="15000"/>
    <n v="0"/>
    <x v="0"/>
    <x v="0"/>
    <x v="3"/>
    <x v="3"/>
    <s v="India"/>
    <s v="shayak65@example.com"/>
    <n v="917701000000"/>
    <x v="1"/>
    <n v="81"/>
    <n v="87"/>
    <s v="AC"/>
    <x v="478"/>
    <d v="2004-10-28T00:00:00"/>
    <n v="6.1789737171464303"/>
    <x v="5"/>
    <n v="676000"/>
    <n v="736000"/>
  </r>
  <r>
    <s v="Diya Ray"/>
    <s v="STU428"/>
    <s v="ENR428"/>
    <x v="3"/>
    <x v="1"/>
    <n v="2"/>
    <s v="Computer Science Engineering"/>
    <x v="5"/>
    <n v="92000"/>
    <n v="77000"/>
    <n v="15000"/>
    <n v="0"/>
    <x v="0"/>
    <x v="1"/>
    <x v="4"/>
    <x v="4"/>
    <s v="India"/>
    <s v="karijayant@example.com"/>
    <n v="917210000000"/>
    <x v="2"/>
    <n v="81"/>
    <n v="82"/>
    <s v="AC"/>
    <x v="479"/>
    <d v="1999-12-13T00:00:00"/>
    <n v="6.1789737171464303"/>
    <x v="1"/>
    <n v="184000"/>
    <n v="214000"/>
  </r>
  <r>
    <s v="Azad Varty"/>
    <s v="STU1094"/>
    <s v="ENR1094"/>
    <x v="0"/>
    <x v="0"/>
    <n v="4"/>
    <s v="Computer Science and Engineering"/>
    <x v="6"/>
    <n v="169000"/>
    <n v="154000"/>
    <n v="15000"/>
    <n v="0"/>
    <x v="0"/>
    <x v="1"/>
    <x v="8"/>
    <x v="7"/>
    <s v="India"/>
    <s v="ikeer@example.net"/>
    <n v="918730000000"/>
    <x v="1"/>
    <n v="81"/>
    <n v="60"/>
    <s v="AC"/>
    <x v="480"/>
    <d v="2004-11-11T00:00:00"/>
    <n v="6.1789737171464303"/>
    <x v="5"/>
    <n v="676000"/>
    <n v="736000"/>
  </r>
  <r>
    <s v="Yasmin De"/>
    <s v="STU616"/>
    <s v="ENR616"/>
    <x v="0"/>
    <x v="0"/>
    <n v="4"/>
    <s v="Computer Science and Engineering"/>
    <x v="7"/>
    <n v="169000"/>
    <n v="154000"/>
    <n v="15000"/>
    <n v="0"/>
    <x v="0"/>
    <x v="2"/>
    <x v="8"/>
    <x v="7"/>
    <s v="India"/>
    <s v="sonihazel@example.net"/>
    <n v="919473000000"/>
    <x v="2"/>
    <n v="81"/>
    <n v="91"/>
    <s v="Non-AC"/>
    <x v="481"/>
    <d v="2001-12-06T00:00:00"/>
    <n v="6.1789737171464303"/>
    <x v="6"/>
    <n v="676000"/>
    <n v="736000"/>
  </r>
  <r>
    <s v="Shlok Hayer"/>
    <s v="STU051"/>
    <s v="ENR051"/>
    <x v="3"/>
    <x v="0"/>
    <n v="4"/>
    <s v="Computer Science and Engineering"/>
    <x v="3"/>
    <n v="169000"/>
    <n v="154000"/>
    <n v="15000"/>
    <n v="0"/>
    <x v="0"/>
    <x v="0"/>
    <x v="5"/>
    <x v="5"/>
    <s v="India"/>
    <s v="nayantara66@example.net"/>
    <n v="918387000000"/>
    <x v="1"/>
    <n v="81"/>
    <n v="80"/>
    <s v="AC"/>
    <x v="482"/>
    <d v="2005-10-26T00:00:00"/>
    <n v="6.1789737171464303"/>
    <x v="4"/>
    <n v="676000"/>
    <n v="736000"/>
  </r>
  <r>
    <s v="Neysa Bansal"/>
    <s v="STU401"/>
    <s v="ENR401"/>
    <x v="5"/>
    <x v="0"/>
    <n v="4"/>
    <s v="Computer Science and Engineering"/>
    <x v="0"/>
    <n v="169000"/>
    <n v="154000"/>
    <n v="15000"/>
    <n v="0"/>
    <x v="0"/>
    <x v="0"/>
    <x v="8"/>
    <x v="7"/>
    <s v="India"/>
    <s v="ttripathi@example.net"/>
    <n v="917786000000"/>
    <x v="2"/>
    <n v="81"/>
    <n v="83"/>
    <s v="AC"/>
    <x v="483"/>
    <d v="2001-02-16T00:00:00"/>
    <n v="6.1789737171464303"/>
    <x v="0"/>
    <n v="676000"/>
    <n v="736000"/>
  </r>
  <r>
    <s v="Sana Yadav"/>
    <s v="STU245"/>
    <s v="ENR245"/>
    <x v="1"/>
    <x v="0"/>
    <n v="4"/>
    <s v="Computer Science and Engineering"/>
    <x v="7"/>
    <n v="169000"/>
    <n v="154000"/>
    <n v="15000"/>
    <n v="0"/>
    <x v="0"/>
    <x v="1"/>
    <x v="6"/>
    <x v="3"/>
    <s v="India"/>
    <s v="lseshadri@example.net"/>
    <n v="919174000000"/>
    <x v="0"/>
    <n v="81"/>
    <n v="72"/>
    <s v="AC"/>
    <x v="484"/>
    <d v="2006-06-16T00:00:00"/>
    <n v="6.1789737171464303"/>
    <x v="4"/>
    <n v="676000"/>
    <n v="736000"/>
  </r>
  <r>
    <s v="Vaibhav Kakar"/>
    <s v="STU422"/>
    <s v="ENR422"/>
    <x v="4"/>
    <x v="1"/>
    <n v="2"/>
    <s v="Computer Science Engineering"/>
    <x v="4"/>
    <n v="92000"/>
    <n v="77000"/>
    <n v="15000"/>
    <n v="0"/>
    <x v="0"/>
    <x v="1"/>
    <x v="6"/>
    <x v="3"/>
    <s v="India"/>
    <s v="vkhosla@example.com"/>
    <n v="917037000000"/>
    <x v="1"/>
    <n v="81"/>
    <n v="73"/>
    <s v="Non-AC"/>
    <x v="485"/>
    <d v="2000-05-20T00:00:00"/>
    <n v="6.1789737171464303"/>
    <x v="1"/>
    <n v="184000"/>
    <n v="214000"/>
  </r>
  <r>
    <s v="Vedika Gola"/>
    <s v="STU427"/>
    <s v="ENR427"/>
    <x v="3"/>
    <x v="1"/>
    <n v="2"/>
    <s v="Computer Science Engineering"/>
    <x v="3"/>
    <n v="92000"/>
    <n v="77000"/>
    <n v="15000"/>
    <n v="0"/>
    <x v="0"/>
    <x v="1"/>
    <x v="7"/>
    <x v="6"/>
    <s v="India"/>
    <s v="dixitira@example.org"/>
    <n v="917409000000"/>
    <x v="4"/>
    <n v="81"/>
    <n v="73"/>
    <s v="AC"/>
    <x v="486"/>
    <d v="2001-12-24T00:00:00"/>
    <n v="6.1789737171464303"/>
    <x v="6"/>
    <n v="184000"/>
    <n v="214000"/>
  </r>
  <r>
    <s v="Kavya Agarwal"/>
    <s v="STU379"/>
    <s v="ENR379"/>
    <x v="5"/>
    <x v="0"/>
    <n v="4"/>
    <s v="Computer Science and Engineering"/>
    <x v="5"/>
    <n v="169000"/>
    <n v="154000"/>
    <n v="15000"/>
    <n v="0"/>
    <x v="0"/>
    <x v="1"/>
    <x v="1"/>
    <x v="1"/>
    <s v="India"/>
    <s v="ndatta@example.org"/>
    <n v="919720000000"/>
    <x v="0"/>
    <n v="81"/>
    <n v="64"/>
    <s v="AC"/>
    <x v="487"/>
    <d v="2004-02-11T00:00:00"/>
    <n v="6.1789737171464303"/>
    <x v="3"/>
    <n v="676000"/>
    <n v="736000"/>
  </r>
  <r>
    <s v="Manikya Banik"/>
    <s v="STU327"/>
    <s v="ENR327"/>
    <x v="0"/>
    <x v="1"/>
    <n v="2"/>
    <s v="Computer Science Engineering"/>
    <x v="3"/>
    <n v="92000"/>
    <n v="77000"/>
    <n v="15000"/>
    <n v="0"/>
    <x v="0"/>
    <x v="1"/>
    <x v="9"/>
    <x v="8"/>
    <s v="India"/>
    <s v="chadsaanvi@example.com"/>
    <n v="919679000000"/>
    <x v="3"/>
    <n v="81"/>
    <n v="75"/>
    <s v="AC"/>
    <x v="488"/>
    <d v="1999-07-11T00:00:00"/>
    <n v="6.1789737171464303"/>
    <x v="1"/>
    <n v="184000"/>
    <n v="214000"/>
  </r>
  <r>
    <s v="Tushar Tandon"/>
    <s v="STU380"/>
    <s v="ENR380"/>
    <x v="3"/>
    <x v="0"/>
    <n v="4"/>
    <s v="Computer Science and Engineering"/>
    <x v="4"/>
    <n v="169000"/>
    <n v="154000"/>
    <n v="15000"/>
    <n v="0"/>
    <x v="0"/>
    <x v="1"/>
    <x v="9"/>
    <x v="8"/>
    <s v="India"/>
    <s v="kallahunar@example.org"/>
    <n v="917608000000"/>
    <x v="3"/>
    <n v="81"/>
    <n v="76"/>
    <s v="AC"/>
    <x v="489"/>
    <d v="2003-12-08T00:00:00"/>
    <n v="6.1789737171464303"/>
    <x v="3"/>
    <n v="676000"/>
    <n v="736000"/>
  </r>
  <r>
    <s v="Stuvan Sodhi"/>
    <s v="STU855"/>
    <s v="ENR855"/>
    <x v="2"/>
    <x v="0"/>
    <n v="4"/>
    <s v="Computer Science and Engineering"/>
    <x v="4"/>
    <n v="169000"/>
    <n v="154000"/>
    <n v="15000"/>
    <n v="0"/>
    <x v="0"/>
    <x v="1"/>
    <x v="2"/>
    <x v="2"/>
    <s v="India"/>
    <s v="taimurmani@example.net"/>
    <n v="917607000000"/>
    <x v="3"/>
    <n v="81"/>
    <n v="64"/>
    <s v="Non-AC"/>
    <x v="490"/>
    <d v="2002-06-22T00:00:00"/>
    <n v="6.1789737171464303"/>
    <x v="6"/>
    <n v="676000"/>
    <n v="736000"/>
  </r>
  <r>
    <s v="Shayak Sekhon"/>
    <s v="STU560"/>
    <s v="ENR560"/>
    <x v="5"/>
    <x v="0"/>
    <n v="4"/>
    <s v="Computer Science and Engineering"/>
    <x v="5"/>
    <n v="169000"/>
    <n v="154000"/>
    <n v="15000"/>
    <n v="0"/>
    <x v="0"/>
    <x v="1"/>
    <x v="4"/>
    <x v="4"/>
    <s v="India"/>
    <s v="desaimiraya@example.com"/>
    <n v="918925000000"/>
    <x v="0"/>
    <n v="81"/>
    <n v="60"/>
    <s v="AC"/>
    <x v="491"/>
    <d v="2003-10-12T00:00:00"/>
    <n v="6.1789737171464303"/>
    <x v="3"/>
    <n v="676000"/>
    <n v="736000"/>
  </r>
  <r>
    <s v="Nayantara Sekhon"/>
    <s v="STU1156"/>
    <s v="ENR1156"/>
    <x v="4"/>
    <x v="0"/>
    <n v="4"/>
    <s v="Computer Science and Engineering"/>
    <x v="3"/>
    <n v="169000"/>
    <n v="154000"/>
    <n v="15000"/>
    <n v="0"/>
    <x v="0"/>
    <x v="0"/>
    <x v="9"/>
    <x v="8"/>
    <s v="India"/>
    <s v="aradhya36@example.net"/>
    <n v="918881000000"/>
    <x v="2"/>
    <n v="81"/>
    <n v="85"/>
    <s v="AC"/>
    <x v="492"/>
    <d v="2005-03-17T00:00:00"/>
    <n v="6.1789737171464303"/>
    <x v="5"/>
    <n v="676000"/>
    <n v="736000"/>
  </r>
  <r>
    <s v="Vidur Bassi"/>
    <s v="STU1147"/>
    <s v="ENR1147"/>
    <x v="3"/>
    <x v="0"/>
    <n v="4"/>
    <s v="Computer Science and Engineering"/>
    <x v="9"/>
    <n v="169000"/>
    <n v="154000"/>
    <n v="15000"/>
    <n v="0"/>
    <x v="0"/>
    <x v="0"/>
    <x v="2"/>
    <x v="2"/>
    <s v="India"/>
    <s v="virkkrish@example.net"/>
    <n v="917868000000"/>
    <x v="0"/>
    <n v="81"/>
    <n v="62"/>
    <s v="Non-AC"/>
    <x v="493"/>
    <d v="2005-08-07T00:00:00"/>
    <n v="6.1789737171464303"/>
    <x v="4"/>
    <n v="676000"/>
    <n v="736000"/>
  </r>
  <r>
    <s v="Nirvaan Arora"/>
    <s v="STU073"/>
    <s v="ENR073"/>
    <x v="3"/>
    <x v="0"/>
    <n v="4"/>
    <s v="Computer Science and Engineering"/>
    <x v="6"/>
    <n v="169000"/>
    <n v="154000"/>
    <n v="15000"/>
    <n v="0"/>
    <x v="0"/>
    <x v="0"/>
    <x v="2"/>
    <x v="2"/>
    <s v="India"/>
    <s v="purabmadan@example.com"/>
    <n v="917935000000"/>
    <x v="0"/>
    <n v="80"/>
    <n v="69"/>
    <s v="Non-AC"/>
    <x v="494"/>
    <d v="2004-04-28T00:00:00"/>
    <n v="5.1789737171464303"/>
    <x v="3"/>
    <n v="676000"/>
    <n v="736000"/>
  </r>
  <r>
    <s v="Shlok Bakshi"/>
    <s v="STU124"/>
    <s v="ENR124"/>
    <x v="2"/>
    <x v="0"/>
    <n v="4"/>
    <s v="Computer Science and Engineering"/>
    <x v="5"/>
    <n v="169000"/>
    <n v="154000"/>
    <n v="15000"/>
    <n v="0"/>
    <x v="0"/>
    <x v="1"/>
    <x v="6"/>
    <x v="3"/>
    <s v="India"/>
    <s v="ryananne@example.net"/>
    <n v="918391000000"/>
    <x v="4"/>
    <n v="80"/>
    <n v="65"/>
    <s v="AC"/>
    <x v="495"/>
    <d v="2003-07-27T00:00:00"/>
    <n v="5.1789737171464303"/>
    <x v="3"/>
    <n v="676000"/>
    <n v="736000"/>
  </r>
  <r>
    <s v="Vihaan Kadakia"/>
    <s v="STU594"/>
    <s v="ENR594"/>
    <x v="4"/>
    <x v="0"/>
    <n v="4"/>
    <s v="Computer Science and Engineering"/>
    <x v="5"/>
    <n v="169000"/>
    <n v="154000"/>
    <n v="15000"/>
    <n v="0"/>
    <x v="0"/>
    <x v="0"/>
    <x v="6"/>
    <x v="3"/>
    <s v="India"/>
    <s v="raunakwarrior@example.net"/>
    <n v="917825000000"/>
    <x v="4"/>
    <n v="80"/>
    <n v="86"/>
    <s v="Non-AC"/>
    <x v="496"/>
    <d v="2003-03-13T00:00:00"/>
    <n v="5.1789737171464303"/>
    <x v="2"/>
    <n v="676000"/>
    <n v="736000"/>
  </r>
  <r>
    <s v="Vardaniya Kala"/>
    <s v="STU294"/>
    <s v="ENR294"/>
    <x v="3"/>
    <x v="1"/>
    <n v="2"/>
    <s v="Computer Science Engineering"/>
    <x v="1"/>
    <n v="92000"/>
    <n v="77000"/>
    <n v="15000"/>
    <n v="0"/>
    <x v="0"/>
    <x v="0"/>
    <x v="7"/>
    <x v="6"/>
    <s v="India"/>
    <s v="utoor@example.com"/>
    <n v="919941000000"/>
    <x v="3"/>
    <n v="80"/>
    <n v="66"/>
    <s v="AC"/>
    <x v="497"/>
    <d v="1996-12-21T00:00:00"/>
    <n v="5.1789737171464303"/>
    <x v="8"/>
    <n v="184000"/>
    <n v="214000"/>
  </r>
  <r>
    <s v="Arnav Mand"/>
    <s v="STU397"/>
    <s v="ENR397"/>
    <x v="5"/>
    <x v="1"/>
    <n v="2"/>
    <s v="Computer Science Engineering"/>
    <x v="4"/>
    <n v="92000"/>
    <n v="77000"/>
    <n v="15000"/>
    <n v="0"/>
    <x v="0"/>
    <x v="2"/>
    <x v="4"/>
    <x v="4"/>
    <s v="India"/>
    <s v="mehul26@example.org"/>
    <n v="918613000000"/>
    <x v="4"/>
    <n v="80"/>
    <n v="71"/>
    <s v="Non-AC"/>
    <x v="498"/>
    <d v="1997-05-29T00:00:00"/>
    <n v="5.1789737171464303"/>
    <x v="8"/>
    <n v="184000"/>
    <n v="214000"/>
  </r>
  <r>
    <s v="Nayantara Sethi"/>
    <s v="STU324"/>
    <s v="ENR324"/>
    <x v="1"/>
    <x v="1"/>
    <n v="2"/>
    <s v="Computer Science Engineering"/>
    <x v="0"/>
    <n v="92000"/>
    <n v="77000"/>
    <n v="15000"/>
    <n v="0"/>
    <x v="0"/>
    <x v="2"/>
    <x v="1"/>
    <x v="1"/>
    <s v="India"/>
    <s v="jayanramanathan@example.net"/>
    <n v="919076000000"/>
    <x v="3"/>
    <n v="80"/>
    <n v="77"/>
    <s v="Non-AC"/>
    <x v="499"/>
    <d v="2001-05-03T00:00:00"/>
    <n v="5.1789737171464303"/>
    <x v="0"/>
    <n v="184000"/>
    <n v="214000"/>
  </r>
  <r>
    <s v="Rasha Dube"/>
    <s v="STU004"/>
    <s v="ENR004"/>
    <x v="5"/>
    <x v="0"/>
    <n v="4"/>
    <s v="Computer Science and Engineering"/>
    <x v="9"/>
    <n v="169000"/>
    <n v="154000"/>
    <n v="15000"/>
    <n v="0"/>
    <x v="0"/>
    <x v="2"/>
    <x v="4"/>
    <x v="4"/>
    <s v="India"/>
    <s v="xchoudhary@example.org"/>
    <n v="919343000000"/>
    <x v="2"/>
    <n v="80"/>
    <n v="79"/>
    <s v="Non-AC"/>
    <x v="500"/>
    <d v="2006-02-23T00:00:00"/>
    <n v="5.1789737171464303"/>
    <x v="4"/>
    <n v="676000"/>
    <n v="736000"/>
  </r>
  <r>
    <s v="Rania Contractor"/>
    <s v="STU470"/>
    <s v="ENR470"/>
    <x v="1"/>
    <x v="1"/>
    <n v="2"/>
    <s v="Computer Science Engineering"/>
    <x v="6"/>
    <n v="92000"/>
    <n v="77000"/>
    <n v="15000"/>
    <n v="0"/>
    <x v="0"/>
    <x v="0"/>
    <x v="5"/>
    <x v="5"/>
    <s v="India"/>
    <s v="isangha@example.net"/>
    <n v="918969000000"/>
    <x v="0"/>
    <n v="80"/>
    <n v="92"/>
    <s v="AC"/>
    <x v="501"/>
    <d v="2002-05-28T00:00:00"/>
    <n v="5.1789737171464303"/>
    <x v="6"/>
    <n v="184000"/>
    <n v="214000"/>
  </r>
  <r>
    <s v="Dharmajan Bains"/>
    <s v="STU154"/>
    <s v="ENR154"/>
    <x v="2"/>
    <x v="1"/>
    <n v="2"/>
    <s v="Computer Science Engineering"/>
    <x v="0"/>
    <n v="92000"/>
    <n v="77000"/>
    <n v="15000"/>
    <n v="0"/>
    <x v="0"/>
    <x v="1"/>
    <x v="2"/>
    <x v="2"/>
    <s v="India"/>
    <s v="jdara@example.org"/>
    <n v="917877000000"/>
    <x v="4"/>
    <n v="80"/>
    <n v="75"/>
    <s v="AC"/>
    <x v="502"/>
    <d v="1999-02-06T00:00:00"/>
    <n v="5.1789737171464303"/>
    <x v="7"/>
    <n v="184000"/>
    <n v="214000"/>
  </r>
  <r>
    <s v="Yuvaan Singhal"/>
    <s v="STU343"/>
    <s v="ENR343"/>
    <x v="2"/>
    <x v="0"/>
    <n v="4"/>
    <s v="Computer Science and Engineering"/>
    <x v="4"/>
    <n v="169000"/>
    <n v="154000"/>
    <n v="15000"/>
    <n v="0"/>
    <x v="0"/>
    <x v="0"/>
    <x v="0"/>
    <x v="0"/>
    <s v="India"/>
    <s v="tanya30@example.net"/>
    <n v="919970000000"/>
    <x v="2"/>
    <n v="80"/>
    <n v="82"/>
    <s v="AC"/>
    <x v="503"/>
    <d v="2000-12-16T00:00:00"/>
    <n v="5.1789737171464303"/>
    <x v="0"/>
    <n v="676000"/>
    <n v="736000"/>
  </r>
  <r>
    <s v="Shamik Venkatesh"/>
    <s v="STU1065"/>
    <s v="ENR1065"/>
    <x v="2"/>
    <x v="0"/>
    <n v="4"/>
    <s v="Computer Science and Engineering"/>
    <x v="5"/>
    <n v="169000"/>
    <n v="154000"/>
    <n v="15000"/>
    <n v="0"/>
    <x v="0"/>
    <x v="1"/>
    <x v="9"/>
    <x v="8"/>
    <s v="India"/>
    <s v="zsachar@example.org"/>
    <n v="918592000000"/>
    <x v="1"/>
    <n v="80"/>
    <n v="74"/>
    <s v="Non-AC"/>
    <x v="504"/>
    <d v="2000-08-17T00:00:00"/>
    <n v="5.1789737171464303"/>
    <x v="0"/>
    <n v="676000"/>
    <n v="736000"/>
  </r>
  <r>
    <s v="Tushar Doshi"/>
    <s v="STU035"/>
    <s v="ENR035"/>
    <x v="2"/>
    <x v="0"/>
    <n v="4"/>
    <s v="Computer Science and Engineering"/>
    <x v="5"/>
    <n v="169000"/>
    <n v="154000"/>
    <n v="15000"/>
    <n v="0"/>
    <x v="0"/>
    <x v="1"/>
    <x v="8"/>
    <x v="7"/>
    <s v="India"/>
    <s v="rattilakshay@example.com"/>
    <n v="918899000000"/>
    <x v="0"/>
    <n v="80"/>
    <n v="65"/>
    <s v="Non-AC"/>
    <x v="505"/>
    <d v="2005-08-24T00:00:00"/>
    <n v="5.1789737171464303"/>
    <x v="4"/>
    <n v="676000"/>
    <n v="736000"/>
  </r>
  <r>
    <s v="Eshani Yadav"/>
    <s v="STU293"/>
    <s v="ENR293"/>
    <x v="4"/>
    <x v="0"/>
    <n v="4"/>
    <s v="Computer Science and Engineering"/>
    <x v="9"/>
    <n v="169000"/>
    <n v="154000"/>
    <n v="15000"/>
    <n v="0"/>
    <x v="0"/>
    <x v="1"/>
    <x v="8"/>
    <x v="7"/>
    <s v="India"/>
    <s v="sanne@example.org"/>
    <n v="918166000000"/>
    <x v="3"/>
    <n v="80"/>
    <n v="88"/>
    <s v="Non-AC"/>
    <x v="506"/>
    <d v="2006-01-21T00:00:00"/>
    <n v="5.1789737171464303"/>
    <x v="4"/>
    <n v="676000"/>
    <n v="736000"/>
  </r>
  <r>
    <s v="Shamik Aggarwal"/>
    <s v="STU247"/>
    <s v="ENR247"/>
    <x v="0"/>
    <x v="0"/>
    <n v="4"/>
    <s v="Computer Science and Engineering"/>
    <x v="9"/>
    <n v="169000"/>
    <n v="154000"/>
    <n v="15000"/>
    <n v="0"/>
    <x v="0"/>
    <x v="1"/>
    <x v="8"/>
    <x v="7"/>
    <s v="India"/>
    <s v="neysa97@example.net"/>
    <n v="917784000000"/>
    <x v="0"/>
    <n v="80"/>
    <n v="86"/>
    <s v="Non-AC"/>
    <x v="507"/>
    <d v="2001-09-15T00:00:00"/>
    <n v="5.1789737171464303"/>
    <x v="6"/>
    <n v="676000"/>
    <n v="736000"/>
  </r>
  <r>
    <s v="Abram Mann"/>
    <s v="STU468"/>
    <s v="ENR468"/>
    <x v="5"/>
    <x v="0"/>
    <n v="4"/>
    <s v="Computer Science and Engineering"/>
    <x v="8"/>
    <n v="169000"/>
    <n v="154000"/>
    <n v="15000"/>
    <n v="0"/>
    <x v="0"/>
    <x v="0"/>
    <x v="3"/>
    <x v="3"/>
    <s v="India"/>
    <s v="vupadhyay@example.com"/>
    <n v="917150000000"/>
    <x v="0"/>
    <n v="80"/>
    <n v="87"/>
    <s v="Non-AC"/>
    <x v="508"/>
    <d v="2003-07-24T00:00:00"/>
    <n v="5.1789737171464303"/>
    <x v="3"/>
    <n v="676000"/>
    <n v="736000"/>
  </r>
  <r>
    <s v="Ritvik Sami"/>
    <s v="STU640"/>
    <s v="ENR640"/>
    <x v="2"/>
    <x v="0"/>
    <n v="4"/>
    <s v="Computer Science and Engineering"/>
    <x v="3"/>
    <n v="169000"/>
    <n v="154000"/>
    <n v="15000"/>
    <n v="0"/>
    <x v="0"/>
    <x v="1"/>
    <x v="3"/>
    <x v="3"/>
    <s v="India"/>
    <s v="lavanyatrivedi@example.com"/>
    <n v="918255000000"/>
    <x v="0"/>
    <n v="80"/>
    <n v="86"/>
    <s v="Non-AC"/>
    <x v="509"/>
    <d v="2002-08-27T00:00:00"/>
    <n v="5.1789737171464303"/>
    <x v="2"/>
    <n v="676000"/>
    <n v="736000"/>
  </r>
  <r>
    <s v="Mannat Wali"/>
    <s v="STU820"/>
    <s v="ENR820"/>
    <x v="0"/>
    <x v="0"/>
    <n v="4"/>
    <s v="Computer Science and Engineering"/>
    <x v="9"/>
    <n v="169000"/>
    <n v="154000"/>
    <n v="15000"/>
    <n v="0"/>
    <x v="0"/>
    <x v="2"/>
    <x v="5"/>
    <x v="5"/>
    <s v="India"/>
    <s v="varkeyaarna@example.com"/>
    <n v="919918000000"/>
    <x v="4"/>
    <n v="80"/>
    <n v="79"/>
    <s v="Non-AC"/>
    <x v="510"/>
    <d v="2003-04-23T00:00:00"/>
    <n v="5.1789737171464303"/>
    <x v="2"/>
    <n v="676000"/>
    <n v="736000"/>
  </r>
  <r>
    <s v="Nakul Saha"/>
    <s v="STU1159"/>
    <s v="ENR1159"/>
    <x v="5"/>
    <x v="0"/>
    <n v="4"/>
    <s v="Computer Science and Engineering"/>
    <x v="0"/>
    <n v="169000"/>
    <n v="154000"/>
    <n v="15000"/>
    <n v="0"/>
    <x v="0"/>
    <x v="0"/>
    <x v="2"/>
    <x v="2"/>
    <s v="India"/>
    <s v="gandhiaarav@example.org"/>
    <n v="919370000000"/>
    <x v="1"/>
    <n v="80"/>
    <n v="92"/>
    <s v="Non-AC"/>
    <x v="511"/>
    <d v="2003-03-27T00:00:00"/>
    <n v="5.1789737171464303"/>
    <x v="2"/>
    <n v="676000"/>
    <n v="736000"/>
  </r>
  <r>
    <s v="Ira Hayre"/>
    <s v="STU338"/>
    <s v="ENR338"/>
    <x v="1"/>
    <x v="0"/>
    <n v="4"/>
    <s v="Computer Science and Engineering"/>
    <x v="8"/>
    <n v="169000"/>
    <n v="154000"/>
    <n v="15000"/>
    <n v="0"/>
    <x v="0"/>
    <x v="0"/>
    <x v="8"/>
    <x v="7"/>
    <s v="India"/>
    <s v="xwarrior@example.net"/>
    <n v="919417000000"/>
    <x v="2"/>
    <n v="80"/>
    <n v="62"/>
    <s v="Non-AC"/>
    <x v="512"/>
    <d v="2002-12-09T00:00:00"/>
    <n v="5.1789737171464303"/>
    <x v="2"/>
    <n v="676000"/>
    <n v="736000"/>
  </r>
  <r>
    <s v="Kiaan Samra"/>
    <s v="STU632"/>
    <s v="ENR632"/>
    <x v="2"/>
    <x v="0"/>
    <n v="4"/>
    <s v="Computer Science and Engineering"/>
    <x v="2"/>
    <n v="169000"/>
    <n v="154000"/>
    <n v="15000"/>
    <n v="0"/>
    <x v="0"/>
    <x v="1"/>
    <x v="6"/>
    <x v="3"/>
    <s v="India"/>
    <s v="ayesha97@example.org"/>
    <n v="918281000000"/>
    <x v="4"/>
    <n v="80"/>
    <n v="64"/>
    <s v="Non-AC"/>
    <x v="513"/>
    <d v="2002-12-06T00:00:00"/>
    <n v="5.1789737171464303"/>
    <x v="2"/>
    <n v="676000"/>
    <n v="736000"/>
  </r>
  <r>
    <s v="Zeeshan Ghosh"/>
    <s v="STU1018"/>
    <s v="ENR1018"/>
    <x v="0"/>
    <x v="0"/>
    <n v="4"/>
    <s v="Computer Science and Engineering"/>
    <x v="2"/>
    <n v="169000"/>
    <n v="154000"/>
    <n v="15000"/>
    <n v="0"/>
    <x v="0"/>
    <x v="2"/>
    <x v="2"/>
    <x v="2"/>
    <s v="India"/>
    <s v="indranil53@example.com"/>
    <n v="918420000000"/>
    <x v="1"/>
    <n v="80"/>
    <n v="85"/>
    <s v="AC"/>
    <x v="514"/>
    <d v="2001-10-12T00:00:00"/>
    <n v="5.1789737171464303"/>
    <x v="6"/>
    <n v="676000"/>
    <n v="736000"/>
  </r>
  <r>
    <s v="Vihaan Kapur"/>
    <s v="STU1023"/>
    <s v="ENR1023"/>
    <x v="5"/>
    <x v="0"/>
    <n v="4"/>
    <s v="Computer Science and Engineering"/>
    <x v="3"/>
    <n v="169000"/>
    <n v="154000"/>
    <n v="15000"/>
    <n v="0"/>
    <x v="0"/>
    <x v="1"/>
    <x v="2"/>
    <x v="2"/>
    <s v="India"/>
    <s v="duashamik@example.com"/>
    <n v="917051000000"/>
    <x v="1"/>
    <n v="80"/>
    <n v="92"/>
    <s v="AC"/>
    <x v="515"/>
    <d v="2001-11-15T00:00:00"/>
    <n v="5.1789737171464303"/>
    <x v="6"/>
    <n v="676000"/>
    <n v="736000"/>
  </r>
  <r>
    <s v="Chirag Seth"/>
    <s v="STU377"/>
    <s v="ENR377"/>
    <x v="1"/>
    <x v="0"/>
    <n v="4"/>
    <s v="Computer Science and Engineering"/>
    <x v="2"/>
    <n v="169000"/>
    <n v="154000"/>
    <n v="15000"/>
    <n v="0"/>
    <x v="0"/>
    <x v="2"/>
    <x v="4"/>
    <x v="4"/>
    <s v="India"/>
    <s v="umangsoni@example.com"/>
    <n v="918364000000"/>
    <x v="0"/>
    <n v="80"/>
    <n v="75"/>
    <s v="AC"/>
    <x v="516"/>
    <d v="2001-07-06T00:00:00"/>
    <n v="5.1789737171464303"/>
    <x v="0"/>
    <n v="676000"/>
    <n v="736000"/>
  </r>
  <r>
    <s v="Veer Kala"/>
    <s v="STU498"/>
    <s v="ENR498"/>
    <x v="2"/>
    <x v="1"/>
    <n v="2"/>
    <s v="Computer Science Engineering"/>
    <x v="6"/>
    <n v="92000"/>
    <n v="77000"/>
    <n v="15000"/>
    <n v="0"/>
    <x v="0"/>
    <x v="0"/>
    <x v="1"/>
    <x v="1"/>
    <s v="India"/>
    <s v="qtata@example.net"/>
    <n v="919562000000"/>
    <x v="2"/>
    <n v="80"/>
    <n v="71"/>
    <s v="AC"/>
    <x v="517"/>
    <d v="1999-12-02T00:00:00"/>
    <n v="5.1789737171464303"/>
    <x v="1"/>
    <n v="184000"/>
    <n v="214000"/>
  </r>
  <r>
    <s v="Anya Rajagopalan"/>
    <s v="STU111"/>
    <s v="ENR111"/>
    <x v="0"/>
    <x v="0"/>
    <n v="4"/>
    <s v="Computer Science and Engineering"/>
    <x v="2"/>
    <n v="169000"/>
    <n v="154000"/>
    <n v="15000"/>
    <n v="0"/>
    <x v="0"/>
    <x v="0"/>
    <x v="4"/>
    <x v="4"/>
    <s v="India"/>
    <s v="anvi94@example.com"/>
    <n v="919238000000"/>
    <x v="4"/>
    <n v="80"/>
    <n v="71"/>
    <s v="AC"/>
    <x v="518"/>
    <d v="2005-09-04T00:00:00"/>
    <n v="5.1789737171464303"/>
    <x v="4"/>
    <n v="676000"/>
    <n v="736000"/>
  </r>
  <r>
    <s v="Samar Edwin"/>
    <s v="STU588"/>
    <s v="ENR588"/>
    <x v="5"/>
    <x v="0"/>
    <n v="4"/>
    <s v="Computer Science and Engineering"/>
    <x v="1"/>
    <n v="169000"/>
    <n v="154000"/>
    <n v="15000"/>
    <n v="0"/>
    <x v="0"/>
    <x v="2"/>
    <x v="0"/>
    <x v="0"/>
    <s v="India"/>
    <s v="emir74@example.net"/>
    <n v="917469000000"/>
    <x v="1"/>
    <n v="80"/>
    <n v="77"/>
    <s v="Non-AC"/>
    <x v="519"/>
    <d v="2002-01-29T00:00:00"/>
    <n v="5.1789737171464303"/>
    <x v="6"/>
    <n v="676000"/>
    <n v="736000"/>
  </r>
  <r>
    <s v="Shray Brar"/>
    <s v="STU174"/>
    <s v="ENR174"/>
    <x v="1"/>
    <x v="1"/>
    <n v="2"/>
    <s v="Computer Science Engineering"/>
    <x v="1"/>
    <n v="92000"/>
    <n v="77000"/>
    <n v="15000"/>
    <n v="0"/>
    <x v="0"/>
    <x v="2"/>
    <x v="7"/>
    <x v="6"/>
    <s v="India"/>
    <s v="xsolanki@example.net"/>
    <n v="919774000000"/>
    <x v="2"/>
    <n v="80"/>
    <n v="77"/>
    <s v="AC"/>
    <x v="520"/>
    <d v="1996-11-15T00:00:00"/>
    <n v="5.1789737171464303"/>
    <x v="8"/>
    <n v="184000"/>
    <n v="214000"/>
  </r>
  <r>
    <s v="Mehul Manda"/>
    <s v="STU518"/>
    <s v="ENR518"/>
    <x v="1"/>
    <x v="1"/>
    <n v="2"/>
    <s v="Computer Science Engineering"/>
    <x v="3"/>
    <n v="92000"/>
    <n v="77000"/>
    <n v="15000"/>
    <n v="0"/>
    <x v="0"/>
    <x v="2"/>
    <x v="1"/>
    <x v="1"/>
    <s v="India"/>
    <s v="deynishith@example.org"/>
    <n v="917103000000"/>
    <x v="1"/>
    <n v="80"/>
    <n v="85"/>
    <s v="AC"/>
    <x v="521"/>
    <d v="2000-09-24T00:00:00"/>
    <n v="5.1789737171464303"/>
    <x v="0"/>
    <n v="184000"/>
    <n v="214000"/>
  </r>
  <r>
    <s v="Mannat Korpal"/>
    <s v="STU494"/>
    <s v="ENR494"/>
    <x v="4"/>
    <x v="1"/>
    <n v="2"/>
    <s v="Computer Science Engineering"/>
    <x v="1"/>
    <n v="92000"/>
    <n v="77000"/>
    <n v="15000"/>
    <n v="0"/>
    <x v="0"/>
    <x v="0"/>
    <x v="6"/>
    <x v="3"/>
    <s v="India"/>
    <s v="taimur45@example.org"/>
    <n v="918431000000"/>
    <x v="4"/>
    <n v="80"/>
    <n v="75"/>
    <s v="AC"/>
    <x v="522"/>
    <d v="2000-05-10T00:00:00"/>
    <n v="5.1789737171464303"/>
    <x v="1"/>
    <n v="184000"/>
    <n v="214000"/>
  </r>
  <r>
    <s v="Yashvi Tiwari"/>
    <s v="STU877"/>
    <s v="ENR877"/>
    <x v="4"/>
    <x v="0"/>
    <n v="4"/>
    <s v="Computer Science and Engineering"/>
    <x v="7"/>
    <n v="169000"/>
    <n v="154000"/>
    <n v="15000"/>
    <n v="0"/>
    <x v="0"/>
    <x v="2"/>
    <x v="0"/>
    <x v="0"/>
    <s v="India"/>
    <s v="alisha42@example.com"/>
    <n v="917880000000"/>
    <x v="4"/>
    <n v="80"/>
    <n v="86"/>
    <s v="AC"/>
    <x v="523"/>
    <d v="2004-06-14T00:00:00"/>
    <n v="5.1789737171464303"/>
    <x v="3"/>
    <n v="676000"/>
    <n v="736000"/>
  </r>
  <r>
    <s v="Anahita Sura"/>
    <s v="STU1052"/>
    <s v="ENR1052"/>
    <x v="3"/>
    <x v="0"/>
    <n v="4"/>
    <s v="Computer Science and Engineering"/>
    <x v="8"/>
    <n v="169000"/>
    <n v="154000"/>
    <n v="15000"/>
    <n v="0"/>
    <x v="0"/>
    <x v="2"/>
    <x v="2"/>
    <x v="2"/>
    <s v="India"/>
    <s v="ranbir37@example.net"/>
    <n v="917134000000"/>
    <x v="2"/>
    <n v="80"/>
    <n v="81"/>
    <s v="Non-AC"/>
    <x v="524"/>
    <d v="2005-05-04T00:00:00"/>
    <n v="5.1789737171464303"/>
    <x v="5"/>
    <n v="676000"/>
    <n v="736000"/>
  </r>
  <r>
    <s v="Piya Deshpande"/>
    <s v="STU209"/>
    <s v="ENR209"/>
    <x v="4"/>
    <x v="0"/>
    <n v="4"/>
    <s v="Computer Science and Engineering"/>
    <x v="5"/>
    <n v="169000"/>
    <n v="154000"/>
    <n v="15000"/>
    <n v="0"/>
    <x v="0"/>
    <x v="2"/>
    <x v="0"/>
    <x v="0"/>
    <s v="India"/>
    <s v="mamooty84@example.com"/>
    <n v="918142000000"/>
    <x v="1"/>
    <n v="80"/>
    <n v="64"/>
    <s v="Non-AC"/>
    <x v="525"/>
    <d v="2003-09-21T00:00:00"/>
    <n v="5.1789737171464303"/>
    <x v="3"/>
    <n v="676000"/>
    <n v="736000"/>
  </r>
  <r>
    <s v="Misha Ghose"/>
    <s v="STU1183"/>
    <s v="ENR1183"/>
    <x v="4"/>
    <x v="0"/>
    <n v="4"/>
    <s v="Computer Science and Engineering"/>
    <x v="0"/>
    <n v="169000"/>
    <n v="154000"/>
    <n v="15000"/>
    <n v="0"/>
    <x v="0"/>
    <x v="1"/>
    <x v="4"/>
    <x v="4"/>
    <s v="India"/>
    <s v="darshitlata@example.org"/>
    <n v="917542000000"/>
    <x v="2"/>
    <n v="80"/>
    <n v="80"/>
    <s v="Non-AC"/>
    <x v="526"/>
    <d v="2004-03-06T00:00:00"/>
    <n v="5.1789737171464303"/>
    <x v="3"/>
    <n v="676000"/>
    <n v="736000"/>
  </r>
  <r>
    <s v="Madhav Thaker"/>
    <s v="STU499"/>
    <s v="ENR499"/>
    <x v="5"/>
    <x v="0"/>
    <n v="4"/>
    <s v="Computer Science and Engineering"/>
    <x v="4"/>
    <n v="169000"/>
    <n v="154000"/>
    <n v="15000"/>
    <n v="0"/>
    <x v="0"/>
    <x v="2"/>
    <x v="4"/>
    <x v="4"/>
    <s v="India"/>
    <s v="bsekhon@example.net"/>
    <n v="919383000000"/>
    <x v="3"/>
    <n v="80"/>
    <n v="80"/>
    <s v="Non-AC"/>
    <x v="527"/>
    <d v="2006-05-28T00:00:00"/>
    <n v="5.1789737171464303"/>
    <x v="4"/>
    <n v="676000"/>
    <n v="736000"/>
  </r>
  <r>
    <s v="Vedika Saran"/>
    <s v="STU304"/>
    <s v="ENR304"/>
    <x v="2"/>
    <x v="1"/>
    <n v="2"/>
    <s v="Computer Science Engineering"/>
    <x v="5"/>
    <n v="92000"/>
    <n v="77000"/>
    <n v="15000"/>
    <n v="0"/>
    <x v="0"/>
    <x v="2"/>
    <x v="5"/>
    <x v="5"/>
    <s v="India"/>
    <s v="bhaminishanker@example.org"/>
    <n v="917281000000"/>
    <x v="2"/>
    <n v="80"/>
    <n v="71"/>
    <s v="Non-AC"/>
    <x v="528"/>
    <d v="2002-03-01T00:00:00"/>
    <n v="5.1789737171464303"/>
    <x v="6"/>
    <n v="184000"/>
    <n v="214000"/>
  </r>
  <r>
    <s v="Yasmin Aggarwal"/>
    <s v="STU844"/>
    <s v="ENR844"/>
    <x v="5"/>
    <x v="0"/>
    <n v="4"/>
    <s v="Computer Science and Engineering"/>
    <x v="6"/>
    <n v="169000"/>
    <n v="154000"/>
    <n v="15000"/>
    <n v="0"/>
    <x v="0"/>
    <x v="2"/>
    <x v="7"/>
    <x v="6"/>
    <s v="India"/>
    <s v="lavanyasengupta@example.com"/>
    <n v="919686000000"/>
    <x v="0"/>
    <n v="80"/>
    <n v="63"/>
    <s v="Non-AC"/>
    <x v="529"/>
    <d v="2002-06-12T00:00:00"/>
    <n v="5.1789737171464303"/>
    <x v="6"/>
    <n v="676000"/>
    <n v="736000"/>
  </r>
  <r>
    <s v="Kimaya Shenoy"/>
    <s v="STU593"/>
    <s v="ENR593"/>
    <x v="0"/>
    <x v="0"/>
    <n v="4"/>
    <s v="Computer Science and Engineering"/>
    <x v="1"/>
    <n v="169000"/>
    <n v="154000"/>
    <n v="15000"/>
    <n v="0"/>
    <x v="0"/>
    <x v="0"/>
    <x v="5"/>
    <x v="5"/>
    <s v="India"/>
    <s v="ravalkiaan@example.org"/>
    <n v="918914000000"/>
    <x v="0"/>
    <n v="80"/>
    <n v="66"/>
    <s v="AC"/>
    <x v="530"/>
    <d v="2001-03-04T00:00:00"/>
    <n v="5.1789737171464303"/>
    <x v="0"/>
    <n v="676000"/>
    <n v="736000"/>
  </r>
  <r>
    <s v="Divij Mahajan"/>
    <s v="STU444"/>
    <s v="ENR444"/>
    <x v="1"/>
    <x v="0"/>
    <n v="4"/>
    <s v="Computer Science and Engineering"/>
    <x v="9"/>
    <n v="169000"/>
    <n v="154000"/>
    <n v="15000"/>
    <n v="0"/>
    <x v="0"/>
    <x v="0"/>
    <x v="5"/>
    <x v="5"/>
    <s v="India"/>
    <s v="anahi21@example.net"/>
    <n v="917147000000"/>
    <x v="1"/>
    <n v="80"/>
    <n v="61"/>
    <s v="Non-AC"/>
    <x v="531"/>
    <d v="2006-05-02T00:00:00"/>
    <n v="5.1789737171464303"/>
    <x v="4"/>
    <n v="676000"/>
    <n v="736000"/>
  </r>
  <r>
    <s v="Neelofar Bassi"/>
    <s v="STU577"/>
    <s v="ENR577"/>
    <x v="4"/>
    <x v="0"/>
    <n v="4"/>
    <s v="Computer Science and Engineering"/>
    <x v="8"/>
    <n v="169000"/>
    <n v="154000"/>
    <n v="15000"/>
    <n v="0"/>
    <x v="0"/>
    <x v="2"/>
    <x v="9"/>
    <x v="8"/>
    <s v="India"/>
    <s v="ranbir22@example.net"/>
    <n v="918031000000"/>
    <x v="3"/>
    <n v="80"/>
    <n v="78"/>
    <s v="Non-AC"/>
    <x v="532"/>
    <d v="2004-01-23T00:00:00"/>
    <n v="5.1789737171464303"/>
    <x v="3"/>
    <n v="676000"/>
    <n v="736000"/>
  </r>
  <r>
    <s v="Dishani Salvi"/>
    <s v="STU305"/>
    <s v="ENR305"/>
    <x v="4"/>
    <x v="1"/>
    <n v="2"/>
    <s v="Computer Science Engineering"/>
    <x v="3"/>
    <n v="92000"/>
    <n v="77000"/>
    <n v="15000"/>
    <n v="0"/>
    <x v="0"/>
    <x v="1"/>
    <x v="7"/>
    <x v="6"/>
    <s v="India"/>
    <s v="yuvraj-76@example.org"/>
    <n v="918165000000"/>
    <x v="2"/>
    <n v="80"/>
    <n v="60"/>
    <s v="Non-AC"/>
    <x v="533"/>
    <d v="2000-07-04T00:00:00"/>
    <n v="5.1789737171464303"/>
    <x v="1"/>
    <n v="184000"/>
    <n v="214000"/>
  </r>
  <r>
    <s v="Nitara Saha"/>
    <s v="STU667"/>
    <s v="ENR667"/>
    <x v="1"/>
    <x v="0"/>
    <n v="4"/>
    <s v="Computer Science and Engineering"/>
    <x v="4"/>
    <n v="169000"/>
    <n v="154000"/>
    <n v="15000"/>
    <n v="0"/>
    <x v="0"/>
    <x v="0"/>
    <x v="6"/>
    <x v="3"/>
    <s v="India"/>
    <s v="dhanushkaur@example.com"/>
    <n v="917318000000"/>
    <x v="3"/>
    <n v="80"/>
    <n v="81"/>
    <s v="Non-AC"/>
    <x v="534"/>
    <d v="2005-07-27T00:00:00"/>
    <n v="5.1789737171464303"/>
    <x v="4"/>
    <n v="676000"/>
    <n v="736000"/>
  </r>
  <r>
    <s v="Romil Mandal"/>
    <s v="STU990"/>
    <s v="ENR990"/>
    <x v="0"/>
    <x v="0"/>
    <n v="4"/>
    <s v="Computer Science and Engineering"/>
    <x v="4"/>
    <n v="169000"/>
    <n v="154000"/>
    <n v="15000"/>
    <n v="0"/>
    <x v="0"/>
    <x v="0"/>
    <x v="5"/>
    <x v="5"/>
    <s v="India"/>
    <s v="aainadugar@example.com"/>
    <n v="919306000000"/>
    <x v="0"/>
    <n v="80"/>
    <n v="71"/>
    <s v="AC"/>
    <x v="535"/>
    <d v="2004-07-08T00:00:00"/>
    <n v="5.1789737171464303"/>
    <x v="3"/>
    <n v="676000"/>
    <n v="736000"/>
  </r>
  <r>
    <s v="Shanaya Kapur"/>
    <s v="STU346"/>
    <s v="ENR346"/>
    <x v="2"/>
    <x v="1"/>
    <n v="2"/>
    <s v="Computer Science Engineering"/>
    <x v="3"/>
    <n v="92000"/>
    <n v="77000"/>
    <n v="15000"/>
    <n v="0"/>
    <x v="0"/>
    <x v="0"/>
    <x v="8"/>
    <x v="7"/>
    <s v="India"/>
    <s v="ghoseraunak@example.org"/>
    <n v="919330000000"/>
    <x v="1"/>
    <n v="80"/>
    <n v="77"/>
    <s v="AC"/>
    <x v="536"/>
    <d v="1997-06-16T00:00:00"/>
    <n v="5.1789737171464303"/>
    <x v="8"/>
    <n v="184000"/>
    <n v="214000"/>
  </r>
  <r>
    <s v="Nakul Bora"/>
    <s v="STU680"/>
    <s v="ENR680"/>
    <x v="5"/>
    <x v="0"/>
    <n v="4"/>
    <s v="Computer Science and Engineering"/>
    <x v="2"/>
    <n v="169000"/>
    <n v="154000"/>
    <n v="15000"/>
    <n v="0"/>
    <x v="0"/>
    <x v="1"/>
    <x v="7"/>
    <x v="6"/>
    <s v="India"/>
    <s v="subramaniamyakshit@example.org"/>
    <n v="917637000000"/>
    <x v="1"/>
    <n v="80"/>
    <n v="82"/>
    <s v="AC"/>
    <x v="537"/>
    <d v="2002-05-26T00:00:00"/>
    <n v="5.1789737171464303"/>
    <x v="6"/>
    <n v="676000"/>
    <n v="736000"/>
  </r>
  <r>
    <s v="Lavanya Solanki"/>
    <s v="STU947"/>
    <s v="ENR947"/>
    <x v="1"/>
    <x v="0"/>
    <n v="4"/>
    <s v="Computer Science and Engineering"/>
    <x v="3"/>
    <n v="169000"/>
    <n v="154000"/>
    <n v="15000"/>
    <n v="0"/>
    <x v="0"/>
    <x v="2"/>
    <x v="5"/>
    <x v="5"/>
    <s v="India"/>
    <s v="vbhalla@example.org"/>
    <n v="919156000000"/>
    <x v="4"/>
    <n v="80"/>
    <n v="82"/>
    <s v="Non-AC"/>
    <x v="538"/>
    <d v="2005-04-01T00:00:00"/>
    <n v="5.1789737171464303"/>
    <x v="5"/>
    <n v="676000"/>
    <n v="736000"/>
  </r>
  <r>
    <s v="Divyansh Chokshi"/>
    <s v="STU262"/>
    <s v="ENR262"/>
    <x v="0"/>
    <x v="1"/>
    <n v="2"/>
    <s v="Computer Science Engineering"/>
    <x v="5"/>
    <n v="92000"/>
    <n v="77000"/>
    <n v="15000"/>
    <n v="0"/>
    <x v="0"/>
    <x v="0"/>
    <x v="7"/>
    <x v="6"/>
    <s v="India"/>
    <s v="romil71@example.org"/>
    <n v="919645000000"/>
    <x v="1"/>
    <n v="80"/>
    <n v="90"/>
    <s v="AC"/>
    <x v="539"/>
    <d v="2001-11-20T00:00:00"/>
    <n v="5.1789737171464303"/>
    <x v="6"/>
    <n v="184000"/>
    <n v="214000"/>
  </r>
  <r>
    <s v="Damini Gaba"/>
    <s v="STU434"/>
    <s v="ENR434"/>
    <x v="5"/>
    <x v="1"/>
    <n v="2"/>
    <s v="Computer Science Engineering"/>
    <x v="0"/>
    <n v="92000"/>
    <n v="77000"/>
    <n v="15000"/>
    <n v="0"/>
    <x v="0"/>
    <x v="0"/>
    <x v="6"/>
    <x v="3"/>
    <s v="India"/>
    <s v="vlal@example.org"/>
    <n v="919247000000"/>
    <x v="4"/>
    <n v="80"/>
    <n v="74"/>
    <s v="Non-AC"/>
    <x v="540"/>
    <d v="1998-03-14T00:00:00"/>
    <n v="5.1789737171464303"/>
    <x v="9"/>
    <n v="184000"/>
    <n v="214000"/>
  </r>
  <r>
    <s v="Rohan Rama"/>
    <s v="STU310"/>
    <s v="ENR310"/>
    <x v="2"/>
    <x v="0"/>
    <n v="4"/>
    <s v="Computer Science and Engineering"/>
    <x v="4"/>
    <n v="169000"/>
    <n v="154000"/>
    <n v="15000"/>
    <n v="0"/>
    <x v="0"/>
    <x v="2"/>
    <x v="3"/>
    <x v="3"/>
    <s v="India"/>
    <s v="kbhatnagar@example.org"/>
    <n v="917244000000"/>
    <x v="2"/>
    <n v="80"/>
    <n v="67"/>
    <s v="Non-AC"/>
    <x v="541"/>
    <d v="2003-03-24T00:00:00"/>
    <n v="5.1789737171464303"/>
    <x v="2"/>
    <n v="676000"/>
    <n v="736000"/>
  </r>
  <r>
    <s v="Ela Varughese"/>
    <s v="STU291"/>
    <s v="ENR291"/>
    <x v="2"/>
    <x v="1"/>
    <n v="2"/>
    <s v="Computer Science Engineering"/>
    <x v="5"/>
    <n v="92000"/>
    <n v="77000"/>
    <n v="15000"/>
    <n v="0"/>
    <x v="0"/>
    <x v="0"/>
    <x v="8"/>
    <x v="7"/>
    <s v="India"/>
    <s v="icherian@example.org"/>
    <n v="919672000000"/>
    <x v="0"/>
    <n v="80"/>
    <n v="79"/>
    <s v="Non-AC"/>
    <x v="542"/>
    <d v="2000-06-04T00:00:00"/>
    <n v="5.1789737171464303"/>
    <x v="1"/>
    <n v="184000"/>
    <n v="214000"/>
  </r>
  <r>
    <s v="Shamik Vyas"/>
    <s v="STU161"/>
    <s v="ENR161"/>
    <x v="2"/>
    <x v="0"/>
    <n v="4"/>
    <s v="Computer Science and Engineering"/>
    <x v="9"/>
    <n v="169000"/>
    <n v="154000"/>
    <n v="15000"/>
    <n v="0"/>
    <x v="0"/>
    <x v="2"/>
    <x v="5"/>
    <x v="5"/>
    <s v="India"/>
    <s v="nbhakta@example.net"/>
    <n v="919130000000"/>
    <x v="4"/>
    <n v="80"/>
    <n v="78"/>
    <s v="AC"/>
    <x v="543"/>
    <d v="2002-08-29T00:00:00"/>
    <n v="5.1789737171464303"/>
    <x v="2"/>
    <n v="676000"/>
    <n v="736000"/>
  </r>
  <r>
    <s v="Saira Bhandari"/>
    <s v="STU492"/>
    <s v="ENR492"/>
    <x v="3"/>
    <x v="1"/>
    <n v="2"/>
    <s v="Computer Science Engineering"/>
    <x v="6"/>
    <n v="92000"/>
    <n v="77000"/>
    <n v="15000"/>
    <n v="0"/>
    <x v="0"/>
    <x v="1"/>
    <x v="2"/>
    <x v="2"/>
    <s v="India"/>
    <s v="ravaluthkarsh@example.org"/>
    <n v="918081000000"/>
    <x v="1"/>
    <n v="80"/>
    <n v="89"/>
    <s v="Non-AC"/>
    <x v="544"/>
    <d v="1998-01-21T00:00:00"/>
    <n v="5.1789737171464303"/>
    <x v="9"/>
    <n v="184000"/>
    <n v="214000"/>
  </r>
  <r>
    <s v="Purab Manda"/>
    <s v="STU162"/>
    <s v="ENR162"/>
    <x v="4"/>
    <x v="0"/>
    <n v="4"/>
    <s v="Computer Science and Engineering"/>
    <x v="8"/>
    <n v="169000"/>
    <n v="154000"/>
    <n v="15000"/>
    <n v="0"/>
    <x v="0"/>
    <x v="0"/>
    <x v="6"/>
    <x v="3"/>
    <s v="India"/>
    <s v="shroffmehul@example.net"/>
    <n v="917469000000"/>
    <x v="3"/>
    <n v="80"/>
    <n v="86"/>
    <s v="Non-AC"/>
    <x v="545"/>
    <d v="2001-03-27T00:00:00"/>
    <n v="5.1789737171464303"/>
    <x v="0"/>
    <n v="676000"/>
    <n v="736000"/>
  </r>
  <r>
    <s v="Taran Aurora"/>
    <s v="STU131"/>
    <s v="ENR131"/>
    <x v="5"/>
    <x v="0"/>
    <n v="4"/>
    <s v="Computer Science and Engineering"/>
    <x v="2"/>
    <n v="169000"/>
    <n v="154000"/>
    <n v="15000"/>
    <n v="0"/>
    <x v="0"/>
    <x v="2"/>
    <x v="0"/>
    <x v="0"/>
    <s v="India"/>
    <s v="tarasundaram@example.org"/>
    <n v="917613000000"/>
    <x v="0"/>
    <n v="80"/>
    <n v="79"/>
    <s v="Non-AC"/>
    <x v="546"/>
    <d v="2003-04-10T00:00:00"/>
    <n v="5.1789737171464303"/>
    <x v="2"/>
    <n v="676000"/>
    <n v="736000"/>
  </r>
  <r>
    <s v="Yakshit Mani"/>
    <s v="STU265"/>
    <s v="ENR265"/>
    <x v="3"/>
    <x v="0"/>
    <n v="4"/>
    <s v="Computer Science and Engineering"/>
    <x v="2"/>
    <n v="169000"/>
    <n v="154000"/>
    <n v="15000"/>
    <n v="0"/>
    <x v="0"/>
    <x v="2"/>
    <x v="4"/>
    <x v="4"/>
    <s v="India"/>
    <s v="anya92@example.org"/>
    <n v="917991000000"/>
    <x v="4"/>
    <n v="79"/>
    <n v="73"/>
    <s v="Non-AC"/>
    <x v="547"/>
    <d v="2004-04-20T00:00:00"/>
    <n v="4.1789737171464303"/>
    <x v="3"/>
    <n v="676000"/>
    <n v="736000"/>
  </r>
  <r>
    <s v="Ira Wali"/>
    <s v="STU662"/>
    <s v="ENR662"/>
    <x v="1"/>
    <x v="0"/>
    <n v="4"/>
    <s v="Computer Science and Engineering"/>
    <x v="8"/>
    <n v="169000"/>
    <n v="154000"/>
    <n v="15000"/>
    <n v="0"/>
    <x v="0"/>
    <x v="0"/>
    <x v="1"/>
    <x v="1"/>
    <s v="India"/>
    <s v="kravel@example.net"/>
    <n v="918972000000"/>
    <x v="2"/>
    <n v="79"/>
    <n v="80"/>
    <s v="Non-AC"/>
    <x v="548"/>
    <d v="2005-08-26T00:00:00"/>
    <n v="4.1789737171464303"/>
    <x v="4"/>
    <n v="676000"/>
    <n v="736000"/>
  </r>
  <r>
    <s v="Adira Manne"/>
    <s v="STU659"/>
    <s v="ENR659"/>
    <x v="4"/>
    <x v="0"/>
    <n v="4"/>
    <s v="Computer Science and Engineering"/>
    <x v="8"/>
    <n v="169000"/>
    <n v="154000"/>
    <n v="15000"/>
    <n v="0"/>
    <x v="0"/>
    <x v="0"/>
    <x v="2"/>
    <x v="2"/>
    <s v="India"/>
    <s v="nayantaramanne@example.com"/>
    <n v="918000000000"/>
    <x v="1"/>
    <n v="79"/>
    <n v="85"/>
    <s v="Non-AC"/>
    <x v="549"/>
    <d v="2006-02-02T00:00:00"/>
    <n v="4.1789737171464303"/>
    <x v="4"/>
    <n v="676000"/>
    <n v="736000"/>
  </r>
  <r>
    <s v="Ojas Kala"/>
    <s v="STU630"/>
    <s v="ENR630"/>
    <x v="4"/>
    <x v="0"/>
    <n v="4"/>
    <s v="Computer Science and Engineering"/>
    <x v="6"/>
    <n v="169000"/>
    <n v="154000"/>
    <n v="15000"/>
    <n v="0"/>
    <x v="0"/>
    <x v="0"/>
    <x v="2"/>
    <x v="2"/>
    <s v="India"/>
    <s v="jhanvi68@example.com"/>
    <n v="919172000000"/>
    <x v="1"/>
    <n v="79"/>
    <n v="87"/>
    <s v="Non-AC"/>
    <x v="550"/>
    <d v="2001-11-05T00:00:00"/>
    <n v="4.1789737171464303"/>
    <x v="6"/>
    <n v="676000"/>
    <n v="736000"/>
  </r>
  <r>
    <s v="Azad Talwar"/>
    <s v="STU449"/>
    <s v="ENR449"/>
    <x v="0"/>
    <x v="1"/>
    <n v="2"/>
    <s v="Computer Science Engineering"/>
    <x v="1"/>
    <n v="92000"/>
    <n v="77000"/>
    <n v="15000"/>
    <n v="0"/>
    <x v="0"/>
    <x v="0"/>
    <x v="9"/>
    <x v="8"/>
    <s v="India"/>
    <s v="osubramanian@example.org"/>
    <n v="918093000000"/>
    <x v="1"/>
    <n v="79"/>
    <n v="77"/>
    <s v="Non-AC"/>
    <x v="551"/>
    <d v="1996-07-24T00:00:00"/>
    <n v="4.1789737171464303"/>
    <x v="8"/>
    <n v="184000"/>
    <n v="214000"/>
  </r>
  <r>
    <s v="Rohan Ramaswamy"/>
    <s v="STU615"/>
    <s v="ENR615"/>
    <x v="3"/>
    <x v="0"/>
    <n v="4"/>
    <s v="Computer Science and Engineering"/>
    <x v="4"/>
    <n v="169000"/>
    <n v="154000"/>
    <n v="15000"/>
    <n v="0"/>
    <x v="0"/>
    <x v="1"/>
    <x v="0"/>
    <x v="0"/>
    <s v="India"/>
    <s v="anvijaggi@example.org"/>
    <n v="918786000000"/>
    <x v="0"/>
    <n v="79"/>
    <n v="64"/>
    <s v="AC"/>
    <x v="552"/>
    <d v="2004-03-08T00:00:00"/>
    <n v="4.1789737171464303"/>
    <x v="3"/>
    <n v="676000"/>
    <n v="736000"/>
  </r>
  <r>
    <s v="Samarth Madan"/>
    <s v="STU655"/>
    <s v="ENR655"/>
    <x v="3"/>
    <x v="0"/>
    <n v="4"/>
    <s v="Computer Science and Engineering"/>
    <x v="2"/>
    <n v="169000"/>
    <n v="154000"/>
    <n v="15000"/>
    <n v="0"/>
    <x v="0"/>
    <x v="0"/>
    <x v="2"/>
    <x v="2"/>
    <s v="India"/>
    <s v="bhataniruddh@example.net"/>
    <n v="917078000000"/>
    <x v="0"/>
    <n v="79"/>
    <n v="82"/>
    <s v="Non-AC"/>
    <x v="553"/>
    <d v="2005-10-05T00:00:00"/>
    <n v="4.1789737171464303"/>
    <x v="4"/>
    <n v="676000"/>
    <n v="736000"/>
  </r>
  <r>
    <s v="Taimur Bal"/>
    <s v="STU282"/>
    <s v="ENR282"/>
    <x v="4"/>
    <x v="0"/>
    <n v="4"/>
    <s v="Computer Science and Engineering"/>
    <x v="4"/>
    <n v="169000"/>
    <n v="154000"/>
    <n v="15000"/>
    <n v="0"/>
    <x v="0"/>
    <x v="1"/>
    <x v="2"/>
    <x v="2"/>
    <s v="India"/>
    <s v="devanshsom@example.com"/>
    <n v="918436000000"/>
    <x v="1"/>
    <n v="79"/>
    <n v="79"/>
    <s v="Non-AC"/>
    <x v="554"/>
    <d v="2005-10-03T00:00:00"/>
    <n v="4.1789737171464303"/>
    <x v="4"/>
    <n v="676000"/>
    <n v="736000"/>
  </r>
  <r>
    <s v="Divyansh Bora"/>
    <s v="STU237"/>
    <s v="ENR237"/>
    <x v="4"/>
    <x v="1"/>
    <n v="2"/>
    <s v="Computer Science Engineering"/>
    <x v="4"/>
    <n v="92000"/>
    <n v="77000"/>
    <n v="15000"/>
    <n v="0"/>
    <x v="0"/>
    <x v="2"/>
    <x v="4"/>
    <x v="4"/>
    <s v="India"/>
    <s v="nakul75@example.com"/>
    <n v="919631000000"/>
    <x v="4"/>
    <n v="79"/>
    <n v="90"/>
    <s v="Non-AC"/>
    <x v="555"/>
    <d v="2002-02-04T00:00:00"/>
    <n v="4.1789737171464303"/>
    <x v="6"/>
    <n v="184000"/>
    <n v="214000"/>
  </r>
  <r>
    <s v="Ivana Kant"/>
    <s v="STU197"/>
    <s v="ENR197"/>
    <x v="2"/>
    <x v="1"/>
    <n v="2"/>
    <s v="Computer Science Engineering"/>
    <x v="3"/>
    <n v="92000"/>
    <n v="77000"/>
    <n v="15000"/>
    <n v="0"/>
    <x v="0"/>
    <x v="1"/>
    <x v="4"/>
    <x v="4"/>
    <s v="India"/>
    <s v="atwalivan@example.net"/>
    <n v="919693000000"/>
    <x v="0"/>
    <n v="79"/>
    <n v="76"/>
    <s v="AC"/>
    <x v="556"/>
    <d v="1999-08-27T00:00:00"/>
    <n v="4.1789737171464303"/>
    <x v="1"/>
    <n v="184000"/>
    <n v="214000"/>
  </r>
  <r>
    <s v="Shamik Lalla"/>
    <s v="STU608"/>
    <s v="ENR608"/>
    <x v="2"/>
    <x v="0"/>
    <n v="4"/>
    <s v="Computer Science and Engineering"/>
    <x v="0"/>
    <n v="169000"/>
    <n v="154000"/>
    <n v="15000"/>
    <n v="0"/>
    <x v="0"/>
    <x v="1"/>
    <x v="6"/>
    <x v="3"/>
    <s v="India"/>
    <s v="saira41@example.net"/>
    <n v="918164000000"/>
    <x v="1"/>
    <n v="79"/>
    <n v="85"/>
    <s v="Non-AC"/>
    <x v="557"/>
    <d v="2006-02-28T00:00:00"/>
    <n v="4.1789737171464303"/>
    <x v="4"/>
    <n v="676000"/>
    <n v="736000"/>
  </r>
  <r>
    <s v="Ryan Dalal"/>
    <s v="STU145"/>
    <s v="ENR145"/>
    <x v="5"/>
    <x v="0"/>
    <n v="4"/>
    <s v="Computer Science and Engineering"/>
    <x v="5"/>
    <n v="169000"/>
    <n v="154000"/>
    <n v="15000"/>
    <n v="0"/>
    <x v="0"/>
    <x v="0"/>
    <x v="8"/>
    <x v="7"/>
    <s v="India"/>
    <s v="rati37@example.org"/>
    <n v="919398000000"/>
    <x v="0"/>
    <n v="79"/>
    <n v="77"/>
    <s v="Non-AC"/>
    <x v="142"/>
    <d v="2000-11-13T00:00:00"/>
    <n v="4.1789737171464303"/>
    <x v="0"/>
    <n v="676000"/>
    <n v="736000"/>
  </r>
  <r>
    <s v="Yuvraj  Khanna"/>
    <s v="STU192"/>
    <s v="ENR192"/>
    <x v="0"/>
    <x v="1"/>
    <n v="2"/>
    <s v="Computer Science Engineering"/>
    <x v="1"/>
    <n v="92000"/>
    <n v="77000"/>
    <n v="15000"/>
    <n v="0"/>
    <x v="0"/>
    <x v="2"/>
    <x v="2"/>
    <x v="2"/>
    <s v="India"/>
    <s v="misha82@example.org"/>
    <n v="917404000000"/>
    <x v="1"/>
    <n v="79"/>
    <n v="78"/>
    <s v="Non-AC"/>
    <x v="558"/>
    <d v="2001-11-26T00:00:00"/>
    <n v="4.1789737171464303"/>
    <x v="6"/>
    <n v="184000"/>
    <n v="214000"/>
  </r>
  <r>
    <s v="Devansh Rajagopalan"/>
    <s v="STU061"/>
    <s v="ENR061"/>
    <x v="5"/>
    <x v="0"/>
    <n v="4"/>
    <s v="Computer Science and Engineering"/>
    <x v="0"/>
    <n v="169000"/>
    <n v="154000"/>
    <n v="15000"/>
    <n v="0"/>
    <x v="0"/>
    <x v="1"/>
    <x v="2"/>
    <x v="2"/>
    <s v="India"/>
    <s v="mallickaaryahi@example.net"/>
    <n v="919184000000"/>
    <x v="3"/>
    <n v="79"/>
    <n v="87"/>
    <s v="Non-AC"/>
    <x v="559"/>
    <d v="2000-12-28T00:00:00"/>
    <n v="4.1789737171464303"/>
    <x v="0"/>
    <n v="676000"/>
    <n v="736000"/>
  </r>
  <r>
    <s v="Bhavin Dâ€™Alia"/>
    <s v="STU458"/>
    <s v="ENR458"/>
    <x v="5"/>
    <x v="0"/>
    <n v="4"/>
    <s v="Computer Science and Engineering"/>
    <x v="1"/>
    <n v="169000"/>
    <n v="154000"/>
    <n v="15000"/>
    <n v="0"/>
    <x v="0"/>
    <x v="1"/>
    <x v="2"/>
    <x v="2"/>
    <s v="India"/>
    <s v="ramachandransaira@example.org"/>
    <n v="919193000000"/>
    <x v="0"/>
    <n v="79"/>
    <n v="78"/>
    <s v="Non-AC"/>
    <x v="560"/>
    <d v="2003-12-25T00:00:00"/>
    <n v="4.1789737171464303"/>
    <x v="3"/>
    <n v="676000"/>
    <n v="736000"/>
  </r>
  <r>
    <s v="Darshit Ranganathan"/>
    <s v="STU1134"/>
    <s v="ENR1134"/>
    <x v="3"/>
    <x v="0"/>
    <n v="4"/>
    <s v="Computer Science and Engineering"/>
    <x v="5"/>
    <n v="169000"/>
    <n v="154000"/>
    <n v="15000"/>
    <n v="0"/>
    <x v="0"/>
    <x v="2"/>
    <x v="5"/>
    <x v="5"/>
    <s v="India"/>
    <s v="ldoshi@example.net"/>
    <n v="917028000000"/>
    <x v="0"/>
    <n v="79"/>
    <n v="64"/>
    <s v="AC"/>
    <x v="561"/>
    <d v="2005-01-14T00:00:00"/>
    <n v="4.1789737171464303"/>
    <x v="5"/>
    <n v="676000"/>
    <n v="736000"/>
  </r>
  <r>
    <s v="Fateh Dhingra"/>
    <s v="STU478"/>
    <s v="ENR478"/>
    <x v="5"/>
    <x v="0"/>
    <n v="4"/>
    <s v="Computer Science and Engineering"/>
    <x v="0"/>
    <n v="169000"/>
    <n v="154000"/>
    <n v="15000"/>
    <n v="0"/>
    <x v="0"/>
    <x v="1"/>
    <x v="2"/>
    <x v="2"/>
    <s v="India"/>
    <s v="aayushgolla@example.org"/>
    <n v="919380000000"/>
    <x v="4"/>
    <n v="79"/>
    <n v="85"/>
    <s v="AC"/>
    <x v="562"/>
    <d v="2001-02-01T00:00:00"/>
    <n v="4.1789737171464303"/>
    <x v="0"/>
    <n v="676000"/>
    <n v="736000"/>
  </r>
  <r>
    <s v="Drishya Kar"/>
    <s v="STU822"/>
    <s v="ENR822"/>
    <x v="1"/>
    <x v="0"/>
    <n v="4"/>
    <s v="Computer Science and Engineering"/>
    <x v="0"/>
    <n v="169000"/>
    <n v="154000"/>
    <n v="15000"/>
    <n v="0"/>
    <x v="0"/>
    <x v="0"/>
    <x v="2"/>
    <x v="2"/>
    <s v="India"/>
    <s v="shraykhatri@example.net"/>
    <n v="918747000000"/>
    <x v="1"/>
    <n v="79"/>
    <n v="80"/>
    <s v="Non-AC"/>
    <x v="563"/>
    <d v="2001-01-29T00:00:00"/>
    <n v="4.1789737171464303"/>
    <x v="0"/>
    <n v="676000"/>
    <n v="736000"/>
  </r>
  <r>
    <s v="Krish Sridhar"/>
    <s v="STU505"/>
    <s v="ENR505"/>
    <x v="1"/>
    <x v="1"/>
    <n v="2"/>
    <s v="Computer Science Engineering"/>
    <x v="6"/>
    <n v="92000"/>
    <n v="77000"/>
    <n v="15000"/>
    <n v="0"/>
    <x v="0"/>
    <x v="0"/>
    <x v="1"/>
    <x v="1"/>
    <s v="India"/>
    <s v="misha98@example.com"/>
    <n v="918345000000"/>
    <x v="2"/>
    <n v="79"/>
    <n v="77"/>
    <s v="AC"/>
    <x v="564"/>
    <d v="1998-11-10T00:00:00"/>
    <n v="4.1789737171464303"/>
    <x v="7"/>
    <n v="184000"/>
    <n v="214000"/>
  </r>
  <r>
    <s v="Tiya Gera"/>
    <s v="STU1122"/>
    <s v="ENR1122"/>
    <x v="1"/>
    <x v="0"/>
    <n v="4"/>
    <s v="Computer Science and Engineering"/>
    <x v="8"/>
    <n v="169000"/>
    <n v="154000"/>
    <n v="15000"/>
    <n v="0"/>
    <x v="0"/>
    <x v="2"/>
    <x v="6"/>
    <x v="3"/>
    <s v="India"/>
    <s v="ngarde@example.org"/>
    <n v="918964000000"/>
    <x v="1"/>
    <n v="79"/>
    <n v="80"/>
    <s v="Non-AC"/>
    <x v="565"/>
    <d v="2001-01-20T00:00:00"/>
    <n v="4.1789737171464303"/>
    <x v="0"/>
    <n v="676000"/>
    <n v="736000"/>
  </r>
  <r>
    <s v="Mohanlal Salvi"/>
    <s v="STU464"/>
    <s v="ENR464"/>
    <x v="1"/>
    <x v="0"/>
    <n v="4"/>
    <s v="Computer Science and Engineering"/>
    <x v="3"/>
    <n v="169000"/>
    <n v="154000"/>
    <n v="15000"/>
    <n v="0"/>
    <x v="0"/>
    <x v="1"/>
    <x v="2"/>
    <x v="2"/>
    <s v="India"/>
    <s v="aptevardaniya@example.net"/>
    <n v="919777000000"/>
    <x v="4"/>
    <n v="79"/>
    <n v="75"/>
    <s v="Non-AC"/>
    <x v="566"/>
    <d v="2005-02-15T00:00:00"/>
    <n v="4.1789737171464303"/>
    <x v="5"/>
    <n v="676000"/>
    <n v="736000"/>
  </r>
  <r>
    <s v="Mahika Tiwari"/>
    <s v="STU884"/>
    <s v="ENR884"/>
    <x v="4"/>
    <x v="0"/>
    <n v="4"/>
    <s v="Computer Science and Engineering"/>
    <x v="0"/>
    <n v="169000"/>
    <n v="154000"/>
    <n v="15000"/>
    <n v="0"/>
    <x v="0"/>
    <x v="1"/>
    <x v="1"/>
    <x v="1"/>
    <s v="India"/>
    <s v="hridaantaneja@example.com"/>
    <n v="918764000000"/>
    <x v="4"/>
    <n v="79"/>
    <n v="89"/>
    <s v="AC"/>
    <x v="567"/>
    <d v="2000-09-22T00:00:00"/>
    <n v="4.1789737171464303"/>
    <x v="0"/>
    <n v="676000"/>
    <n v="736000"/>
  </r>
  <r>
    <s v="Suhana Taneja"/>
    <s v="STU344"/>
    <s v="ENR344"/>
    <x v="0"/>
    <x v="0"/>
    <n v="4"/>
    <s v="Computer Science and Engineering"/>
    <x v="5"/>
    <n v="169000"/>
    <n v="154000"/>
    <n v="15000"/>
    <n v="0"/>
    <x v="0"/>
    <x v="0"/>
    <x v="2"/>
    <x v="2"/>
    <s v="India"/>
    <s v="varughesecharvi@example.com"/>
    <n v="918219000000"/>
    <x v="3"/>
    <n v="79"/>
    <n v="69"/>
    <s v="Non-AC"/>
    <x v="568"/>
    <d v="2006-04-20T00:00:00"/>
    <n v="4.1789737171464303"/>
    <x v="4"/>
    <n v="676000"/>
    <n v="736000"/>
  </r>
  <r>
    <s v="Drishya Char"/>
    <s v="STU054"/>
    <s v="ENR054"/>
    <x v="3"/>
    <x v="0"/>
    <n v="4"/>
    <s v="Computer Science and Engineering"/>
    <x v="2"/>
    <n v="169000"/>
    <n v="154000"/>
    <n v="15000"/>
    <n v="0"/>
    <x v="0"/>
    <x v="0"/>
    <x v="2"/>
    <x v="2"/>
    <s v="India"/>
    <s v="farhan58@example.net"/>
    <n v="919272000000"/>
    <x v="1"/>
    <n v="79"/>
    <n v="67"/>
    <s v="AC"/>
    <x v="569"/>
    <d v="2002-08-08T00:00:00"/>
    <n v="4.1789737171464303"/>
    <x v="2"/>
    <n v="676000"/>
    <n v="736000"/>
  </r>
  <r>
    <s v="Ryan Dash"/>
    <s v="STU879"/>
    <s v="ENR879"/>
    <x v="1"/>
    <x v="0"/>
    <n v="4"/>
    <s v="Computer Science and Engineering"/>
    <x v="6"/>
    <n v="169000"/>
    <n v="154000"/>
    <n v="15000"/>
    <n v="0"/>
    <x v="0"/>
    <x v="0"/>
    <x v="6"/>
    <x v="3"/>
    <s v="India"/>
    <s v="uthkarshyohannan@example.net"/>
    <n v="917069000000"/>
    <x v="1"/>
    <n v="79"/>
    <n v="90"/>
    <s v="AC"/>
    <x v="570"/>
    <d v="2003-10-04T00:00:00"/>
    <n v="4.1789737171464303"/>
    <x v="3"/>
    <n v="676000"/>
    <n v="736000"/>
  </r>
  <r>
    <s v="Jhanvi Handa"/>
    <s v="STU846"/>
    <s v="ENR846"/>
    <x v="3"/>
    <x v="0"/>
    <n v="4"/>
    <s v="Computer Science and Engineering"/>
    <x v="7"/>
    <n v="169000"/>
    <n v="154000"/>
    <n v="15000"/>
    <n v="0"/>
    <x v="0"/>
    <x v="0"/>
    <x v="7"/>
    <x v="6"/>
    <s v="India"/>
    <s v="anikachokshi@example.net"/>
    <n v="919613000000"/>
    <x v="4"/>
    <n v="79"/>
    <n v="91"/>
    <s v="AC"/>
    <x v="571"/>
    <d v="2004-01-17T00:00:00"/>
    <n v="4.1789737171464303"/>
    <x v="3"/>
    <n v="676000"/>
    <n v="736000"/>
  </r>
  <r>
    <s v="Sara Kale"/>
    <s v="STU878"/>
    <s v="ENR878"/>
    <x v="4"/>
    <x v="0"/>
    <n v="4"/>
    <s v="Computer Science and Engineering"/>
    <x v="9"/>
    <n v="169000"/>
    <n v="154000"/>
    <n v="15000"/>
    <n v="0"/>
    <x v="0"/>
    <x v="0"/>
    <x v="4"/>
    <x v="4"/>
    <s v="India"/>
    <s v="tchander@example.net"/>
    <n v="917004000000"/>
    <x v="1"/>
    <n v="79"/>
    <n v="83"/>
    <s v="Non-AC"/>
    <x v="572"/>
    <d v="2006-06-15T00:00:00"/>
    <n v="4.1789737171464303"/>
    <x v="4"/>
    <n v="676000"/>
    <n v="736000"/>
  </r>
  <r>
    <s v="Baiju Kanda"/>
    <s v="STU347"/>
    <s v="ENR347"/>
    <x v="3"/>
    <x v="0"/>
    <n v="4"/>
    <s v="Computer Science and Engineering"/>
    <x v="7"/>
    <n v="169000"/>
    <n v="154000"/>
    <n v="15000"/>
    <n v="0"/>
    <x v="0"/>
    <x v="0"/>
    <x v="6"/>
    <x v="3"/>
    <s v="India"/>
    <s v="sdoshi@example.org"/>
    <n v="918137000000"/>
    <x v="4"/>
    <n v="79"/>
    <n v="73"/>
    <s v="AC"/>
    <x v="573"/>
    <d v="2004-12-02T00:00:00"/>
    <n v="4.1789737171464303"/>
    <x v="5"/>
    <n v="676000"/>
    <n v="736000"/>
  </r>
  <r>
    <s v="Charvi Bassi"/>
    <s v="STU300"/>
    <s v="ENR300"/>
    <x v="2"/>
    <x v="1"/>
    <n v="2"/>
    <s v="Computer Science Engineering"/>
    <x v="5"/>
    <n v="92000"/>
    <n v="77000"/>
    <n v="15000"/>
    <n v="0"/>
    <x v="0"/>
    <x v="1"/>
    <x v="5"/>
    <x v="5"/>
    <s v="India"/>
    <s v="shamik18@example.org"/>
    <n v="919065000000"/>
    <x v="1"/>
    <n v="79"/>
    <n v="74"/>
    <s v="AC"/>
    <x v="574"/>
    <d v="2000-12-07T00:00:00"/>
    <n v="4.1789737171464303"/>
    <x v="0"/>
    <n v="184000"/>
    <n v="214000"/>
  </r>
  <r>
    <s v="Mannat Sarma"/>
    <s v="STU424"/>
    <s v="ENR424"/>
    <x v="3"/>
    <x v="0"/>
    <n v="4"/>
    <s v="Computer Science and Engineering"/>
    <x v="1"/>
    <n v="169000"/>
    <n v="154000"/>
    <n v="15000"/>
    <n v="0"/>
    <x v="0"/>
    <x v="1"/>
    <x v="6"/>
    <x v="3"/>
    <s v="India"/>
    <s v="elakshi75@example.com"/>
    <n v="919688000000"/>
    <x v="4"/>
    <n v="79"/>
    <n v="69"/>
    <s v="Non-AC"/>
    <x v="575"/>
    <d v="2005-08-19T00:00:00"/>
    <n v="4.1789737171464303"/>
    <x v="4"/>
    <n v="676000"/>
    <n v="736000"/>
  </r>
  <r>
    <s v="Faiyaz Madan"/>
    <s v="STU950"/>
    <s v="ENR950"/>
    <x v="4"/>
    <x v="0"/>
    <n v="4"/>
    <s v="Computer Science and Engineering"/>
    <x v="0"/>
    <n v="169000"/>
    <n v="154000"/>
    <n v="15000"/>
    <n v="0"/>
    <x v="0"/>
    <x v="0"/>
    <x v="3"/>
    <x v="3"/>
    <s v="India"/>
    <s v="dzachariah@example.org"/>
    <n v="918582000000"/>
    <x v="4"/>
    <n v="79"/>
    <n v="78"/>
    <s v="Non-AC"/>
    <x v="576"/>
    <d v="2001-03-18T00:00:00"/>
    <n v="4.1789737171464303"/>
    <x v="0"/>
    <n v="676000"/>
    <n v="736000"/>
  </r>
  <r>
    <s v="Nitya Thaman"/>
    <s v="STU354"/>
    <s v="ENR354"/>
    <x v="1"/>
    <x v="0"/>
    <n v="4"/>
    <s v="Computer Science and Engineering"/>
    <x v="0"/>
    <n v="169000"/>
    <n v="154000"/>
    <n v="15000"/>
    <n v="0"/>
    <x v="0"/>
    <x v="1"/>
    <x v="1"/>
    <x v="1"/>
    <s v="India"/>
    <s v="himmatchana@example.org"/>
    <n v="919768000000"/>
    <x v="2"/>
    <n v="79"/>
    <n v="66"/>
    <s v="AC"/>
    <x v="577"/>
    <d v="2003-06-07T00:00:00"/>
    <n v="4.1789737171464303"/>
    <x v="2"/>
    <n v="676000"/>
    <n v="736000"/>
  </r>
  <r>
    <s v="Shaan Samra"/>
    <s v="STU207"/>
    <s v="ENR207"/>
    <x v="3"/>
    <x v="0"/>
    <n v="4"/>
    <s v="Computer Science and Engineering"/>
    <x v="6"/>
    <n v="169000"/>
    <n v="154000"/>
    <n v="15000"/>
    <n v="0"/>
    <x v="0"/>
    <x v="0"/>
    <x v="1"/>
    <x v="1"/>
    <s v="India"/>
    <s v="samarth06@example.org"/>
    <n v="919632000000"/>
    <x v="3"/>
    <n v="79"/>
    <n v="85"/>
    <s v="AC"/>
    <x v="578"/>
    <d v="2003-09-19T00:00:00"/>
    <n v="4.1789737171464303"/>
    <x v="3"/>
    <n v="676000"/>
    <n v="736000"/>
  </r>
  <r>
    <s v="Rati Yohannan"/>
    <s v="STU936"/>
    <s v="ENR936"/>
    <x v="0"/>
    <x v="0"/>
    <n v="4"/>
    <s v="Computer Science and Engineering"/>
    <x v="9"/>
    <n v="169000"/>
    <n v="154000"/>
    <n v="15000"/>
    <n v="0"/>
    <x v="0"/>
    <x v="1"/>
    <x v="1"/>
    <x v="1"/>
    <s v="India"/>
    <s v="sarkarlagan@example.org"/>
    <n v="917141000000"/>
    <x v="0"/>
    <n v="79"/>
    <n v="73"/>
    <s v="Non-AC"/>
    <x v="579"/>
    <d v="2000-09-15T00:00:00"/>
    <n v="4.1789737171464303"/>
    <x v="0"/>
    <n v="676000"/>
    <n v="736000"/>
  </r>
  <r>
    <s v="Tejas Vig"/>
    <s v="STU1075"/>
    <s v="ENR1075"/>
    <x v="5"/>
    <x v="0"/>
    <n v="4"/>
    <s v="Computer Science and Engineering"/>
    <x v="5"/>
    <n v="169000"/>
    <n v="154000"/>
    <n v="15000"/>
    <n v="0"/>
    <x v="0"/>
    <x v="1"/>
    <x v="4"/>
    <x v="4"/>
    <s v="India"/>
    <s v="dhruv27@example.org"/>
    <n v="919442000000"/>
    <x v="2"/>
    <n v="79"/>
    <n v="75"/>
    <s v="Non-AC"/>
    <x v="580"/>
    <d v="2005-02-01T00:00:00"/>
    <n v="4.1789737171464303"/>
    <x v="5"/>
    <n v="676000"/>
    <n v="736000"/>
  </r>
  <r>
    <s v="Arhaan Kapur"/>
    <s v="STU257"/>
    <s v="ENR257"/>
    <x v="5"/>
    <x v="1"/>
    <n v="2"/>
    <s v="Computer Science Engineering"/>
    <x v="0"/>
    <n v="92000"/>
    <n v="77000"/>
    <n v="15000"/>
    <n v="0"/>
    <x v="0"/>
    <x v="1"/>
    <x v="9"/>
    <x v="8"/>
    <s v="India"/>
    <s v="zara50@example.com"/>
    <n v="918730000000"/>
    <x v="1"/>
    <n v="79"/>
    <n v="88"/>
    <s v="Non-AC"/>
    <x v="581"/>
    <d v="1998-07-14T00:00:00"/>
    <n v="4.1789737171464303"/>
    <x v="7"/>
    <n v="184000"/>
    <n v="214000"/>
  </r>
  <r>
    <s v="Nitya Borra"/>
    <s v="STU356"/>
    <s v="ENR356"/>
    <x v="4"/>
    <x v="1"/>
    <n v="2"/>
    <s v="Computer Science Engineering"/>
    <x v="4"/>
    <n v="92000"/>
    <n v="77000"/>
    <n v="15000"/>
    <n v="0"/>
    <x v="0"/>
    <x v="2"/>
    <x v="5"/>
    <x v="5"/>
    <s v="India"/>
    <s v="qchoudhury@example.com"/>
    <n v="919634000000"/>
    <x v="4"/>
    <n v="79"/>
    <n v="65"/>
    <s v="AC"/>
    <x v="582"/>
    <d v="2000-04-02T00:00:00"/>
    <n v="4.1789737171464303"/>
    <x v="1"/>
    <n v="184000"/>
    <n v="214000"/>
  </r>
  <r>
    <s v="Siya Ghose"/>
    <s v="STU556"/>
    <s v="ENR556"/>
    <x v="5"/>
    <x v="0"/>
    <n v="4"/>
    <s v="Computer Science and Engineering"/>
    <x v="6"/>
    <n v="169000"/>
    <n v="154000"/>
    <n v="15000"/>
    <n v="0"/>
    <x v="0"/>
    <x v="2"/>
    <x v="6"/>
    <x v="3"/>
    <s v="India"/>
    <s v="wdesai@example.net"/>
    <n v="917875000000"/>
    <x v="1"/>
    <n v="79"/>
    <n v="76"/>
    <s v="Non-AC"/>
    <x v="583"/>
    <d v="2001-01-31T00:00:00"/>
    <n v="4.1789737171464303"/>
    <x v="0"/>
    <n v="676000"/>
    <n v="736000"/>
  </r>
  <r>
    <s v="Azad Bava"/>
    <s v="STU1114"/>
    <s v="ENR1114"/>
    <x v="2"/>
    <x v="0"/>
    <n v="4"/>
    <s v="Computer Science and Engineering"/>
    <x v="8"/>
    <n v="169000"/>
    <n v="154000"/>
    <n v="15000"/>
    <n v="0"/>
    <x v="0"/>
    <x v="2"/>
    <x v="7"/>
    <x v="6"/>
    <s v="India"/>
    <s v="krishnaadah@example.org"/>
    <n v="918872000000"/>
    <x v="2"/>
    <n v="79"/>
    <n v="80"/>
    <s v="AC"/>
    <x v="584"/>
    <d v="2003-07-04T00:00:00"/>
    <n v="4.1789737171464303"/>
    <x v="2"/>
    <n v="676000"/>
    <n v="736000"/>
  </r>
  <r>
    <s v="Anika Bhardwaj"/>
    <s v="STU716"/>
    <s v="ENR716"/>
    <x v="5"/>
    <x v="0"/>
    <n v="4"/>
    <s v="Computer Science and Engineering"/>
    <x v="5"/>
    <n v="169000"/>
    <n v="154000"/>
    <n v="15000"/>
    <n v="0"/>
    <x v="0"/>
    <x v="2"/>
    <x v="7"/>
    <x v="6"/>
    <s v="India"/>
    <s v="soodlavanya@example.net"/>
    <n v="919293000000"/>
    <x v="1"/>
    <n v="79"/>
    <n v="69"/>
    <s v="Non-AC"/>
    <x v="585"/>
    <d v="2005-10-16T00:00:00"/>
    <n v="4.1789737171464303"/>
    <x v="4"/>
    <n v="676000"/>
    <n v="736000"/>
  </r>
  <r>
    <s v="Arnav Arora"/>
    <s v="STU924"/>
    <s v="ENR924"/>
    <x v="2"/>
    <x v="0"/>
    <n v="4"/>
    <s v="Computer Science and Engineering"/>
    <x v="8"/>
    <n v="169000"/>
    <n v="154000"/>
    <n v="15000"/>
    <n v="0"/>
    <x v="0"/>
    <x v="2"/>
    <x v="5"/>
    <x v="5"/>
    <s v="India"/>
    <s v="sheredhanush@example.com"/>
    <n v="918958000000"/>
    <x v="0"/>
    <n v="79"/>
    <n v="72"/>
    <s v="AC"/>
    <x v="586"/>
    <d v="2002-08-12T00:00:00"/>
    <n v="4.1789737171464303"/>
    <x v="2"/>
    <n v="676000"/>
    <n v="736000"/>
  </r>
  <r>
    <s v="Romil Barman"/>
    <s v="STU1117"/>
    <s v="ENR1117"/>
    <x v="3"/>
    <x v="0"/>
    <n v="4"/>
    <s v="Computer Science and Engineering"/>
    <x v="9"/>
    <n v="169000"/>
    <n v="154000"/>
    <n v="15000"/>
    <n v="0"/>
    <x v="0"/>
    <x v="1"/>
    <x v="1"/>
    <x v="1"/>
    <s v="India"/>
    <s v="aaryahi32@example.org"/>
    <n v="919530000000"/>
    <x v="3"/>
    <n v="79"/>
    <n v="71"/>
    <s v="Non-AC"/>
    <x v="587"/>
    <d v="2003-03-17T00:00:00"/>
    <n v="4.1789737171464303"/>
    <x v="2"/>
    <n v="676000"/>
    <n v="736000"/>
  </r>
  <r>
    <s v="Renee Chaudhari"/>
    <s v="STU534"/>
    <s v="ENR534"/>
    <x v="4"/>
    <x v="0"/>
    <n v="4"/>
    <s v="Computer Science and Engineering"/>
    <x v="3"/>
    <n v="169000"/>
    <n v="154000"/>
    <n v="15000"/>
    <n v="0"/>
    <x v="0"/>
    <x v="2"/>
    <x v="4"/>
    <x v="4"/>
    <s v="India"/>
    <s v="tejas53@example.net"/>
    <n v="919616000000"/>
    <x v="0"/>
    <n v="79"/>
    <n v="72"/>
    <s v="Non-AC"/>
    <x v="588"/>
    <d v="2001-04-28T00:00:00"/>
    <n v="4.1789737171464303"/>
    <x v="0"/>
    <n v="676000"/>
    <n v="736000"/>
  </r>
  <r>
    <s v="Aniruddh Solanki"/>
    <s v="STU097"/>
    <s v="ENR097"/>
    <x v="0"/>
    <x v="0"/>
    <n v="4"/>
    <s v="Computer Science and Engineering"/>
    <x v="6"/>
    <n v="169000"/>
    <n v="154000"/>
    <n v="15000"/>
    <n v="0"/>
    <x v="0"/>
    <x v="0"/>
    <x v="7"/>
    <x v="6"/>
    <s v="India"/>
    <s v="gardeindrans@example.com"/>
    <n v="919199000000"/>
    <x v="1"/>
    <n v="79"/>
    <n v="92"/>
    <s v="Non-AC"/>
    <x v="589"/>
    <d v="2002-06-19T00:00:00"/>
    <n v="4.1789737171464303"/>
    <x v="6"/>
    <n v="676000"/>
    <n v="736000"/>
  </r>
  <r>
    <s v="Anaya Bora"/>
    <s v="STU1001"/>
    <s v="ENR1001"/>
    <x v="5"/>
    <x v="0"/>
    <n v="4"/>
    <s v="Computer Science and Engineering"/>
    <x v="4"/>
    <n v="169000"/>
    <n v="154000"/>
    <n v="15000"/>
    <n v="0"/>
    <x v="0"/>
    <x v="1"/>
    <x v="2"/>
    <x v="2"/>
    <s v="India"/>
    <s v="nehmatrama@example.com"/>
    <n v="918770000000"/>
    <x v="0"/>
    <n v="79"/>
    <n v="62"/>
    <s v="AC"/>
    <x v="590"/>
    <d v="2006-01-12T00:00:00"/>
    <n v="4.1789737171464303"/>
    <x v="4"/>
    <n v="676000"/>
    <n v="736000"/>
  </r>
  <r>
    <s v="Biju Dhawan"/>
    <s v="STU427"/>
    <s v="ENR427"/>
    <x v="0"/>
    <x v="0"/>
    <n v="4"/>
    <s v="Computer Science and Engineering"/>
    <x v="2"/>
    <n v="169000"/>
    <n v="154000"/>
    <n v="15000"/>
    <n v="0"/>
    <x v="0"/>
    <x v="0"/>
    <x v="4"/>
    <x v="4"/>
    <s v="India"/>
    <s v="veerbadal@example.org"/>
    <n v="917048000000"/>
    <x v="1"/>
    <n v="79"/>
    <n v="85"/>
    <s v="AC"/>
    <x v="591"/>
    <d v="2000-10-27T00:00:00"/>
    <n v="4.1789737171464303"/>
    <x v="0"/>
    <n v="676000"/>
    <n v="736000"/>
  </r>
  <r>
    <s v="Emir Roy"/>
    <s v="STU998"/>
    <s v="ENR998"/>
    <x v="5"/>
    <x v="0"/>
    <n v="4"/>
    <s v="Computer Science and Engineering"/>
    <x v="5"/>
    <n v="169000"/>
    <n v="154000"/>
    <n v="15000"/>
    <n v="0"/>
    <x v="0"/>
    <x v="2"/>
    <x v="0"/>
    <x v="0"/>
    <s v="India"/>
    <s v="aggarwalishita@example.org"/>
    <n v="918617000000"/>
    <x v="2"/>
    <n v="79"/>
    <n v="89"/>
    <s v="AC"/>
    <x v="592"/>
    <d v="2005-02-14T00:00:00"/>
    <n v="4.1789737171464303"/>
    <x v="5"/>
    <n v="676000"/>
    <n v="736000"/>
  </r>
  <r>
    <s v="Jivika Som"/>
    <s v="STU511"/>
    <s v="ENR511"/>
    <x v="0"/>
    <x v="0"/>
    <n v="4"/>
    <s v="Computer Science and Engineering"/>
    <x v="6"/>
    <n v="169000"/>
    <n v="154000"/>
    <n v="15000"/>
    <n v="0"/>
    <x v="0"/>
    <x v="0"/>
    <x v="3"/>
    <x v="3"/>
    <s v="India"/>
    <s v="wadhwasaira@example.net"/>
    <n v="919962000000"/>
    <x v="1"/>
    <n v="79"/>
    <n v="67"/>
    <s v="Non-AC"/>
    <x v="593"/>
    <d v="2005-04-08T00:00:00"/>
    <n v="4.1789737171464303"/>
    <x v="5"/>
    <n v="676000"/>
    <n v="736000"/>
  </r>
  <r>
    <s v="Ira Sharaf"/>
    <s v="STU1196"/>
    <s v="ENR1196"/>
    <x v="3"/>
    <x v="0"/>
    <n v="4"/>
    <s v="Computer Science and Engineering"/>
    <x v="6"/>
    <n v="169000"/>
    <n v="154000"/>
    <n v="15000"/>
    <n v="0"/>
    <x v="0"/>
    <x v="1"/>
    <x v="0"/>
    <x v="0"/>
    <s v="India"/>
    <s v="pihu68@example.com"/>
    <n v="918487000000"/>
    <x v="4"/>
    <n v="79"/>
    <n v="80"/>
    <s v="Non-AC"/>
    <x v="594"/>
    <d v="2000-07-14T00:00:00"/>
    <n v="4.1789737171464303"/>
    <x v="0"/>
    <n v="676000"/>
    <n v="736000"/>
  </r>
  <r>
    <s v="Himmat Ray"/>
    <s v="STU891"/>
    <s v="ENR891"/>
    <x v="4"/>
    <x v="0"/>
    <n v="4"/>
    <s v="Computer Science and Engineering"/>
    <x v="6"/>
    <n v="169000"/>
    <n v="154000"/>
    <n v="15000"/>
    <n v="0"/>
    <x v="0"/>
    <x v="0"/>
    <x v="4"/>
    <x v="4"/>
    <s v="India"/>
    <s v="btoor@example.net"/>
    <n v="918998000000"/>
    <x v="2"/>
    <n v="79"/>
    <n v="91"/>
    <s v="Non-AC"/>
    <x v="595"/>
    <d v="2003-08-20T00:00:00"/>
    <n v="4.1789737171464303"/>
    <x v="3"/>
    <n v="676000"/>
    <n v="736000"/>
  </r>
  <r>
    <s v="Navya Sane"/>
    <s v="STU320"/>
    <s v="ENR320"/>
    <x v="1"/>
    <x v="0"/>
    <n v="4"/>
    <s v="Computer Science and Engineering"/>
    <x v="3"/>
    <n v="169000"/>
    <n v="154000"/>
    <n v="15000"/>
    <n v="0"/>
    <x v="0"/>
    <x v="0"/>
    <x v="2"/>
    <x v="2"/>
    <s v="India"/>
    <s v="dhargokul@example.net"/>
    <n v="919079000000"/>
    <x v="1"/>
    <n v="79"/>
    <n v="71"/>
    <s v="Non-AC"/>
    <x v="596"/>
    <d v="2000-10-09T00:00:00"/>
    <n v="4.1789737171464303"/>
    <x v="0"/>
    <n v="676000"/>
    <n v="736000"/>
  </r>
  <r>
    <s v="Faiyaz Shan"/>
    <s v="STU931"/>
    <s v="ENR931"/>
    <x v="1"/>
    <x v="0"/>
    <n v="4"/>
    <s v="Computer Science and Engineering"/>
    <x v="9"/>
    <n v="169000"/>
    <n v="154000"/>
    <n v="15000"/>
    <n v="0"/>
    <x v="0"/>
    <x v="0"/>
    <x v="0"/>
    <x v="0"/>
    <s v="India"/>
    <s v="bahrimisha@example.com"/>
    <n v="919868000000"/>
    <x v="1"/>
    <n v="79"/>
    <n v="70"/>
    <s v="AC"/>
    <x v="597"/>
    <d v="2006-02-10T00:00:00"/>
    <n v="4.1789737171464303"/>
    <x v="4"/>
    <n v="676000"/>
    <n v="736000"/>
  </r>
  <r>
    <s v="Hridaan Dube"/>
    <s v="STU897"/>
    <s v="ENR897"/>
    <x v="2"/>
    <x v="0"/>
    <n v="4"/>
    <s v="Computer Science and Engineering"/>
    <x v="3"/>
    <n v="169000"/>
    <n v="154000"/>
    <n v="15000"/>
    <n v="0"/>
    <x v="0"/>
    <x v="1"/>
    <x v="9"/>
    <x v="8"/>
    <s v="India"/>
    <s v="keya88@example.org"/>
    <n v="918693000000"/>
    <x v="1"/>
    <n v="78"/>
    <n v="78"/>
    <s v="AC"/>
    <x v="598"/>
    <d v="2004-05-21T00:00:00"/>
    <n v="3.1789737171464298"/>
    <x v="3"/>
    <n v="676000"/>
    <n v="736000"/>
  </r>
  <r>
    <s v="Alia Chanda"/>
    <s v="STU006"/>
    <s v="ENR006"/>
    <x v="0"/>
    <x v="0"/>
    <n v="4"/>
    <s v="Computer Science and Engineering"/>
    <x v="4"/>
    <n v="169000"/>
    <n v="154000"/>
    <n v="15000"/>
    <n v="0"/>
    <x v="0"/>
    <x v="1"/>
    <x v="3"/>
    <x v="3"/>
    <s v="India"/>
    <s v="hridaan15@example.com"/>
    <n v="918035000000"/>
    <x v="2"/>
    <n v="78"/>
    <n v="77"/>
    <s v="Non-AC"/>
    <x v="599"/>
    <d v="2005-12-01T00:00:00"/>
    <n v="3.1789737171464298"/>
    <x v="4"/>
    <n v="676000"/>
    <n v="736000"/>
  </r>
  <r>
    <s v="Samaira Thaman"/>
    <s v="STU503"/>
    <s v="ENR503"/>
    <x v="5"/>
    <x v="1"/>
    <n v="2"/>
    <s v="Computer Science Engineering"/>
    <x v="5"/>
    <n v="92000"/>
    <n v="77000"/>
    <n v="15000"/>
    <n v="0"/>
    <x v="0"/>
    <x v="2"/>
    <x v="9"/>
    <x v="8"/>
    <s v="India"/>
    <s v="ahluwaliadhanuk@example.org"/>
    <n v="917533000000"/>
    <x v="0"/>
    <n v="78"/>
    <n v="92"/>
    <s v="AC"/>
    <x v="600"/>
    <d v="2001-06-25T00:00:00"/>
    <n v="3.1789737171464298"/>
    <x v="0"/>
    <n v="184000"/>
    <n v="214000"/>
  </r>
  <r>
    <s v="Mehul Jain"/>
    <s v="STU932"/>
    <s v="ENR932"/>
    <x v="3"/>
    <x v="0"/>
    <n v="4"/>
    <s v="Computer Science and Engineering"/>
    <x v="3"/>
    <n v="169000"/>
    <n v="154000"/>
    <n v="15000"/>
    <n v="0"/>
    <x v="0"/>
    <x v="1"/>
    <x v="7"/>
    <x v="6"/>
    <s v="India"/>
    <s v="nitaravig@example.net"/>
    <n v="917153000000"/>
    <x v="2"/>
    <n v="78"/>
    <n v="83"/>
    <s v="AC"/>
    <x v="601"/>
    <d v="2000-12-21T00:00:00"/>
    <n v="3.1789737171464298"/>
    <x v="0"/>
    <n v="676000"/>
    <n v="736000"/>
  </r>
  <r>
    <s v="Indranil Dugar"/>
    <s v="STU113"/>
    <s v="ENR113"/>
    <x v="4"/>
    <x v="0"/>
    <n v="4"/>
    <s v="Computer Science and Engineering"/>
    <x v="3"/>
    <n v="169000"/>
    <n v="154000"/>
    <n v="15000"/>
    <n v="0"/>
    <x v="0"/>
    <x v="1"/>
    <x v="6"/>
    <x v="3"/>
    <s v="India"/>
    <s v="chaudharyrohan@example.com"/>
    <n v="918909000000"/>
    <x v="3"/>
    <n v="78"/>
    <n v="64"/>
    <s v="AC"/>
    <x v="602"/>
    <d v="2003-10-29T00:00:00"/>
    <n v="3.1789737171464298"/>
    <x v="3"/>
    <n v="676000"/>
    <n v="736000"/>
  </r>
  <r>
    <s v="Ritvik Goyal"/>
    <s v="STU648"/>
    <s v="ENR648"/>
    <x v="4"/>
    <x v="0"/>
    <n v="4"/>
    <s v="Computer Science and Engineering"/>
    <x v="5"/>
    <n v="169000"/>
    <n v="154000"/>
    <n v="15000"/>
    <n v="0"/>
    <x v="0"/>
    <x v="1"/>
    <x v="3"/>
    <x v="3"/>
    <s v="India"/>
    <s v="settyeva@example.net"/>
    <n v="918457000000"/>
    <x v="4"/>
    <n v="78"/>
    <n v="69"/>
    <s v="Non-AC"/>
    <x v="603"/>
    <d v="2002-06-21T00:00:00"/>
    <n v="3.1789737171464298"/>
    <x v="6"/>
    <n v="676000"/>
    <n v="736000"/>
  </r>
  <r>
    <s v="Diya Basu"/>
    <s v="STU812"/>
    <s v="ENR812"/>
    <x v="2"/>
    <x v="0"/>
    <n v="4"/>
    <s v="Computer Science and Engineering"/>
    <x v="1"/>
    <n v="169000"/>
    <n v="154000"/>
    <n v="15000"/>
    <n v="0"/>
    <x v="0"/>
    <x v="0"/>
    <x v="1"/>
    <x v="1"/>
    <s v="India"/>
    <s v="vritikasengupta@example.org"/>
    <n v="919740000000"/>
    <x v="4"/>
    <n v="78"/>
    <n v="90"/>
    <s v="AC"/>
    <x v="604"/>
    <d v="2001-06-14T00:00:00"/>
    <n v="3.1789737171464298"/>
    <x v="0"/>
    <n v="676000"/>
    <n v="736000"/>
  </r>
  <r>
    <s v="Onkar Garg"/>
    <s v="STU713"/>
    <s v="ENR713"/>
    <x v="3"/>
    <x v="0"/>
    <n v="4"/>
    <s v="Computer Science and Engineering"/>
    <x v="8"/>
    <n v="169000"/>
    <n v="154000"/>
    <n v="15000"/>
    <n v="0"/>
    <x v="0"/>
    <x v="0"/>
    <x v="2"/>
    <x v="2"/>
    <s v="India"/>
    <s v="nehmat39@example.com"/>
    <n v="919545000000"/>
    <x v="4"/>
    <n v="78"/>
    <n v="73"/>
    <s v="AC"/>
    <x v="605"/>
    <d v="2002-12-21T00:00:00"/>
    <n v="3.1789737171464298"/>
    <x v="2"/>
    <n v="676000"/>
    <n v="736000"/>
  </r>
  <r>
    <s v="Badal Doshi"/>
    <s v="STU020"/>
    <s v="ENR020"/>
    <x v="3"/>
    <x v="0"/>
    <n v="4"/>
    <s v="Computer Science and Engineering"/>
    <x v="3"/>
    <n v="169000"/>
    <n v="154000"/>
    <n v="15000"/>
    <n v="0"/>
    <x v="0"/>
    <x v="2"/>
    <x v="7"/>
    <x v="6"/>
    <s v="India"/>
    <s v="trivedijayesh@example.net"/>
    <n v="919887000000"/>
    <x v="0"/>
    <n v="78"/>
    <n v="69"/>
    <s v="Non-AC"/>
    <x v="606"/>
    <d v="2006-03-07T00:00:00"/>
    <n v="3.1789737171464298"/>
    <x v="4"/>
    <n v="676000"/>
    <n v="736000"/>
  </r>
  <r>
    <s v="Mahika Goswami"/>
    <s v="STU1064"/>
    <s v="ENR1064"/>
    <x v="5"/>
    <x v="0"/>
    <n v="4"/>
    <s v="Computer Science and Engineering"/>
    <x v="3"/>
    <n v="169000"/>
    <n v="154000"/>
    <n v="15000"/>
    <n v="0"/>
    <x v="0"/>
    <x v="2"/>
    <x v="8"/>
    <x v="7"/>
    <s v="India"/>
    <s v="inaaya-88@example.com"/>
    <n v="918683000000"/>
    <x v="3"/>
    <n v="78"/>
    <n v="77"/>
    <s v="Non-AC"/>
    <x v="607"/>
    <d v="2001-04-22T00:00:00"/>
    <n v="3.1789737171464298"/>
    <x v="0"/>
    <n v="676000"/>
    <n v="736000"/>
  </r>
  <r>
    <s v="Kartik Dugal"/>
    <s v="STU995"/>
    <s v="ENR995"/>
    <x v="4"/>
    <x v="0"/>
    <n v="4"/>
    <s v="Computer Science and Engineering"/>
    <x v="4"/>
    <n v="169000"/>
    <n v="154000"/>
    <n v="15000"/>
    <n v="0"/>
    <x v="0"/>
    <x v="0"/>
    <x v="8"/>
    <x v="7"/>
    <s v="India"/>
    <s v="vritikachoudhry@example.org"/>
    <n v="917957000000"/>
    <x v="1"/>
    <n v="78"/>
    <n v="90"/>
    <s v="Non-AC"/>
    <x v="608"/>
    <d v="2005-04-29T00:00:00"/>
    <n v="3.1789737171464298"/>
    <x v="5"/>
    <n v="676000"/>
    <n v="736000"/>
  </r>
  <r>
    <s v="Kanav Sengupta"/>
    <s v="STU789"/>
    <s v="ENR789"/>
    <x v="3"/>
    <x v="0"/>
    <n v="4"/>
    <s v="Computer Science and Engineering"/>
    <x v="8"/>
    <n v="169000"/>
    <n v="154000"/>
    <n v="15000"/>
    <n v="0"/>
    <x v="0"/>
    <x v="2"/>
    <x v="0"/>
    <x v="0"/>
    <s v="India"/>
    <s v="hrishita77@example.org"/>
    <n v="919651000000"/>
    <x v="1"/>
    <n v="78"/>
    <n v="74"/>
    <s v="Non-AC"/>
    <x v="609"/>
    <d v="2003-05-13T00:00:00"/>
    <n v="3.1789737171464298"/>
    <x v="2"/>
    <n v="676000"/>
    <n v="736000"/>
  </r>
  <r>
    <s v="Vaibhav Bail"/>
    <s v="STU1113"/>
    <s v="ENR1113"/>
    <x v="3"/>
    <x v="0"/>
    <n v="4"/>
    <s v="Computer Science and Engineering"/>
    <x v="0"/>
    <n v="169000"/>
    <n v="154000"/>
    <n v="15000"/>
    <n v="0"/>
    <x v="0"/>
    <x v="1"/>
    <x v="1"/>
    <x v="1"/>
    <s v="India"/>
    <s v="choudhuryhimmat@example.org"/>
    <n v="919923000000"/>
    <x v="0"/>
    <n v="78"/>
    <n v="63"/>
    <s v="AC"/>
    <x v="610"/>
    <d v="2003-10-29T00:00:00"/>
    <n v="3.1789737171464298"/>
    <x v="3"/>
    <n v="676000"/>
    <n v="736000"/>
  </r>
  <r>
    <s v="Ishita Chander"/>
    <s v="STU032"/>
    <s v="ENR032"/>
    <x v="3"/>
    <x v="0"/>
    <n v="4"/>
    <s v="Computer Science and Engineering"/>
    <x v="6"/>
    <n v="169000"/>
    <n v="154000"/>
    <n v="15000"/>
    <n v="0"/>
    <x v="0"/>
    <x v="2"/>
    <x v="4"/>
    <x v="4"/>
    <s v="India"/>
    <s v="hegdepranay@example.com"/>
    <n v="918836000000"/>
    <x v="1"/>
    <n v="78"/>
    <n v="85"/>
    <s v="AC"/>
    <x v="611"/>
    <d v="2002-09-30T00:00:00"/>
    <n v="3.1789737171464298"/>
    <x v="2"/>
    <n v="676000"/>
    <n v="736000"/>
  </r>
  <r>
    <s v="Rasha Bora"/>
    <s v="STU1079"/>
    <s v="ENR1079"/>
    <x v="3"/>
    <x v="0"/>
    <n v="4"/>
    <s v="Computer Science and Engineering"/>
    <x v="4"/>
    <n v="169000"/>
    <n v="154000"/>
    <n v="15000"/>
    <n v="0"/>
    <x v="0"/>
    <x v="0"/>
    <x v="7"/>
    <x v="6"/>
    <s v="India"/>
    <s v="igoel@example.org"/>
    <n v="919719000000"/>
    <x v="0"/>
    <n v="78"/>
    <n v="65"/>
    <s v="Non-AC"/>
    <x v="612"/>
    <d v="2006-03-03T00:00:00"/>
    <n v="3.1789737171464298"/>
    <x v="4"/>
    <n v="676000"/>
    <n v="736000"/>
  </r>
  <r>
    <s v="Dharmajan Sankaran"/>
    <s v="STU1087"/>
    <s v="ENR1087"/>
    <x v="3"/>
    <x v="0"/>
    <n v="4"/>
    <s v="Computer Science and Engineering"/>
    <x v="0"/>
    <n v="169000"/>
    <n v="154000"/>
    <n v="15000"/>
    <n v="0"/>
    <x v="0"/>
    <x v="2"/>
    <x v="1"/>
    <x v="1"/>
    <s v="India"/>
    <s v="miraya54@example.com"/>
    <n v="917582000000"/>
    <x v="3"/>
    <n v="78"/>
    <n v="84"/>
    <s v="AC"/>
    <x v="613"/>
    <d v="2002-06-05T00:00:00"/>
    <n v="3.1789737171464298"/>
    <x v="6"/>
    <n v="676000"/>
    <n v="736000"/>
  </r>
  <r>
    <s v="Dishani Walla"/>
    <s v="STU038"/>
    <s v="ENR038"/>
    <x v="2"/>
    <x v="0"/>
    <n v="4"/>
    <s v="Computer Science and Engineering"/>
    <x v="3"/>
    <n v="169000"/>
    <n v="154000"/>
    <n v="15000"/>
    <n v="0"/>
    <x v="0"/>
    <x v="0"/>
    <x v="0"/>
    <x v="0"/>
    <s v="India"/>
    <s v="mehul27@example.com"/>
    <n v="919336000000"/>
    <x v="4"/>
    <n v="78"/>
    <n v="64"/>
    <s v="Non-AC"/>
    <x v="614"/>
    <d v="2001-04-29T00:00:00"/>
    <n v="3.1789737171464298"/>
    <x v="0"/>
    <n v="676000"/>
    <n v="736000"/>
  </r>
  <r>
    <s v="Samaira Gour"/>
    <s v="STU1161"/>
    <s v="ENR1161"/>
    <x v="3"/>
    <x v="0"/>
    <n v="4"/>
    <s v="Computer Science and Engineering"/>
    <x v="6"/>
    <n v="169000"/>
    <n v="154000"/>
    <n v="15000"/>
    <n v="0"/>
    <x v="0"/>
    <x v="2"/>
    <x v="4"/>
    <x v="4"/>
    <s v="India"/>
    <s v="walidivij@example.org"/>
    <n v="917425000000"/>
    <x v="0"/>
    <n v="78"/>
    <n v="81"/>
    <s v="Non-AC"/>
    <x v="615"/>
    <d v="2002-06-01T00:00:00"/>
    <n v="3.1789737171464298"/>
    <x v="6"/>
    <n v="676000"/>
    <n v="736000"/>
  </r>
  <r>
    <s v="Reyansh Sem"/>
    <s v="STU1155"/>
    <s v="ENR1155"/>
    <x v="3"/>
    <x v="0"/>
    <n v="4"/>
    <s v="Computer Science and Engineering"/>
    <x v="9"/>
    <n v="169000"/>
    <n v="154000"/>
    <n v="15000"/>
    <n v="0"/>
    <x v="0"/>
    <x v="0"/>
    <x v="1"/>
    <x v="1"/>
    <s v="India"/>
    <s v="kbansal@example.com"/>
    <n v="919189000000"/>
    <x v="3"/>
    <n v="78"/>
    <n v="69"/>
    <s v="Non-AC"/>
    <x v="616"/>
    <d v="2005-07-26T00:00:00"/>
    <n v="3.1789737171464298"/>
    <x v="4"/>
    <n v="676000"/>
    <n v="736000"/>
  </r>
  <r>
    <s v="Urvi Bava"/>
    <s v="STU839"/>
    <s v="ENR839"/>
    <x v="3"/>
    <x v="0"/>
    <n v="4"/>
    <s v="Computer Science and Engineering"/>
    <x v="9"/>
    <n v="169000"/>
    <n v="154000"/>
    <n v="15000"/>
    <n v="0"/>
    <x v="0"/>
    <x v="2"/>
    <x v="9"/>
    <x v="8"/>
    <s v="India"/>
    <s v="adira49@example.net"/>
    <n v="918303000000"/>
    <x v="1"/>
    <n v="78"/>
    <n v="88"/>
    <s v="AC"/>
    <x v="617"/>
    <d v="2006-01-22T00:00:00"/>
    <n v="3.1789737171464298"/>
    <x v="4"/>
    <n v="676000"/>
    <n v="736000"/>
  </r>
  <r>
    <s v="Shlok Dixit"/>
    <s v="STU016"/>
    <s v="ENR016"/>
    <x v="4"/>
    <x v="0"/>
    <n v="4"/>
    <s v="Computer Science and Engineering"/>
    <x v="5"/>
    <n v="169000"/>
    <n v="154000"/>
    <n v="15000"/>
    <n v="0"/>
    <x v="0"/>
    <x v="2"/>
    <x v="2"/>
    <x v="2"/>
    <s v="India"/>
    <s v="ukant@example.net"/>
    <n v="917784000000"/>
    <x v="3"/>
    <n v="78"/>
    <n v="79"/>
    <s v="Non-AC"/>
    <x v="618"/>
    <d v="2004-05-01T00:00:00"/>
    <n v="3.1789737171464298"/>
    <x v="3"/>
    <n v="676000"/>
    <n v="736000"/>
  </r>
  <r>
    <s v="Samarth Thakkar"/>
    <s v="STU851"/>
    <s v="ENR851"/>
    <x v="5"/>
    <x v="0"/>
    <n v="4"/>
    <s v="Computer Science and Engineering"/>
    <x v="1"/>
    <n v="169000"/>
    <n v="154000"/>
    <n v="15000"/>
    <n v="0"/>
    <x v="0"/>
    <x v="0"/>
    <x v="5"/>
    <x v="5"/>
    <s v="India"/>
    <s v="dtalwar@example.net"/>
    <n v="919115000000"/>
    <x v="3"/>
    <n v="78"/>
    <n v="81"/>
    <s v="AC"/>
    <x v="619"/>
    <d v="2005-04-14T00:00:00"/>
    <n v="3.1789737171464298"/>
    <x v="5"/>
    <n v="676000"/>
    <n v="736000"/>
  </r>
  <r>
    <s v="Madhav Ghose"/>
    <s v="STU012"/>
    <s v="ENR012"/>
    <x v="0"/>
    <x v="0"/>
    <n v="4"/>
    <s v="Computer Science and Engineering"/>
    <x v="6"/>
    <n v="169000"/>
    <n v="154000"/>
    <n v="15000"/>
    <n v="0"/>
    <x v="0"/>
    <x v="1"/>
    <x v="8"/>
    <x v="7"/>
    <s v="India"/>
    <s v="deshmukhrania@example.com"/>
    <n v="917853000000"/>
    <x v="1"/>
    <n v="78"/>
    <n v="91"/>
    <s v="Non-AC"/>
    <x v="620"/>
    <d v="2001-08-26T00:00:00"/>
    <n v="3.1789737171464298"/>
    <x v="6"/>
    <n v="676000"/>
    <n v="736000"/>
  </r>
  <r>
    <s v="Oorja Balay"/>
    <s v="STU1192"/>
    <s v="ENR1192"/>
    <x v="4"/>
    <x v="0"/>
    <n v="4"/>
    <s v="Computer Science and Engineering"/>
    <x v="5"/>
    <n v="169000"/>
    <n v="154000"/>
    <n v="15000"/>
    <n v="0"/>
    <x v="0"/>
    <x v="2"/>
    <x v="3"/>
    <x v="3"/>
    <s v="India"/>
    <s v="barmankeya@example.net"/>
    <n v="919941000000"/>
    <x v="3"/>
    <n v="78"/>
    <n v="61"/>
    <s v="Non-AC"/>
    <x v="621"/>
    <d v="2005-12-13T00:00:00"/>
    <n v="3.1789737171464298"/>
    <x v="4"/>
    <n v="676000"/>
    <n v="736000"/>
  </r>
  <r>
    <s v="Urvi Sane"/>
    <s v="STU133"/>
    <s v="ENR133"/>
    <x v="4"/>
    <x v="0"/>
    <n v="4"/>
    <s v="Computer Science and Engineering"/>
    <x v="1"/>
    <n v="169000"/>
    <n v="154000"/>
    <n v="15000"/>
    <n v="0"/>
    <x v="0"/>
    <x v="1"/>
    <x v="4"/>
    <x v="4"/>
    <s v="India"/>
    <s v="indrajitsawhney@example.org"/>
    <n v="917350000000"/>
    <x v="3"/>
    <n v="78"/>
    <n v="80"/>
    <s v="Non-AC"/>
    <x v="622"/>
    <d v="2004-06-01T00:00:00"/>
    <n v="3.1789737171464298"/>
    <x v="3"/>
    <n v="676000"/>
    <n v="736000"/>
  </r>
  <r>
    <s v="Madhup Ramachandran"/>
    <s v="STU252"/>
    <s v="ENR252"/>
    <x v="3"/>
    <x v="1"/>
    <n v="2"/>
    <s v="Computer Science Engineering"/>
    <x v="6"/>
    <n v="92000"/>
    <n v="77000"/>
    <n v="15000"/>
    <n v="0"/>
    <x v="0"/>
    <x v="1"/>
    <x v="4"/>
    <x v="4"/>
    <s v="India"/>
    <s v="edugal@example.com"/>
    <n v="917865000000"/>
    <x v="3"/>
    <n v="78"/>
    <n v="62"/>
    <s v="Non-AC"/>
    <x v="623"/>
    <d v="1999-05-05T00:00:00"/>
    <n v="3.1789737171464298"/>
    <x v="7"/>
    <n v="184000"/>
    <n v="214000"/>
  </r>
  <r>
    <s v="Shaan Srivastava"/>
    <s v="STU218"/>
    <s v="ENR218"/>
    <x v="5"/>
    <x v="1"/>
    <n v="2"/>
    <s v="Computer Science Engineering"/>
    <x v="4"/>
    <n v="92000"/>
    <n v="77000"/>
    <n v="15000"/>
    <n v="0"/>
    <x v="0"/>
    <x v="1"/>
    <x v="3"/>
    <x v="3"/>
    <s v="India"/>
    <s v="manikya25@example.net"/>
    <n v="919178000000"/>
    <x v="2"/>
    <n v="78"/>
    <n v="63"/>
    <s v="AC"/>
    <x v="624"/>
    <d v="1996-08-17T00:00:00"/>
    <n v="3.1789737171464298"/>
    <x v="8"/>
    <n v="184000"/>
    <n v="214000"/>
  </r>
  <r>
    <s v="Alia Bhandari"/>
    <s v="STU354"/>
    <s v="ENR354"/>
    <x v="1"/>
    <x v="1"/>
    <n v="2"/>
    <s v="Computer Science Engineering"/>
    <x v="1"/>
    <n v="92000"/>
    <n v="77000"/>
    <n v="15000"/>
    <n v="0"/>
    <x v="0"/>
    <x v="2"/>
    <x v="3"/>
    <x v="3"/>
    <s v="India"/>
    <s v="tiyabassi@example.net"/>
    <n v="919698000000"/>
    <x v="3"/>
    <n v="78"/>
    <n v="60"/>
    <s v="AC"/>
    <x v="625"/>
    <d v="1998-06-02T00:00:00"/>
    <n v="3.1789737171464298"/>
    <x v="9"/>
    <n v="184000"/>
    <n v="214000"/>
  </r>
  <r>
    <s v="Aayush Chaudhary"/>
    <s v="STU331"/>
    <s v="ENR331"/>
    <x v="2"/>
    <x v="1"/>
    <n v="2"/>
    <s v="Computer Science Engineering"/>
    <x v="3"/>
    <n v="92000"/>
    <n v="77000"/>
    <n v="15000"/>
    <n v="0"/>
    <x v="0"/>
    <x v="1"/>
    <x v="0"/>
    <x v="0"/>
    <s v="India"/>
    <s v="shayakloyal@example.com"/>
    <n v="919707000000"/>
    <x v="4"/>
    <n v="78"/>
    <n v="64"/>
    <s v="Non-AC"/>
    <x v="626"/>
    <d v="1996-12-28T00:00:00"/>
    <n v="3.1789737171464298"/>
    <x v="8"/>
    <n v="184000"/>
    <n v="214000"/>
  </r>
  <r>
    <s v="Nishith Soni"/>
    <s v="STU230"/>
    <s v="ENR230"/>
    <x v="5"/>
    <x v="1"/>
    <n v="2"/>
    <s v="Computer Science Engineering"/>
    <x v="1"/>
    <n v="92000"/>
    <n v="77000"/>
    <n v="15000"/>
    <n v="0"/>
    <x v="0"/>
    <x v="2"/>
    <x v="2"/>
    <x v="2"/>
    <s v="India"/>
    <s v="kaulnishith@example.com"/>
    <n v="918609000000"/>
    <x v="4"/>
    <n v="78"/>
    <n v="67"/>
    <s v="AC"/>
    <x v="627"/>
    <d v="2001-09-14T00:00:00"/>
    <n v="3.1789737171464298"/>
    <x v="6"/>
    <n v="184000"/>
    <n v="214000"/>
  </r>
  <r>
    <s v="Ayesha Chokshi"/>
    <s v="STU374"/>
    <s v="ENR374"/>
    <x v="3"/>
    <x v="0"/>
    <n v="4"/>
    <s v="Computer Science and Engineering"/>
    <x v="6"/>
    <n v="169000"/>
    <n v="154000"/>
    <n v="15000"/>
    <n v="0"/>
    <x v="0"/>
    <x v="0"/>
    <x v="3"/>
    <x v="3"/>
    <s v="India"/>
    <s v="dhanushsathe@example.net"/>
    <n v="919512000000"/>
    <x v="0"/>
    <n v="78"/>
    <n v="63"/>
    <s v="Non-AC"/>
    <x v="628"/>
    <d v="2000-11-06T00:00:00"/>
    <n v="3.1789737171464298"/>
    <x v="0"/>
    <n v="676000"/>
    <n v="736000"/>
  </r>
  <r>
    <s v="Ivan Mangal"/>
    <s v="STU204"/>
    <s v="ENR204"/>
    <x v="0"/>
    <x v="0"/>
    <n v="4"/>
    <s v="Computer Science and Engineering"/>
    <x v="2"/>
    <n v="169000"/>
    <n v="154000"/>
    <n v="15000"/>
    <n v="0"/>
    <x v="0"/>
    <x v="2"/>
    <x v="3"/>
    <x v="3"/>
    <s v="India"/>
    <s v="isharaf@example.org"/>
    <n v="917546000000"/>
    <x v="1"/>
    <n v="78"/>
    <n v="88"/>
    <s v="AC"/>
    <x v="629"/>
    <d v="2004-07-04T00:00:00"/>
    <n v="3.1789737171464298"/>
    <x v="3"/>
    <n v="676000"/>
    <n v="736000"/>
  </r>
  <r>
    <s v="Khushi Subramanian"/>
    <s v="STU448"/>
    <s v="ENR448"/>
    <x v="1"/>
    <x v="1"/>
    <n v="2"/>
    <s v="Computer Science Engineering"/>
    <x v="4"/>
    <n v="92000"/>
    <n v="77000"/>
    <n v="15000"/>
    <n v="0"/>
    <x v="0"/>
    <x v="0"/>
    <x v="8"/>
    <x v="7"/>
    <s v="India"/>
    <s v="gsridhar@example.net"/>
    <n v="917110000000"/>
    <x v="3"/>
    <n v="78"/>
    <n v="62"/>
    <s v="AC"/>
    <x v="630"/>
    <d v="1999-06-13T00:00:00"/>
    <n v="3.1789737171464298"/>
    <x v="7"/>
    <n v="184000"/>
    <n v="214000"/>
  </r>
  <r>
    <s v="Riya Wali"/>
    <s v="STU502"/>
    <s v="ENR502"/>
    <x v="5"/>
    <x v="0"/>
    <n v="4"/>
    <s v="Computer Science and Engineering"/>
    <x v="1"/>
    <n v="169000"/>
    <n v="154000"/>
    <n v="15000"/>
    <n v="0"/>
    <x v="0"/>
    <x v="1"/>
    <x v="2"/>
    <x v="2"/>
    <s v="India"/>
    <s v="kchoudhary@example.org"/>
    <n v="918688000000"/>
    <x v="1"/>
    <n v="78"/>
    <n v="72"/>
    <s v="Non-AC"/>
    <x v="631"/>
    <d v="2004-12-05T00:00:00"/>
    <n v="3.1789737171464298"/>
    <x v="5"/>
    <n v="676000"/>
    <n v="736000"/>
  </r>
  <r>
    <s v="Vivaan Ghosh"/>
    <s v="STU372"/>
    <s v="ENR372"/>
    <x v="0"/>
    <x v="1"/>
    <n v="2"/>
    <s v="Computer Science Engineering"/>
    <x v="6"/>
    <n v="92000"/>
    <n v="77000"/>
    <n v="15000"/>
    <n v="0"/>
    <x v="0"/>
    <x v="1"/>
    <x v="7"/>
    <x v="6"/>
    <s v="India"/>
    <s v="amira82@example.net"/>
    <n v="918459000000"/>
    <x v="1"/>
    <n v="78"/>
    <n v="83"/>
    <s v="Non-AC"/>
    <x v="632"/>
    <d v="2001-06-16T00:00:00"/>
    <n v="3.1789737171464298"/>
    <x v="0"/>
    <n v="184000"/>
    <n v="214000"/>
  </r>
  <r>
    <s v="Navya Batra"/>
    <s v="STU568"/>
    <s v="ENR568"/>
    <x v="3"/>
    <x v="0"/>
    <n v="4"/>
    <s v="Computer Science and Engineering"/>
    <x v="2"/>
    <n v="169000"/>
    <n v="154000"/>
    <n v="15000"/>
    <n v="0"/>
    <x v="0"/>
    <x v="0"/>
    <x v="3"/>
    <x v="3"/>
    <s v="India"/>
    <s v="mannat86@example.org"/>
    <n v="918755000000"/>
    <x v="4"/>
    <n v="78"/>
    <n v="60"/>
    <s v="AC"/>
    <x v="633"/>
    <d v="2000-11-25T00:00:00"/>
    <n v="3.1789737171464298"/>
    <x v="0"/>
    <n v="676000"/>
    <n v="736000"/>
  </r>
  <r>
    <s v="Saira Gara"/>
    <s v="STU503"/>
    <s v="ENR503"/>
    <x v="3"/>
    <x v="0"/>
    <n v="4"/>
    <s v="Computer Science and Engineering"/>
    <x v="9"/>
    <n v="169000"/>
    <n v="154000"/>
    <n v="15000"/>
    <n v="0"/>
    <x v="0"/>
    <x v="1"/>
    <x v="9"/>
    <x v="8"/>
    <s v="India"/>
    <s v="kataamira@example.com"/>
    <n v="919505000000"/>
    <x v="4"/>
    <n v="78"/>
    <n v="83"/>
    <s v="AC"/>
    <x v="634"/>
    <d v="2002-06-15T00:00:00"/>
    <n v="3.1789737171464298"/>
    <x v="6"/>
    <n v="676000"/>
    <n v="736000"/>
  </r>
  <r>
    <s v="Nehmat Dugal"/>
    <s v="STU311"/>
    <s v="ENR311"/>
    <x v="0"/>
    <x v="0"/>
    <n v="4"/>
    <s v="Computer Science and Engineering"/>
    <x v="5"/>
    <n v="169000"/>
    <n v="154000"/>
    <n v="15000"/>
    <n v="0"/>
    <x v="0"/>
    <x v="0"/>
    <x v="3"/>
    <x v="3"/>
    <s v="India"/>
    <s v="ndutta@example.net"/>
    <n v="917798000000"/>
    <x v="4"/>
    <n v="78"/>
    <n v="73"/>
    <s v="AC"/>
    <x v="635"/>
    <d v="2001-05-13T00:00:00"/>
    <n v="3.1789737171464298"/>
    <x v="0"/>
    <n v="676000"/>
    <n v="736000"/>
  </r>
  <r>
    <s v="Indrans Gulati"/>
    <s v="STU337"/>
    <s v="ENR337"/>
    <x v="1"/>
    <x v="1"/>
    <n v="2"/>
    <s v="Computer Science Engineering"/>
    <x v="5"/>
    <n v="92000"/>
    <n v="77000"/>
    <n v="15000"/>
    <n v="0"/>
    <x v="0"/>
    <x v="0"/>
    <x v="9"/>
    <x v="8"/>
    <s v="India"/>
    <s v="trishasarna@example.net"/>
    <n v="919211000000"/>
    <x v="1"/>
    <n v="78"/>
    <n v="83"/>
    <s v="AC"/>
    <x v="636"/>
    <d v="1996-10-05T00:00:00"/>
    <n v="3.1789737171464298"/>
    <x v="8"/>
    <n v="184000"/>
    <n v="214000"/>
  </r>
  <r>
    <s v="Shalv Devi"/>
    <s v="STU212"/>
    <s v="ENR212"/>
    <x v="0"/>
    <x v="0"/>
    <n v="4"/>
    <s v="Computer Science and Engineering"/>
    <x v="8"/>
    <n v="169000"/>
    <n v="154000"/>
    <n v="15000"/>
    <n v="0"/>
    <x v="0"/>
    <x v="0"/>
    <x v="3"/>
    <x v="3"/>
    <s v="India"/>
    <s v="senkismat@example.net"/>
    <n v="917304000000"/>
    <x v="4"/>
    <n v="78"/>
    <n v="87"/>
    <s v="Non-AC"/>
    <x v="637"/>
    <d v="2002-09-26T00:00:00"/>
    <n v="3.1789737171464298"/>
    <x v="2"/>
    <n v="676000"/>
    <n v="736000"/>
  </r>
  <r>
    <s v="Azad Sagar"/>
    <s v="STU272"/>
    <s v="ENR272"/>
    <x v="1"/>
    <x v="1"/>
    <n v="2"/>
    <s v="Computer Science Engineering"/>
    <x v="0"/>
    <n v="92000"/>
    <n v="77000"/>
    <n v="15000"/>
    <n v="0"/>
    <x v="0"/>
    <x v="0"/>
    <x v="9"/>
    <x v="8"/>
    <s v="India"/>
    <s v="lcontractor@example.org"/>
    <n v="917050000000"/>
    <x v="1"/>
    <n v="78"/>
    <n v="60"/>
    <s v="Non-AC"/>
    <x v="638"/>
    <d v="2001-12-20T00:00:00"/>
    <n v="3.1789737171464298"/>
    <x v="6"/>
    <n v="184000"/>
    <n v="214000"/>
  </r>
  <r>
    <s v="Stuvan Sama"/>
    <s v="STU154"/>
    <s v="ENR154"/>
    <x v="2"/>
    <x v="0"/>
    <n v="4"/>
    <s v="Computer Science and Engineering"/>
    <x v="4"/>
    <n v="169000"/>
    <n v="154000"/>
    <n v="15000"/>
    <n v="0"/>
    <x v="0"/>
    <x v="1"/>
    <x v="3"/>
    <x v="3"/>
    <s v="India"/>
    <s v="miraanchaudry@example.com"/>
    <n v="918485000000"/>
    <x v="4"/>
    <n v="78"/>
    <n v="76"/>
    <s v="AC"/>
    <x v="639"/>
    <d v="2003-04-26T00:00:00"/>
    <n v="3.1789737171464298"/>
    <x v="2"/>
    <n v="676000"/>
    <n v="736000"/>
  </r>
  <r>
    <s v="Tushar Singh"/>
    <s v="STU393"/>
    <s v="ENR393"/>
    <x v="2"/>
    <x v="0"/>
    <n v="4"/>
    <s v="Computer Science and Engineering"/>
    <x v="9"/>
    <n v="169000"/>
    <n v="154000"/>
    <n v="15000"/>
    <n v="0"/>
    <x v="0"/>
    <x v="0"/>
    <x v="5"/>
    <x v="5"/>
    <s v="India"/>
    <s v="vedika34@example.org"/>
    <n v="918398000000"/>
    <x v="1"/>
    <n v="78"/>
    <n v="88"/>
    <s v="AC"/>
    <x v="640"/>
    <d v="2005-02-15T00:00:00"/>
    <n v="3.1789737171464298"/>
    <x v="5"/>
    <n v="676000"/>
    <n v="736000"/>
  </r>
  <r>
    <s v="Hazel Kunda"/>
    <s v="STU520"/>
    <s v="ENR520"/>
    <x v="4"/>
    <x v="0"/>
    <n v="4"/>
    <s v="Computer Science and Engineering"/>
    <x v="0"/>
    <n v="169000"/>
    <n v="154000"/>
    <n v="15000"/>
    <n v="0"/>
    <x v="0"/>
    <x v="1"/>
    <x v="0"/>
    <x v="0"/>
    <s v="India"/>
    <s v="stuvansane@example.net"/>
    <n v="917026000000"/>
    <x v="1"/>
    <n v="78"/>
    <n v="67"/>
    <s v="AC"/>
    <x v="641"/>
    <d v="2003-11-01T00:00:00"/>
    <n v="3.1789737171464298"/>
    <x v="3"/>
    <n v="676000"/>
    <n v="736000"/>
  </r>
  <r>
    <s v="Arnav Yogi"/>
    <s v="STU400"/>
    <s v="ENR400"/>
    <x v="4"/>
    <x v="0"/>
    <n v="4"/>
    <s v="Computer Science and Engineering"/>
    <x v="1"/>
    <n v="169000"/>
    <n v="154000"/>
    <n v="15000"/>
    <n v="0"/>
    <x v="0"/>
    <x v="2"/>
    <x v="3"/>
    <x v="3"/>
    <s v="India"/>
    <s v="sakshamcheema@example.net"/>
    <n v="919255000000"/>
    <x v="0"/>
    <n v="78"/>
    <n v="74"/>
    <s v="AC"/>
    <x v="642"/>
    <d v="2005-05-05T00:00:00"/>
    <n v="3.1789737171464298"/>
    <x v="5"/>
    <n v="676000"/>
    <n v="736000"/>
  </r>
  <r>
    <s v="Gokul Mallick"/>
    <s v="STU389"/>
    <s v="ENR389"/>
    <x v="4"/>
    <x v="1"/>
    <n v="2"/>
    <s v="Computer Science Engineering"/>
    <x v="1"/>
    <n v="92000"/>
    <n v="77000"/>
    <n v="15000"/>
    <n v="0"/>
    <x v="0"/>
    <x v="0"/>
    <x v="8"/>
    <x v="7"/>
    <s v="India"/>
    <s v="sairayogi@example.com"/>
    <n v="918874000000"/>
    <x v="1"/>
    <n v="78"/>
    <n v="67"/>
    <s v="Non-AC"/>
    <x v="643"/>
    <d v="2000-08-20T00:00:00"/>
    <n v="3.1789737171464298"/>
    <x v="0"/>
    <n v="184000"/>
    <n v="214000"/>
  </r>
  <r>
    <s v="Dishani Loyal"/>
    <s v="STU212"/>
    <s v="ENR212"/>
    <x v="4"/>
    <x v="1"/>
    <n v="2"/>
    <s v="Computer Science Engineering"/>
    <x v="6"/>
    <n v="92000"/>
    <n v="77000"/>
    <n v="15000"/>
    <n v="0"/>
    <x v="0"/>
    <x v="2"/>
    <x v="0"/>
    <x v="0"/>
    <s v="India"/>
    <s v="grovershanaya@example.org"/>
    <n v="917221000000"/>
    <x v="4"/>
    <n v="78"/>
    <n v="69"/>
    <s v="AC"/>
    <x v="644"/>
    <d v="1997-04-23T00:00:00"/>
    <n v="3.1789737171464298"/>
    <x v="8"/>
    <n v="184000"/>
    <n v="214000"/>
  </r>
  <r>
    <s v="Nehmat Dugal"/>
    <s v="STU536"/>
    <s v="ENR536"/>
    <x v="1"/>
    <x v="0"/>
    <n v="4"/>
    <s v="Computer Science and Engineering"/>
    <x v="3"/>
    <n v="169000"/>
    <n v="154000"/>
    <n v="15000"/>
    <n v="0"/>
    <x v="0"/>
    <x v="0"/>
    <x v="4"/>
    <x v="4"/>
    <s v="India"/>
    <s v="jayeshsarma@example.net"/>
    <n v="917764000000"/>
    <x v="4"/>
    <n v="78"/>
    <n v="67"/>
    <s v="Non-AC"/>
    <x v="645"/>
    <d v="2004-01-12T00:00:00"/>
    <n v="3.1789737171464298"/>
    <x v="3"/>
    <n v="676000"/>
    <n v="736000"/>
  </r>
  <r>
    <s v="Riya Dhaliwal"/>
    <s v="STU140"/>
    <s v="ENR140"/>
    <x v="5"/>
    <x v="0"/>
    <n v="4"/>
    <s v="Computer Science and Engineering"/>
    <x v="4"/>
    <n v="169000"/>
    <n v="154000"/>
    <n v="15000"/>
    <n v="0"/>
    <x v="0"/>
    <x v="2"/>
    <x v="1"/>
    <x v="1"/>
    <s v="India"/>
    <s v="bathtiya@example.org"/>
    <n v="917939000000"/>
    <x v="3"/>
    <n v="78"/>
    <n v="92"/>
    <s v="AC"/>
    <x v="646"/>
    <d v="2004-02-12T00:00:00"/>
    <n v="3.1789737171464298"/>
    <x v="3"/>
    <n v="676000"/>
    <n v="736000"/>
  </r>
  <r>
    <s v="Rania Tripathi"/>
    <s v="STU313"/>
    <s v="ENR313"/>
    <x v="0"/>
    <x v="1"/>
    <n v="2"/>
    <s v="Computer Science Engineering"/>
    <x v="3"/>
    <n v="92000"/>
    <n v="77000"/>
    <n v="15000"/>
    <n v="0"/>
    <x v="0"/>
    <x v="2"/>
    <x v="0"/>
    <x v="0"/>
    <s v="India"/>
    <s v="zeeshan57@example.net"/>
    <n v="919847000000"/>
    <x v="3"/>
    <n v="78"/>
    <n v="69"/>
    <s v="Non-AC"/>
    <x v="647"/>
    <d v="1998-05-20T00:00:00"/>
    <n v="3.1789737171464298"/>
    <x v="9"/>
    <n v="184000"/>
    <n v="214000"/>
  </r>
  <r>
    <s v="Fateh Kara"/>
    <s v="STU405"/>
    <s v="ENR405"/>
    <x v="2"/>
    <x v="0"/>
    <n v="4"/>
    <s v="Computer Science and Engineering"/>
    <x v="6"/>
    <n v="169000"/>
    <n v="154000"/>
    <n v="15000"/>
    <n v="0"/>
    <x v="0"/>
    <x v="2"/>
    <x v="2"/>
    <x v="2"/>
    <s v="India"/>
    <s v="saksham52@example.org"/>
    <n v="918952000000"/>
    <x v="4"/>
    <n v="78"/>
    <n v="90"/>
    <s v="Non-AC"/>
    <x v="648"/>
    <d v="2000-07-14T00:00:00"/>
    <n v="3.1789737171464298"/>
    <x v="0"/>
    <n v="676000"/>
    <n v="736000"/>
  </r>
  <r>
    <s v="Shamik Dixit"/>
    <s v="STU262"/>
    <s v="ENR262"/>
    <x v="3"/>
    <x v="0"/>
    <n v="4"/>
    <s v="Computer Science and Engineering"/>
    <x v="3"/>
    <n v="169000"/>
    <n v="154000"/>
    <n v="15000"/>
    <n v="0"/>
    <x v="0"/>
    <x v="2"/>
    <x v="3"/>
    <x v="3"/>
    <s v="India"/>
    <s v="ranbir88@example.org"/>
    <n v="918094000000"/>
    <x v="0"/>
    <n v="77"/>
    <n v="74"/>
    <s v="AC"/>
    <x v="649"/>
    <d v="2000-08-04T00:00:00"/>
    <n v="2.1789737171464298"/>
    <x v="0"/>
    <n v="676000"/>
    <n v="736000"/>
  </r>
  <r>
    <s v="Akarsh Barad"/>
    <s v="STU335"/>
    <s v="ENR335"/>
    <x v="5"/>
    <x v="1"/>
    <n v="2"/>
    <s v="Computer Science Engineering"/>
    <x v="4"/>
    <n v="92000"/>
    <n v="77000"/>
    <n v="15000"/>
    <n v="0"/>
    <x v="0"/>
    <x v="1"/>
    <x v="3"/>
    <x v="3"/>
    <s v="India"/>
    <s v="aaryahiissac@example.org"/>
    <n v="919485000000"/>
    <x v="4"/>
    <n v="77"/>
    <n v="71"/>
    <s v="AC"/>
    <x v="650"/>
    <d v="1999-10-09T00:00:00"/>
    <n v="2.1789737171464298"/>
    <x v="1"/>
    <n v="184000"/>
    <n v="214000"/>
  </r>
  <r>
    <s v="Misha Dutta"/>
    <s v="STU731"/>
    <s v="ENR731"/>
    <x v="4"/>
    <x v="0"/>
    <n v="4"/>
    <s v="Computer Science and Engineering"/>
    <x v="0"/>
    <n v="169000"/>
    <n v="154000"/>
    <n v="15000"/>
    <n v="0"/>
    <x v="0"/>
    <x v="1"/>
    <x v="1"/>
    <x v="1"/>
    <s v="India"/>
    <s v="zoyadhillon@example.net"/>
    <n v="918152000000"/>
    <x v="0"/>
    <n v="77"/>
    <n v="89"/>
    <s v="Non-AC"/>
    <x v="651"/>
    <d v="2003-06-17T00:00:00"/>
    <n v="2.1789737171464298"/>
    <x v="2"/>
    <n v="676000"/>
    <n v="736000"/>
  </r>
  <r>
    <s v="Sumer Chand"/>
    <s v="STU578"/>
    <s v="ENR578"/>
    <x v="5"/>
    <x v="0"/>
    <n v="4"/>
    <s v="Computer Science and Engineering"/>
    <x v="1"/>
    <n v="169000"/>
    <n v="154000"/>
    <n v="15000"/>
    <n v="0"/>
    <x v="0"/>
    <x v="2"/>
    <x v="9"/>
    <x v="8"/>
    <s v="India"/>
    <s v="tejas45@example.org"/>
    <n v="917667000000"/>
    <x v="3"/>
    <n v="77"/>
    <n v="81"/>
    <s v="Non-AC"/>
    <x v="652"/>
    <d v="2006-06-17T00:00:00"/>
    <n v="2.1789737171464298"/>
    <x v="4"/>
    <n v="676000"/>
    <n v="736000"/>
  </r>
  <r>
    <s v="Aaryahi Chaudry"/>
    <s v="STU870"/>
    <s v="ENR870"/>
    <x v="0"/>
    <x v="0"/>
    <n v="4"/>
    <s v="Computer Science and Engineering"/>
    <x v="4"/>
    <n v="169000"/>
    <n v="154000"/>
    <n v="15000"/>
    <n v="0"/>
    <x v="0"/>
    <x v="1"/>
    <x v="1"/>
    <x v="1"/>
    <s v="India"/>
    <s v="echar@example.org"/>
    <n v="918762000000"/>
    <x v="2"/>
    <n v="77"/>
    <n v="91"/>
    <s v="AC"/>
    <x v="653"/>
    <d v="2004-12-07T00:00:00"/>
    <n v="2.1789737171464298"/>
    <x v="5"/>
    <n v="676000"/>
    <n v="736000"/>
  </r>
  <r>
    <s v="Hrishita Raman"/>
    <s v="STU497"/>
    <s v="ENR497"/>
    <x v="1"/>
    <x v="0"/>
    <n v="4"/>
    <s v="Computer Science and Engineering"/>
    <x v="8"/>
    <n v="169000"/>
    <n v="154000"/>
    <n v="15000"/>
    <n v="0"/>
    <x v="0"/>
    <x v="2"/>
    <x v="4"/>
    <x v="4"/>
    <s v="India"/>
    <s v="tanyasant@example.org"/>
    <n v="917969000000"/>
    <x v="2"/>
    <n v="77"/>
    <n v="89"/>
    <s v="AC"/>
    <x v="654"/>
    <d v="2002-02-11T00:00:00"/>
    <n v="2.1789737171464298"/>
    <x v="6"/>
    <n v="676000"/>
    <n v="736000"/>
  </r>
  <r>
    <s v="Hrishita Kamdar"/>
    <s v="STU315"/>
    <s v="ENR315"/>
    <x v="3"/>
    <x v="1"/>
    <n v="2"/>
    <s v="Computer Science Engineering"/>
    <x v="0"/>
    <n v="92000"/>
    <n v="77000"/>
    <n v="15000"/>
    <n v="0"/>
    <x v="0"/>
    <x v="0"/>
    <x v="0"/>
    <x v="0"/>
    <s v="India"/>
    <s v="himmat44@example.net"/>
    <n v="917300000000"/>
    <x v="4"/>
    <n v="77"/>
    <n v="81"/>
    <s v="Non-AC"/>
    <x v="655"/>
    <d v="1999-11-29T00:00:00"/>
    <n v="2.1789737171464298"/>
    <x v="1"/>
    <n v="184000"/>
    <n v="214000"/>
  </r>
  <r>
    <s v="Vaibhav Sagar"/>
    <s v="STU368"/>
    <s v="ENR368"/>
    <x v="2"/>
    <x v="1"/>
    <n v="2"/>
    <s v="Computer Science Engineering"/>
    <x v="3"/>
    <n v="92000"/>
    <n v="77000"/>
    <n v="15000"/>
    <n v="0"/>
    <x v="0"/>
    <x v="0"/>
    <x v="9"/>
    <x v="8"/>
    <s v="India"/>
    <s v="vdalal@example.org"/>
    <n v="918844000000"/>
    <x v="0"/>
    <n v="77"/>
    <n v="72"/>
    <s v="Non-AC"/>
    <x v="656"/>
    <d v="1999-03-09T00:00:00"/>
    <n v="2.1789737171464298"/>
    <x v="7"/>
    <n v="184000"/>
    <n v="214000"/>
  </r>
  <r>
    <s v="Baiju Andra"/>
    <s v="STU981"/>
    <s v="ENR981"/>
    <x v="3"/>
    <x v="0"/>
    <n v="4"/>
    <s v="Computer Science and Engineering"/>
    <x v="1"/>
    <n v="169000"/>
    <n v="154000"/>
    <n v="15000"/>
    <n v="0"/>
    <x v="0"/>
    <x v="2"/>
    <x v="7"/>
    <x v="6"/>
    <s v="India"/>
    <s v="jayanbail@example.com"/>
    <n v="917817000000"/>
    <x v="4"/>
    <n v="77"/>
    <n v="69"/>
    <s v="Non-AC"/>
    <x v="657"/>
    <d v="2002-07-08T00:00:00"/>
    <n v="2.1789737171464298"/>
    <x v="6"/>
    <n v="676000"/>
    <n v="736000"/>
  </r>
  <r>
    <s v="Shanaya Apte"/>
    <s v="STU177"/>
    <s v="ENR177"/>
    <x v="1"/>
    <x v="1"/>
    <n v="2"/>
    <s v="Computer Science Engineering"/>
    <x v="0"/>
    <n v="92000"/>
    <n v="77000"/>
    <n v="15000"/>
    <n v="0"/>
    <x v="0"/>
    <x v="1"/>
    <x v="6"/>
    <x v="3"/>
    <s v="India"/>
    <s v="gatik78@example.net"/>
    <n v="918053000000"/>
    <x v="2"/>
    <n v="77"/>
    <n v="75"/>
    <s v="Non-AC"/>
    <x v="658"/>
    <d v="2000-04-17T00:00:00"/>
    <n v="2.1789737171464298"/>
    <x v="1"/>
    <n v="184000"/>
    <n v="214000"/>
  </r>
  <r>
    <s v="Sahil Chada"/>
    <s v="STU944"/>
    <s v="ENR944"/>
    <x v="5"/>
    <x v="0"/>
    <n v="4"/>
    <s v="Computer Science and Engineering"/>
    <x v="3"/>
    <n v="169000"/>
    <n v="154000"/>
    <n v="15000"/>
    <n v="0"/>
    <x v="0"/>
    <x v="0"/>
    <x v="2"/>
    <x v="2"/>
    <s v="India"/>
    <s v="sanakarpe@example.org"/>
    <n v="917360000000"/>
    <x v="1"/>
    <n v="77"/>
    <n v="74"/>
    <s v="Non-AC"/>
    <x v="659"/>
    <d v="2001-06-28T00:00:00"/>
    <n v="2.1789737171464298"/>
    <x v="0"/>
    <n v="676000"/>
    <n v="736000"/>
  </r>
  <r>
    <s v="Shlok Varma"/>
    <s v="STU463"/>
    <s v="ENR463"/>
    <x v="3"/>
    <x v="1"/>
    <n v="2"/>
    <s v="Computer Science Engineering"/>
    <x v="5"/>
    <n v="92000"/>
    <n v="77000"/>
    <n v="15000"/>
    <n v="0"/>
    <x v="0"/>
    <x v="2"/>
    <x v="0"/>
    <x v="0"/>
    <s v="India"/>
    <s v="hirandeep@example.org"/>
    <n v="917573000000"/>
    <x v="3"/>
    <n v="77"/>
    <n v="83"/>
    <s v="AC"/>
    <x v="660"/>
    <d v="2000-05-03T00:00:00"/>
    <n v="2.1789737171464298"/>
    <x v="1"/>
    <n v="184000"/>
    <n v="214000"/>
  </r>
  <r>
    <s v="Divyansh Wali"/>
    <s v="STU253"/>
    <s v="ENR253"/>
    <x v="2"/>
    <x v="0"/>
    <n v="4"/>
    <s v="Computer Science and Engineering"/>
    <x v="9"/>
    <n v="169000"/>
    <n v="154000"/>
    <n v="15000"/>
    <n v="0"/>
    <x v="0"/>
    <x v="1"/>
    <x v="9"/>
    <x v="8"/>
    <s v="India"/>
    <s v="shloktoor@example.net"/>
    <n v="919679000000"/>
    <x v="3"/>
    <n v="77"/>
    <n v="75"/>
    <s v="Non-AC"/>
    <x v="661"/>
    <d v="2001-07-08T00:00:00"/>
    <n v="2.1789737171464298"/>
    <x v="0"/>
    <n v="676000"/>
    <n v="736000"/>
  </r>
  <r>
    <s v="Anay Yohannan"/>
    <s v="STU565"/>
    <s v="ENR565"/>
    <x v="4"/>
    <x v="0"/>
    <n v="4"/>
    <s v="Computer Science and Engineering"/>
    <x v="8"/>
    <n v="169000"/>
    <n v="154000"/>
    <n v="15000"/>
    <n v="0"/>
    <x v="0"/>
    <x v="0"/>
    <x v="0"/>
    <x v="0"/>
    <s v="India"/>
    <s v="heer43@example.com"/>
    <n v="918279000000"/>
    <x v="4"/>
    <n v="77"/>
    <n v="88"/>
    <s v="Non-AC"/>
    <x v="662"/>
    <d v="2005-03-03T00:00:00"/>
    <n v="2.1789737171464298"/>
    <x v="5"/>
    <n v="676000"/>
    <n v="736000"/>
  </r>
  <r>
    <s v="Miraya Anand"/>
    <s v="STU1197"/>
    <s v="ENR1197"/>
    <x v="5"/>
    <x v="0"/>
    <n v="4"/>
    <s v="Computer Science and Engineering"/>
    <x v="4"/>
    <n v="169000"/>
    <n v="154000"/>
    <n v="15000"/>
    <n v="0"/>
    <x v="0"/>
    <x v="1"/>
    <x v="8"/>
    <x v="7"/>
    <s v="India"/>
    <s v="azadyadav@example.com"/>
    <n v="917363000000"/>
    <x v="3"/>
    <n v="77"/>
    <n v="73"/>
    <s v="AC"/>
    <x v="663"/>
    <d v="2002-02-22T00:00:00"/>
    <n v="2.1789737171464298"/>
    <x v="6"/>
    <n v="676000"/>
    <n v="736000"/>
  </r>
  <r>
    <s v="Lagan Chada"/>
    <s v="STU360"/>
    <s v="ENR360"/>
    <x v="0"/>
    <x v="0"/>
    <n v="4"/>
    <s v="Computer Science and Engineering"/>
    <x v="5"/>
    <n v="169000"/>
    <n v="154000"/>
    <n v="15000"/>
    <n v="0"/>
    <x v="0"/>
    <x v="0"/>
    <x v="7"/>
    <x v="6"/>
    <s v="India"/>
    <s v="renee79@example.com"/>
    <n v="919266000000"/>
    <x v="0"/>
    <n v="77"/>
    <n v="78"/>
    <s v="Non-AC"/>
    <x v="664"/>
    <d v="2001-01-14T00:00:00"/>
    <n v="2.1789737171464298"/>
    <x v="0"/>
    <n v="676000"/>
    <n v="736000"/>
  </r>
  <r>
    <s v="Myra Bal"/>
    <s v="STU126"/>
    <s v="ENR126"/>
    <x v="0"/>
    <x v="1"/>
    <n v="2"/>
    <s v="Computer Science Engineering"/>
    <x v="5"/>
    <n v="92000"/>
    <n v="77000"/>
    <n v="15000"/>
    <n v="0"/>
    <x v="0"/>
    <x v="1"/>
    <x v="4"/>
    <x v="4"/>
    <s v="India"/>
    <s v="vchauhan@example.net"/>
    <n v="918516000000"/>
    <x v="1"/>
    <n v="77"/>
    <n v="77"/>
    <s v="AC"/>
    <x v="665"/>
    <d v="1996-12-17T00:00:00"/>
    <n v="2.1789737171464298"/>
    <x v="8"/>
    <n v="184000"/>
    <n v="214000"/>
  </r>
  <r>
    <s v="Dhanuk Karnik"/>
    <s v="STU307"/>
    <s v="ENR307"/>
    <x v="2"/>
    <x v="0"/>
    <n v="4"/>
    <s v="Computer Science and Engineering"/>
    <x v="4"/>
    <n v="169000"/>
    <n v="154000"/>
    <n v="15000"/>
    <n v="0"/>
    <x v="0"/>
    <x v="2"/>
    <x v="2"/>
    <x v="2"/>
    <s v="India"/>
    <s v="bandibhavin@example.org"/>
    <n v="917086000000"/>
    <x v="4"/>
    <n v="77"/>
    <n v="68"/>
    <s v="Non-AC"/>
    <x v="666"/>
    <d v="2005-09-19T00:00:00"/>
    <n v="2.1789737171464298"/>
    <x v="4"/>
    <n v="676000"/>
    <n v="736000"/>
  </r>
  <r>
    <s v="Shamik Kapoor"/>
    <s v="STU040"/>
    <s v="ENR040"/>
    <x v="5"/>
    <x v="0"/>
    <n v="4"/>
    <s v="Computer Science and Engineering"/>
    <x v="4"/>
    <n v="169000"/>
    <n v="154000"/>
    <n v="15000"/>
    <n v="0"/>
    <x v="0"/>
    <x v="1"/>
    <x v="6"/>
    <x v="3"/>
    <s v="India"/>
    <s v="bakshiriya@example.org"/>
    <n v="917659000000"/>
    <x v="1"/>
    <n v="77"/>
    <n v="89"/>
    <s v="AC"/>
    <x v="667"/>
    <d v="2005-06-08T00:00:00"/>
    <n v="2.1789737171464298"/>
    <x v="5"/>
    <n v="676000"/>
    <n v="736000"/>
  </r>
  <r>
    <s v="Trisha Kalla"/>
    <s v="STU342"/>
    <s v="ENR342"/>
    <x v="3"/>
    <x v="0"/>
    <n v="4"/>
    <s v="Computer Science and Engineering"/>
    <x v="7"/>
    <n v="169000"/>
    <n v="154000"/>
    <n v="15000"/>
    <n v="0"/>
    <x v="0"/>
    <x v="0"/>
    <x v="8"/>
    <x v="7"/>
    <s v="India"/>
    <s v="jhaverikabir@example.org"/>
    <n v="918497000000"/>
    <x v="4"/>
    <n v="77"/>
    <n v="83"/>
    <s v="AC"/>
    <x v="668"/>
    <d v="2001-09-02T00:00:00"/>
    <n v="2.1789737171464298"/>
    <x v="6"/>
    <n v="676000"/>
    <n v="736000"/>
  </r>
  <r>
    <s v="Biju Rajagopalan"/>
    <s v="STU408"/>
    <s v="ENR408"/>
    <x v="0"/>
    <x v="0"/>
    <n v="4"/>
    <s v="Computer Science and Engineering"/>
    <x v="8"/>
    <n v="169000"/>
    <n v="154000"/>
    <n v="15000"/>
    <n v="0"/>
    <x v="0"/>
    <x v="0"/>
    <x v="9"/>
    <x v="8"/>
    <s v="India"/>
    <s v="nbava@example.com"/>
    <n v="918366000000"/>
    <x v="4"/>
    <n v="77"/>
    <n v="73"/>
    <s v="AC"/>
    <x v="669"/>
    <d v="2006-01-14T00:00:00"/>
    <n v="2.1789737171464298"/>
    <x v="4"/>
    <n v="676000"/>
    <n v="736000"/>
  </r>
  <r>
    <s v="Lavanya Ravi"/>
    <s v="STU858"/>
    <s v="ENR858"/>
    <x v="4"/>
    <x v="0"/>
    <n v="4"/>
    <s v="Computer Science and Engineering"/>
    <x v="2"/>
    <n v="169000"/>
    <n v="154000"/>
    <n v="15000"/>
    <n v="0"/>
    <x v="0"/>
    <x v="2"/>
    <x v="0"/>
    <x v="0"/>
    <s v="India"/>
    <s v="zara37@example.net"/>
    <n v="917612000000"/>
    <x v="0"/>
    <n v="77"/>
    <n v="62"/>
    <s v="AC"/>
    <x v="670"/>
    <d v="2004-08-01T00:00:00"/>
    <n v="2.1789737171464298"/>
    <x v="5"/>
    <n v="676000"/>
    <n v="736000"/>
  </r>
  <r>
    <s v="Advik Krishnamurthy"/>
    <s v="STU140"/>
    <s v="ENR140"/>
    <x v="5"/>
    <x v="1"/>
    <n v="2"/>
    <s v="Computer Science Engineering"/>
    <x v="1"/>
    <n v="92000"/>
    <n v="77000"/>
    <n v="15000"/>
    <n v="0"/>
    <x v="0"/>
    <x v="2"/>
    <x v="1"/>
    <x v="1"/>
    <s v="India"/>
    <s v="golaseher@example.org"/>
    <n v="917164000000"/>
    <x v="3"/>
    <n v="77"/>
    <n v="80"/>
    <s v="AC"/>
    <x v="671"/>
    <d v="1997-02-25T00:00:00"/>
    <n v="2.1789737171464298"/>
    <x v="8"/>
    <n v="184000"/>
    <n v="214000"/>
  </r>
  <r>
    <s v="Jayant Bhatnagar"/>
    <s v="STU929"/>
    <s v="ENR929"/>
    <x v="1"/>
    <x v="0"/>
    <n v="4"/>
    <s v="Computer Science and Engineering"/>
    <x v="2"/>
    <n v="169000"/>
    <n v="154000"/>
    <n v="15000"/>
    <n v="0"/>
    <x v="0"/>
    <x v="2"/>
    <x v="1"/>
    <x v="1"/>
    <s v="India"/>
    <s v="jayaramansara@example.com"/>
    <n v="918316000000"/>
    <x v="1"/>
    <n v="77"/>
    <n v="89"/>
    <s v="AC"/>
    <x v="672"/>
    <d v="2005-10-11T00:00:00"/>
    <n v="2.1789737171464298"/>
    <x v="4"/>
    <n v="676000"/>
    <n v="736000"/>
  </r>
  <r>
    <s v="Myra Salvi"/>
    <s v="STU819"/>
    <s v="ENR819"/>
    <x v="5"/>
    <x v="0"/>
    <n v="4"/>
    <s v="Computer Science and Engineering"/>
    <x v="9"/>
    <n v="169000"/>
    <n v="154000"/>
    <n v="15000"/>
    <n v="0"/>
    <x v="0"/>
    <x v="0"/>
    <x v="6"/>
    <x v="3"/>
    <s v="India"/>
    <s v="achauhan@example.com"/>
    <n v="919038000000"/>
    <x v="0"/>
    <n v="77"/>
    <n v="62"/>
    <s v="AC"/>
    <x v="673"/>
    <d v="2000-12-10T00:00:00"/>
    <n v="2.1789737171464298"/>
    <x v="0"/>
    <n v="676000"/>
    <n v="736000"/>
  </r>
  <r>
    <s v="Fateh Jani"/>
    <s v="STU606"/>
    <s v="ENR606"/>
    <x v="4"/>
    <x v="0"/>
    <n v="4"/>
    <s v="Computer Science and Engineering"/>
    <x v="5"/>
    <n v="169000"/>
    <n v="154000"/>
    <n v="15000"/>
    <n v="0"/>
    <x v="0"/>
    <x v="1"/>
    <x v="8"/>
    <x v="7"/>
    <s v="India"/>
    <s v="ivana78@example.com"/>
    <n v="918039000000"/>
    <x v="1"/>
    <n v="77"/>
    <n v="64"/>
    <s v="AC"/>
    <x v="674"/>
    <d v="2003-03-24T00:00:00"/>
    <n v="2.1789737171464298"/>
    <x v="2"/>
    <n v="676000"/>
    <n v="736000"/>
  </r>
  <r>
    <s v="Parinaaz Sem"/>
    <s v="STU394"/>
    <s v="ENR394"/>
    <x v="4"/>
    <x v="0"/>
    <n v="4"/>
    <s v="Computer Science and Engineering"/>
    <x v="6"/>
    <n v="169000"/>
    <n v="154000"/>
    <n v="15000"/>
    <n v="0"/>
    <x v="0"/>
    <x v="2"/>
    <x v="8"/>
    <x v="7"/>
    <s v="India"/>
    <s v="indrajitmane@example.net"/>
    <n v="917824000000"/>
    <x v="0"/>
    <n v="77"/>
    <n v="71"/>
    <s v="Non-AC"/>
    <x v="675"/>
    <d v="2006-01-09T00:00:00"/>
    <n v="2.1789737171464298"/>
    <x v="4"/>
    <n v="676000"/>
    <n v="736000"/>
  </r>
  <r>
    <s v="Anahi Varty"/>
    <s v="STU132"/>
    <s v="ENR132"/>
    <x v="1"/>
    <x v="0"/>
    <n v="4"/>
    <s v="Computer Science and Engineering"/>
    <x v="6"/>
    <n v="169000"/>
    <n v="154000"/>
    <n v="15000"/>
    <n v="0"/>
    <x v="0"/>
    <x v="2"/>
    <x v="5"/>
    <x v="5"/>
    <s v="India"/>
    <s v="iramakrishnan@example.com"/>
    <n v="917081000000"/>
    <x v="0"/>
    <n v="77"/>
    <n v="90"/>
    <s v="Non-AC"/>
    <x v="676"/>
    <d v="2005-11-05T00:00:00"/>
    <n v="2.1789737171464298"/>
    <x v="4"/>
    <n v="676000"/>
    <n v="736000"/>
  </r>
  <r>
    <s v="Zain Upadhyay"/>
    <s v="STU152"/>
    <s v="ENR152"/>
    <x v="3"/>
    <x v="1"/>
    <n v="2"/>
    <s v="Computer Science Engineering"/>
    <x v="6"/>
    <n v="92000"/>
    <n v="77000"/>
    <n v="15000"/>
    <n v="0"/>
    <x v="0"/>
    <x v="2"/>
    <x v="9"/>
    <x v="8"/>
    <s v="India"/>
    <s v="indrajitbadal@example.net"/>
    <n v="917176000000"/>
    <x v="4"/>
    <n v="77"/>
    <n v="68"/>
    <s v="Non-AC"/>
    <x v="677"/>
    <d v="2000-09-10T00:00:00"/>
    <n v="2.1789737171464298"/>
    <x v="0"/>
    <n v="184000"/>
    <n v="214000"/>
  </r>
  <r>
    <s v="Mehul Saran"/>
    <s v="STU446"/>
    <s v="ENR446"/>
    <x v="2"/>
    <x v="0"/>
    <n v="4"/>
    <s v="Computer Science and Engineering"/>
    <x v="9"/>
    <n v="169000"/>
    <n v="154000"/>
    <n v="15000"/>
    <n v="0"/>
    <x v="0"/>
    <x v="2"/>
    <x v="5"/>
    <x v="5"/>
    <s v="India"/>
    <s v="kuriansamarth@example.net"/>
    <n v="919410000000"/>
    <x v="0"/>
    <n v="77"/>
    <n v="74"/>
    <s v="Non-AC"/>
    <x v="678"/>
    <d v="2001-12-08T00:00:00"/>
    <n v="2.1789737171464298"/>
    <x v="6"/>
    <n v="676000"/>
    <n v="736000"/>
  </r>
  <r>
    <s v="Eva Krishnamurthy"/>
    <s v="STU330"/>
    <s v="ENR330"/>
    <x v="3"/>
    <x v="0"/>
    <n v="4"/>
    <s v="Computer Science and Engineering"/>
    <x v="8"/>
    <n v="169000"/>
    <n v="154000"/>
    <n v="15000"/>
    <n v="0"/>
    <x v="0"/>
    <x v="0"/>
    <x v="6"/>
    <x v="3"/>
    <s v="India"/>
    <s v="baradkrish@example.org"/>
    <n v="917839000000"/>
    <x v="4"/>
    <n v="77"/>
    <n v="64"/>
    <s v="AC"/>
    <x v="679"/>
    <d v="2002-04-17T00:00:00"/>
    <n v="2.1789737171464298"/>
    <x v="6"/>
    <n v="676000"/>
    <n v="736000"/>
  </r>
  <r>
    <s v="Mohanlal Soman"/>
    <s v="STU985"/>
    <s v="ENR985"/>
    <x v="1"/>
    <x v="0"/>
    <n v="4"/>
    <s v="Computer Science and Engineering"/>
    <x v="2"/>
    <n v="169000"/>
    <n v="154000"/>
    <n v="15000"/>
    <n v="0"/>
    <x v="0"/>
    <x v="1"/>
    <x v="9"/>
    <x v="8"/>
    <s v="India"/>
    <s v="chaudryryan@example.com"/>
    <n v="919209000000"/>
    <x v="1"/>
    <n v="77"/>
    <n v="71"/>
    <s v="Non-AC"/>
    <x v="680"/>
    <d v="2002-11-07T00:00:00"/>
    <n v="2.1789737171464298"/>
    <x v="2"/>
    <n v="676000"/>
    <n v="736000"/>
  </r>
  <r>
    <s v="Ira Loyal"/>
    <s v="STU195"/>
    <s v="ENR195"/>
    <x v="4"/>
    <x v="0"/>
    <n v="4"/>
    <s v="Computer Science and Engineering"/>
    <x v="6"/>
    <n v="169000"/>
    <n v="154000"/>
    <n v="15000"/>
    <n v="0"/>
    <x v="0"/>
    <x v="2"/>
    <x v="3"/>
    <x v="3"/>
    <s v="India"/>
    <s v="borabhamini@example.com"/>
    <n v="919197000000"/>
    <x v="0"/>
    <n v="77"/>
    <n v="85"/>
    <s v="Non-AC"/>
    <x v="681"/>
    <d v="2002-07-07T00:00:00"/>
    <n v="2.1789737171464298"/>
    <x v="6"/>
    <n v="676000"/>
    <n v="736000"/>
  </r>
  <r>
    <s v="Seher Chatterjee"/>
    <s v="STU740"/>
    <s v="ENR740"/>
    <x v="4"/>
    <x v="0"/>
    <n v="4"/>
    <s v="Computer Science and Engineering"/>
    <x v="5"/>
    <n v="169000"/>
    <n v="154000"/>
    <n v="15000"/>
    <n v="0"/>
    <x v="0"/>
    <x v="2"/>
    <x v="8"/>
    <x v="7"/>
    <s v="India"/>
    <s v="dsengupta@example.net"/>
    <n v="918861000000"/>
    <x v="2"/>
    <n v="77"/>
    <n v="74"/>
    <s v="AC"/>
    <x v="682"/>
    <d v="2004-02-10T00:00:00"/>
    <n v="2.1789737171464298"/>
    <x v="3"/>
    <n v="676000"/>
    <n v="736000"/>
  </r>
  <r>
    <s v="Charvi Dora"/>
    <s v="STU352"/>
    <s v="ENR352"/>
    <x v="5"/>
    <x v="1"/>
    <n v="2"/>
    <s v="Computer Science Engineering"/>
    <x v="0"/>
    <n v="92000"/>
    <n v="77000"/>
    <n v="15000"/>
    <n v="0"/>
    <x v="0"/>
    <x v="2"/>
    <x v="7"/>
    <x v="6"/>
    <s v="India"/>
    <s v="lakshaydhar@example.net"/>
    <n v="918547000000"/>
    <x v="1"/>
    <n v="77"/>
    <n v="84"/>
    <s v="Non-AC"/>
    <x v="683"/>
    <d v="2000-05-04T00:00:00"/>
    <n v="2.1789737171464298"/>
    <x v="1"/>
    <n v="184000"/>
    <n v="214000"/>
  </r>
  <r>
    <s v="Adira Arora"/>
    <s v="STU907"/>
    <s v="ENR907"/>
    <x v="0"/>
    <x v="0"/>
    <n v="4"/>
    <s v="Computer Science and Engineering"/>
    <x v="6"/>
    <n v="169000"/>
    <n v="154000"/>
    <n v="15000"/>
    <n v="0"/>
    <x v="0"/>
    <x v="0"/>
    <x v="4"/>
    <x v="4"/>
    <s v="India"/>
    <s v="satheshaan@example.net"/>
    <n v="918405000000"/>
    <x v="1"/>
    <n v="77"/>
    <n v="86"/>
    <s v="AC"/>
    <x v="684"/>
    <d v="2000-07-05T00:00:00"/>
    <n v="2.1789737171464298"/>
    <x v="1"/>
    <n v="676000"/>
    <n v="736000"/>
  </r>
  <r>
    <s v="Umang Bora"/>
    <s v="STU1144"/>
    <s v="ENR1144"/>
    <x v="4"/>
    <x v="0"/>
    <n v="4"/>
    <s v="Computer Science and Engineering"/>
    <x v="9"/>
    <n v="169000"/>
    <n v="154000"/>
    <n v="15000"/>
    <n v="0"/>
    <x v="0"/>
    <x v="1"/>
    <x v="6"/>
    <x v="3"/>
    <s v="India"/>
    <s v="cdeep@example.com"/>
    <n v="917367000000"/>
    <x v="4"/>
    <n v="77"/>
    <n v="74"/>
    <s v="AC"/>
    <x v="685"/>
    <d v="2005-04-17T00:00:00"/>
    <n v="2.1789737171464298"/>
    <x v="5"/>
    <n v="676000"/>
    <n v="736000"/>
  </r>
  <r>
    <s v="Misha Sule"/>
    <s v="STU286"/>
    <s v="ENR286"/>
    <x v="0"/>
    <x v="0"/>
    <n v="4"/>
    <s v="Computer Science and Engineering"/>
    <x v="8"/>
    <n v="169000"/>
    <n v="154000"/>
    <n v="15000"/>
    <n v="0"/>
    <x v="0"/>
    <x v="0"/>
    <x v="2"/>
    <x v="2"/>
    <s v="India"/>
    <s v="kundaojas@example.org"/>
    <n v="918210000000"/>
    <x v="1"/>
    <n v="77"/>
    <n v="92"/>
    <s v="AC"/>
    <x v="686"/>
    <d v="2003-11-19T00:00:00"/>
    <n v="2.1789737171464298"/>
    <x v="3"/>
    <n v="676000"/>
    <n v="736000"/>
  </r>
  <r>
    <s v="Jhanvi Sidhu"/>
    <s v="STU171"/>
    <s v="ENR171"/>
    <x v="4"/>
    <x v="0"/>
    <n v="4"/>
    <s v="Computer Science and Engineering"/>
    <x v="4"/>
    <n v="169000"/>
    <n v="154000"/>
    <n v="15000"/>
    <n v="0"/>
    <x v="0"/>
    <x v="2"/>
    <x v="6"/>
    <x v="3"/>
    <s v="India"/>
    <s v="gdas@example.com"/>
    <n v="918432000000"/>
    <x v="1"/>
    <n v="77"/>
    <n v="61"/>
    <s v="AC"/>
    <x v="687"/>
    <d v="2004-07-20T00:00:00"/>
    <n v="2.1789737171464298"/>
    <x v="5"/>
    <n v="676000"/>
    <n v="736000"/>
  </r>
  <r>
    <s v="Tiya Sankaran"/>
    <s v="STU460"/>
    <s v="ENR460"/>
    <x v="2"/>
    <x v="0"/>
    <n v="4"/>
    <s v="Computer Science and Engineering"/>
    <x v="5"/>
    <n v="169000"/>
    <n v="154000"/>
    <n v="15000"/>
    <n v="0"/>
    <x v="0"/>
    <x v="1"/>
    <x v="3"/>
    <x v="3"/>
    <s v="India"/>
    <s v="tsarma@example.org"/>
    <n v="917090000000"/>
    <x v="4"/>
    <n v="77"/>
    <n v="60"/>
    <s v="AC"/>
    <x v="688"/>
    <d v="2002-02-11T00:00:00"/>
    <n v="2.1789737171464298"/>
    <x v="6"/>
    <n v="676000"/>
    <n v="736000"/>
  </r>
  <r>
    <s v="Keya Soni"/>
    <s v="STU1148"/>
    <s v="ENR1148"/>
    <x v="4"/>
    <x v="0"/>
    <n v="4"/>
    <s v="Computer Science and Engineering"/>
    <x v="5"/>
    <n v="169000"/>
    <n v="154000"/>
    <n v="15000"/>
    <n v="0"/>
    <x v="0"/>
    <x v="1"/>
    <x v="4"/>
    <x v="4"/>
    <s v="India"/>
    <s v="yuvaanvora@example.org"/>
    <n v="918829000000"/>
    <x v="2"/>
    <n v="77"/>
    <n v="76"/>
    <s v="AC"/>
    <x v="689"/>
    <d v="2001-09-10T00:00:00"/>
    <n v="2.1789737171464298"/>
    <x v="6"/>
    <n v="676000"/>
    <n v="736000"/>
  </r>
  <r>
    <s v="Aarav Sane"/>
    <s v="STU363"/>
    <s v="ENR363"/>
    <x v="2"/>
    <x v="1"/>
    <n v="2"/>
    <s v="Computer Science Engineering"/>
    <x v="3"/>
    <n v="92000"/>
    <n v="77000"/>
    <n v="15000"/>
    <n v="0"/>
    <x v="0"/>
    <x v="1"/>
    <x v="9"/>
    <x v="8"/>
    <s v="India"/>
    <s v="dasguptafarhan@example.com"/>
    <n v="918405000000"/>
    <x v="1"/>
    <n v="77"/>
    <n v="73"/>
    <s v="AC"/>
    <x v="690"/>
    <d v="2001-08-23T00:00:00"/>
    <n v="2.1789737171464298"/>
    <x v="6"/>
    <n v="184000"/>
    <n v="214000"/>
  </r>
  <r>
    <s v="Baiju Ahluwalia"/>
    <s v="STU517"/>
    <s v="ENR517"/>
    <x v="5"/>
    <x v="1"/>
    <n v="2"/>
    <s v="Computer Science Engineering"/>
    <x v="3"/>
    <n v="92000"/>
    <n v="77000"/>
    <n v="15000"/>
    <n v="0"/>
    <x v="0"/>
    <x v="0"/>
    <x v="9"/>
    <x v="8"/>
    <s v="India"/>
    <s v="emir22@example.com"/>
    <n v="917383000000"/>
    <x v="0"/>
    <n v="77"/>
    <n v="61"/>
    <s v="AC"/>
    <x v="691"/>
    <d v="2002-01-21T00:00:00"/>
    <n v="2.1789737171464298"/>
    <x v="6"/>
    <n v="184000"/>
    <n v="214000"/>
  </r>
  <r>
    <s v="Tejas Kala"/>
    <s v="STU466"/>
    <s v="ENR466"/>
    <x v="3"/>
    <x v="0"/>
    <n v="4"/>
    <s v="Computer Science and Engineering"/>
    <x v="0"/>
    <n v="169000"/>
    <n v="154000"/>
    <n v="15000"/>
    <n v="0"/>
    <x v="0"/>
    <x v="0"/>
    <x v="1"/>
    <x v="1"/>
    <s v="India"/>
    <s v="bhalder@example.org"/>
    <n v="918192000000"/>
    <x v="3"/>
    <n v="77"/>
    <n v="66"/>
    <s v="AC"/>
    <x v="692"/>
    <d v="2003-06-04T00:00:00"/>
    <n v="2.1789737171464298"/>
    <x v="2"/>
    <n v="676000"/>
    <n v="736000"/>
  </r>
  <r>
    <s v="Mannat Rastogi"/>
    <s v="STU036"/>
    <s v="ENR036"/>
    <x v="4"/>
    <x v="0"/>
    <n v="4"/>
    <s v="Computer Science and Engineering"/>
    <x v="7"/>
    <n v="169000"/>
    <n v="154000"/>
    <n v="15000"/>
    <n v="0"/>
    <x v="0"/>
    <x v="0"/>
    <x v="2"/>
    <x v="2"/>
    <s v="India"/>
    <s v="bbir@example.com"/>
    <n v="917721000000"/>
    <x v="4"/>
    <n v="77"/>
    <n v="88"/>
    <s v="AC"/>
    <x v="693"/>
    <d v="2004-03-23T00:00:00"/>
    <n v="2.1789737171464298"/>
    <x v="3"/>
    <n v="676000"/>
    <n v="736000"/>
  </r>
  <r>
    <s v="Anvi Wason"/>
    <s v="STU366"/>
    <s v="ENR366"/>
    <x v="4"/>
    <x v="1"/>
    <n v="2"/>
    <s v="Computer Science Engineering"/>
    <x v="4"/>
    <n v="92000"/>
    <n v="77000"/>
    <n v="15000"/>
    <n v="0"/>
    <x v="0"/>
    <x v="1"/>
    <x v="5"/>
    <x v="5"/>
    <s v="India"/>
    <s v="bhattioorja@example.org"/>
    <n v="918750000000"/>
    <x v="3"/>
    <n v="77"/>
    <n v="90"/>
    <s v="AC"/>
    <x v="694"/>
    <d v="1998-05-17T00:00:00"/>
    <n v="2.1789737171464298"/>
    <x v="9"/>
    <n v="184000"/>
    <n v="214000"/>
  </r>
  <r>
    <s v="Farhan Goel"/>
    <s v="STU456"/>
    <s v="ENR456"/>
    <x v="3"/>
    <x v="1"/>
    <n v="2"/>
    <s v="Computer Science Engineering"/>
    <x v="6"/>
    <n v="92000"/>
    <n v="77000"/>
    <n v="15000"/>
    <n v="0"/>
    <x v="0"/>
    <x v="1"/>
    <x v="7"/>
    <x v="6"/>
    <s v="India"/>
    <s v="aliasastry@example.com"/>
    <n v="919287000000"/>
    <x v="2"/>
    <n v="77"/>
    <n v="87"/>
    <s v="Non-AC"/>
    <x v="695"/>
    <d v="1998-08-30T00:00:00"/>
    <n v="2.1789737171464298"/>
    <x v="7"/>
    <n v="184000"/>
    <n v="214000"/>
  </r>
  <r>
    <s v="Adira Balakrishnan"/>
    <s v="STU1082"/>
    <s v="ENR1082"/>
    <x v="0"/>
    <x v="0"/>
    <n v="4"/>
    <s v="Computer Science and Engineering"/>
    <x v="4"/>
    <n v="169000"/>
    <n v="154000"/>
    <n v="15000"/>
    <n v="0"/>
    <x v="0"/>
    <x v="0"/>
    <x v="5"/>
    <x v="5"/>
    <s v="India"/>
    <s v="bkurian@example.net"/>
    <n v="918682000000"/>
    <x v="3"/>
    <n v="77"/>
    <n v="64"/>
    <s v="AC"/>
    <x v="696"/>
    <d v="2002-02-27T00:00:00"/>
    <n v="2.1789737171464298"/>
    <x v="6"/>
    <n v="676000"/>
    <n v="736000"/>
  </r>
  <r>
    <s v="Ivan Sura"/>
    <s v="STU1112"/>
    <s v="ENR1112"/>
    <x v="1"/>
    <x v="0"/>
    <n v="4"/>
    <s v="Computer Science and Engineering"/>
    <x v="4"/>
    <n v="169000"/>
    <n v="154000"/>
    <n v="15000"/>
    <n v="0"/>
    <x v="0"/>
    <x v="1"/>
    <x v="6"/>
    <x v="3"/>
    <s v="India"/>
    <s v="aainaanne@example.com"/>
    <n v="919460000000"/>
    <x v="2"/>
    <n v="77"/>
    <n v="63"/>
    <s v="AC"/>
    <x v="697"/>
    <d v="2002-02-24T00:00:00"/>
    <n v="2.1789737171464298"/>
    <x v="6"/>
    <n v="676000"/>
    <n v="736000"/>
  </r>
  <r>
    <s v="Rasha Ramaswamy"/>
    <s v="STU157"/>
    <s v="ENR157"/>
    <x v="4"/>
    <x v="1"/>
    <n v="2"/>
    <s v="Computer Science Engineering"/>
    <x v="5"/>
    <n v="92000"/>
    <n v="77000"/>
    <n v="15000"/>
    <n v="0"/>
    <x v="0"/>
    <x v="0"/>
    <x v="0"/>
    <x v="0"/>
    <s v="India"/>
    <s v="hunarghose@example.org"/>
    <n v="917589000000"/>
    <x v="1"/>
    <n v="76"/>
    <n v="82"/>
    <s v="Non-AC"/>
    <x v="698"/>
    <d v="2001-12-12T00:00:00"/>
    <n v="1.1789737171464301"/>
    <x v="6"/>
    <n v="184000"/>
    <n v="214000"/>
  </r>
  <r>
    <s v="Adira Bawa"/>
    <s v="STU323"/>
    <s v="ENR323"/>
    <x v="0"/>
    <x v="0"/>
    <n v="4"/>
    <s v="Computer Science and Engineering"/>
    <x v="3"/>
    <n v="169000"/>
    <n v="154000"/>
    <n v="15000"/>
    <n v="0"/>
    <x v="0"/>
    <x v="0"/>
    <x v="6"/>
    <x v="3"/>
    <s v="India"/>
    <s v="cherianyashvi@example.com"/>
    <n v="918873000000"/>
    <x v="4"/>
    <n v="76"/>
    <n v="60"/>
    <s v="AC"/>
    <x v="699"/>
    <d v="2006-06-04T00:00:00"/>
    <n v="1.1789737171464301"/>
    <x v="4"/>
    <n v="676000"/>
    <n v="736000"/>
  </r>
  <r>
    <s v="Himmat Kale"/>
    <s v="STU259"/>
    <s v="ENR259"/>
    <x v="3"/>
    <x v="1"/>
    <n v="2"/>
    <s v="Computer Science Engineering"/>
    <x v="1"/>
    <n v="92000"/>
    <n v="77000"/>
    <n v="15000"/>
    <n v="0"/>
    <x v="0"/>
    <x v="0"/>
    <x v="0"/>
    <x v="0"/>
    <s v="India"/>
    <s v="armaankorpal@example.net"/>
    <n v="918146000000"/>
    <x v="2"/>
    <n v="76"/>
    <n v="70"/>
    <s v="AC"/>
    <x v="700"/>
    <d v="1996-09-22T00:00:00"/>
    <n v="1.1789737171464301"/>
    <x v="8"/>
    <n v="184000"/>
    <n v="214000"/>
  </r>
  <r>
    <s v="Onkar Dhaliwal"/>
    <s v="STU134"/>
    <s v="ENR134"/>
    <x v="0"/>
    <x v="1"/>
    <n v="2"/>
    <s v="Computer Science Engineering"/>
    <x v="6"/>
    <n v="92000"/>
    <n v="77000"/>
    <n v="15000"/>
    <n v="0"/>
    <x v="0"/>
    <x v="2"/>
    <x v="3"/>
    <x v="3"/>
    <s v="India"/>
    <s v="zaina52@example.com"/>
    <n v="918375000000"/>
    <x v="0"/>
    <n v="76"/>
    <n v="62"/>
    <s v="Non-AC"/>
    <x v="701"/>
    <d v="1997-10-20T00:00:00"/>
    <n v="1.1789737171464301"/>
    <x v="9"/>
    <n v="184000"/>
    <n v="214000"/>
  </r>
  <r>
    <s v="Rasha Bahl"/>
    <s v="STU091"/>
    <s v="ENR091"/>
    <x v="3"/>
    <x v="0"/>
    <n v="4"/>
    <s v="Computer Science and Engineering"/>
    <x v="6"/>
    <n v="169000"/>
    <n v="154000"/>
    <n v="15000"/>
    <n v="0"/>
    <x v="0"/>
    <x v="1"/>
    <x v="8"/>
    <x v="7"/>
    <s v="India"/>
    <s v="saanvi07@example.net"/>
    <n v="918853000000"/>
    <x v="2"/>
    <n v="76"/>
    <n v="90"/>
    <s v="Non-AC"/>
    <x v="702"/>
    <d v="2001-02-11T00:00:00"/>
    <n v="1.1789737171464301"/>
    <x v="0"/>
    <n v="676000"/>
    <n v="736000"/>
  </r>
  <r>
    <s v="Priyansh Choudhry"/>
    <s v="STU139"/>
    <s v="ENR139"/>
    <x v="5"/>
    <x v="1"/>
    <n v="2"/>
    <s v="Computer Science Engineering"/>
    <x v="3"/>
    <n v="92000"/>
    <n v="77000"/>
    <n v="15000"/>
    <n v="0"/>
    <x v="0"/>
    <x v="1"/>
    <x v="5"/>
    <x v="5"/>
    <s v="India"/>
    <s v="agopal@example.org"/>
    <n v="918211000000"/>
    <x v="4"/>
    <n v="76"/>
    <n v="68"/>
    <s v="AC"/>
    <x v="703"/>
    <d v="1999-06-08T00:00:00"/>
    <n v="1.1789737171464301"/>
    <x v="7"/>
    <n v="184000"/>
    <n v="214000"/>
  </r>
  <r>
    <s v="Vihaan Sridhar"/>
    <s v="STU453"/>
    <s v="ENR453"/>
    <x v="3"/>
    <x v="1"/>
    <n v="2"/>
    <s v="Computer Science Engineering"/>
    <x v="4"/>
    <n v="92000"/>
    <n v="77000"/>
    <n v="15000"/>
    <n v="0"/>
    <x v="0"/>
    <x v="1"/>
    <x v="4"/>
    <x v="4"/>
    <s v="India"/>
    <s v="jhanvikarnik@example.net"/>
    <n v="917653000000"/>
    <x v="4"/>
    <n v="76"/>
    <n v="86"/>
    <s v="Non-AC"/>
    <x v="704"/>
    <d v="1997-02-23T00:00:00"/>
    <n v="1.1789737171464301"/>
    <x v="8"/>
    <n v="184000"/>
    <n v="214000"/>
  </r>
  <r>
    <s v="Aniruddh Sura"/>
    <s v="STU090"/>
    <s v="ENR090"/>
    <x v="5"/>
    <x v="0"/>
    <n v="4"/>
    <s v="Computer Science and Engineering"/>
    <x v="4"/>
    <n v="169000"/>
    <n v="154000"/>
    <n v="15000"/>
    <n v="0"/>
    <x v="0"/>
    <x v="1"/>
    <x v="9"/>
    <x v="8"/>
    <s v="India"/>
    <s v="anika07@example.com"/>
    <n v="918943000000"/>
    <x v="1"/>
    <n v="76"/>
    <n v="77"/>
    <s v="AC"/>
    <x v="705"/>
    <d v="2000-08-07T00:00:00"/>
    <n v="1.1789737171464301"/>
    <x v="0"/>
    <n v="676000"/>
    <n v="736000"/>
  </r>
  <r>
    <s v="Urvi Sundaram"/>
    <s v="STU770"/>
    <s v="ENR770"/>
    <x v="0"/>
    <x v="0"/>
    <n v="4"/>
    <s v="Computer Science and Engineering"/>
    <x v="5"/>
    <n v="169000"/>
    <n v="154000"/>
    <n v="15000"/>
    <n v="0"/>
    <x v="0"/>
    <x v="1"/>
    <x v="4"/>
    <x v="4"/>
    <s v="India"/>
    <s v="bhasindivit@example.com"/>
    <n v="917843000000"/>
    <x v="2"/>
    <n v="76"/>
    <n v="72"/>
    <s v="AC"/>
    <x v="706"/>
    <d v="2002-06-01T00:00:00"/>
    <n v="1.1789737171464301"/>
    <x v="6"/>
    <n v="676000"/>
    <n v="736000"/>
  </r>
  <r>
    <s v="Manjari Ahuja"/>
    <s v="STU421"/>
    <s v="ENR421"/>
    <x v="0"/>
    <x v="0"/>
    <n v="4"/>
    <s v="Computer Science and Engineering"/>
    <x v="6"/>
    <n v="169000"/>
    <n v="154000"/>
    <n v="15000"/>
    <n v="0"/>
    <x v="0"/>
    <x v="0"/>
    <x v="0"/>
    <x v="0"/>
    <s v="India"/>
    <s v="zsandal@example.net"/>
    <n v="917097000000"/>
    <x v="0"/>
    <n v="76"/>
    <n v="68"/>
    <s v="AC"/>
    <x v="324"/>
    <d v="2001-06-11T00:00:00"/>
    <n v="1.1789737171464301"/>
    <x v="0"/>
    <n v="676000"/>
    <n v="736000"/>
  </r>
  <r>
    <s v="Nitara Karpe"/>
    <s v="STU430"/>
    <s v="ENR430"/>
    <x v="1"/>
    <x v="1"/>
    <n v="2"/>
    <s v="Computer Science Engineering"/>
    <x v="0"/>
    <n v="92000"/>
    <n v="77000"/>
    <n v="15000"/>
    <n v="0"/>
    <x v="0"/>
    <x v="2"/>
    <x v="6"/>
    <x v="3"/>
    <s v="India"/>
    <s v="amirakota@example.org"/>
    <n v="918477000000"/>
    <x v="4"/>
    <n v="76"/>
    <n v="62"/>
    <s v="AC"/>
    <x v="707"/>
    <d v="1997-01-01T00:00:00"/>
    <n v="1.1789737171464301"/>
    <x v="8"/>
    <n v="184000"/>
    <n v="214000"/>
  </r>
  <r>
    <s v="Baiju Apte"/>
    <s v="STU1133"/>
    <s v="ENR1133"/>
    <x v="3"/>
    <x v="0"/>
    <n v="4"/>
    <s v="Computer Science and Engineering"/>
    <x v="8"/>
    <n v="169000"/>
    <n v="154000"/>
    <n v="15000"/>
    <n v="0"/>
    <x v="0"/>
    <x v="0"/>
    <x v="8"/>
    <x v="7"/>
    <s v="India"/>
    <s v="qupadhyay@example.com"/>
    <n v="917240000000"/>
    <x v="3"/>
    <n v="76"/>
    <n v="80"/>
    <s v="AC"/>
    <x v="708"/>
    <d v="2003-07-13T00:00:00"/>
    <n v="1.1789737171464301"/>
    <x v="3"/>
    <n v="676000"/>
    <n v="736000"/>
  </r>
  <r>
    <s v="Kiaan Deshmukh"/>
    <s v="STU433"/>
    <s v="ENR433"/>
    <x v="1"/>
    <x v="0"/>
    <n v="4"/>
    <s v="Computer Science and Engineering"/>
    <x v="4"/>
    <n v="169000"/>
    <n v="154000"/>
    <n v="15000"/>
    <n v="0"/>
    <x v="0"/>
    <x v="2"/>
    <x v="7"/>
    <x v="6"/>
    <s v="India"/>
    <s v="mallickanaya@example.net"/>
    <n v="919389000000"/>
    <x v="0"/>
    <n v="76"/>
    <n v="84"/>
    <s v="Non-AC"/>
    <x v="709"/>
    <d v="2005-02-14T00:00:00"/>
    <n v="1.1789737171464301"/>
    <x v="5"/>
    <n v="676000"/>
    <n v="736000"/>
  </r>
  <r>
    <s v="Kiaan Tata"/>
    <s v="STU490"/>
    <s v="ENR490"/>
    <x v="2"/>
    <x v="1"/>
    <n v="2"/>
    <s v="Computer Science Engineering"/>
    <x v="0"/>
    <n v="92000"/>
    <n v="77000"/>
    <n v="15000"/>
    <n v="0"/>
    <x v="0"/>
    <x v="2"/>
    <x v="1"/>
    <x v="1"/>
    <s v="India"/>
    <s v="fupadhyay@example.net"/>
    <n v="918366000000"/>
    <x v="3"/>
    <n v="76"/>
    <n v="81"/>
    <s v="Non-AC"/>
    <x v="710"/>
    <d v="1996-07-03T00:00:00"/>
    <n v="1.1789737171464301"/>
    <x v="10"/>
    <n v="184000"/>
    <n v="214000"/>
  </r>
  <r>
    <s v="Abram Kar"/>
    <s v="STU437"/>
    <s v="ENR437"/>
    <x v="3"/>
    <x v="0"/>
    <n v="4"/>
    <s v="Computer Science and Engineering"/>
    <x v="3"/>
    <n v="169000"/>
    <n v="154000"/>
    <n v="15000"/>
    <n v="0"/>
    <x v="0"/>
    <x v="0"/>
    <x v="0"/>
    <x v="0"/>
    <s v="India"/>
    <s v="divitviswanathan@example.net"/>
    <n v="917306000000"/>
    <x v="2"/>
    <n v="76"/>
    <n v="85"/>
    <s v="Non-AC"/>
    <x v="711"/>
    <d v="2004-06-21T00:00:00"/>
    <n v="1.1789737171464301"/>
    <x v="3"/>
    <n v="676000"/>
    <n v="736000"/>
  </r>
  <r>
    <s v="Vardaniya Sinha"/>
    <s v="STU442"/>
    <s v="ENR442"/>
    <x v="3"/>
    <x v="0"/>
    <n v="4"/>
    <s v="Computer Science and Engineering"/>
    <x v="0"/>
    <n v="169000"/>
    <n v="154000"/>
    <n v="15000"/>
    <n v="0"/>
    <x v="0"/>
    <x v="2"/>
    <x v="2"/>
    <x v="2"/>
    <s v="India"/>
    <s v="llad@example.com"/>
    <n v="919251000000"/>
    <x v="3"/>
    <n v="76"/>
    <n v="81"/>
    <s v="Non-AC"/>
    <x v="712"/>
    <d v="2002-03-11T00:00:00"/>
    <n v="1.1789737171464301"/>
    <x v="6"/>
    <n v="676000"/>
    <n v="736000"/>
  </r>
  <r>
    <s v="Aarna Chowdhury"/>
    <s v="STU852"/>
    <s v="ENR852"/>
    <x v="1"/>
    <x v="0"/>
    <n v="4"/>
    <s v="Computer Science and Engineering"/>
    <x v="0"/>
    <n v="169000"/>
    <n v="154000"/>
    <n v="15000"/>
    <n v="0"/>
    <x v="0"/>
    <x v="2"/>
    <x v="4"/>
    <x v="4"/>
    <s v="India"/>
    <s v="majumdaralisha@example.org"/>
    <n v="917820000000"/>
    <x v="4"/>
    <n v="76"/>
    <n v="73"/>
    <s v="Non-AC"/>
    <x v="713"/>
    <d v="2001-08-16T00:00:00"/>
    <n v="1.1789737171464301"/>
    <x v="6"/>
    <n v="676000"/>
    <n v="736000"/>
  </r>
  <r>
    <s v="Sumer Malhotra"/>
    <s v="STU455"/>
    <s v="ENR455"/>
    <x v="2"/>
    <x v="0"/>
    <n v="4"/>
    <s v="Computer Science and Engineering"/>
    <x v="7"/>
    <n v="169000"/>
    <n v="154000"/>
    <n v="15000"/>
    <n v="0"/>
    <x v="0"/>
    <x v="0"/>
    <x v="2"/>
    <x v="2"/>
    <s v="India"/>
    <s v="mirayasundaram@example.org"/>
    <n v="919464000000"/>
    <x v="3"/>
    <n v="76"/>
    <n v="64"/>
    <s v="AC"/>
    <x v="714"/>
    <d v="2006-01-06T00:00:00"/>
    <n v="1.1789737171464301"/>
    <x v="4"/>
    <n v="676000"/>
    <n v="736000"/>
  </r>
  <r>
    <s v="Drishya Shanker"/>
    <s v="STU298"/>
    <s v="ENR298"/>
    <x v="1"/>
    <x v="1"/>
    <n v="2"/>
    <s v="Computer Science Engineering"/>
    <x v="1"/>
    <n v="92000"/>
    <n v="77000"/>
    <n v="15000"/>
    <n v="0"/>
    <x v="0"/>
    <x v="0"/>
    <x v="7"/>
    <x v="6"/>
    <s v="India"/>
    <s v="dasalisha@example.net"/>
    <n v="919347000000"/>
    <x v="2"/>
    <n v="76"/>
    <n v="67"/>
    <s v="AC"/>
    <x v="715"/>
    <d v="1999-06-20T00:00:00"/>
    <n v="1.1789737171464301"/>
    <x v="7"/>
    <n v="184000"/>
    <n v="214000"/>
  </r>
  <r>
    <s v="Anahi Ben"/>
    <s v="STU461"/>
    <s v="ENR461"/>
    <x v="5"/>
    <x v="0"/>
    <n v="4"/>
    <s v="Computer Science and Engineering"/>
    <x v="3"/>
    <n v="169000"/>
    <n v="154000"/>
    <n v="15000"/>
    <n v="0"/>
    <x v="0"/>
    <x v="1"/>
    <x v="8"/>
    <x v="7"/>
    <s v="India"/>
    <s v="boasesaksham@example.com"/>
    <n v="918857000000"/>
    <x v="4"/>
    <n v="76"/>
    <n v="66"/>
    <s v="Non-AC"/>
    <x v="716"/>
    <d v="2001-12-08T00:00:00"/>
    <n v="1.1789737171464301"/>
    <x v="6"/>
    <n v="676000"/>
    <n v="736000"/>
  </r>
  <r>
    <s v="Zara Srinivas"/>
    <s v="STU911"/>
    <s v="ENR911"/>
    <x v="2"/>
    <x v="0"/>
    <n v="4"/>
    <s v="Computer Science and Engineering"/>
    <x v="6"/>
    <n v="169000"/>
    <n v="154000"/>
    <n v="15000"/>
    <n v="0"/>
    <x v="0"/>
    <x v="0"/>
    <x v="3"/>
    <x v="3"/>
    <s v="India"/>
    <s v="xdeshpande@example.com"/>
    <n v="919902000000"/>
    <x v="3"/>
    <n v="76"/>
    <n v="80"/>
    <s v="AC"/>
    <x v="717"/>
    <d v="2005-12-23T00:00:00"/>
    <n v="1.1789737171464301"/>
    <x v="4"/>
    <n v="676000"/>
    <n v="736000"/>
  </r>
  <r>
    <s v="Shamik Srinivasan"/>
    <s v="STU046"/>
    <s v="ENR046"/>
    <x v="2"/>
    <x v="0"/>
    <n v="4"/>
    <s v="Computer Science and Engineering"/>
    <x v="4"/>
    <n v="169000"/>
    <n v="154000"/>
    <n v="15000"/>
    <n v="0"/>
    <x v="0"/>
    <x v="2"/>
    <x v="3"/>
    <x v="3"/>
    <s v="India"/>
    <s v="surzain@example.com"/>
    <n v="919812000000"/>
    <x v="3"/>
    <n v="76"/>
    <n v="78"/>
    <s v="Non-AC"/>
    <x v="718"/>
    <d v="2004-08-26T00:00:00"/>
    <n v="1.1789737171464301"/>
    <x v="5"/>
    <n v="676000"/>
    <n v="736000"/>
  </r>
  <r>
    <s v="Kanav Sood"/>
    <s v="STU1106"/>
    <s v="ENR1106"/>
    <x v="0"/>
    <x v="0"/>
    <n v="4"/>
    <s v="Computer Science and Engineering"/>
    <x v="8"/>
    <n v="169000"/>
    <n v="154000"/>
    <n v="15000"/>
    <n v="0"/>
    <x v="0"/>
    <x v="0"/>
    <x v="9"/>
    <x v="8"/>
    <s v="India"/>
    <s v="boraromil@example.org"/>
    <n v="918451000000"/>
    <x v="0"/>
    <n v="76"/>
    <n v="90"/>
    <s v="Non-AC"/>
    <x v="719"/>
    <d v="2004-04-07T00:00:00"/>
    <n v="1.1789737171464301"/>
    <x v="3"/>
    <n v="676000"/>
    <n v="736000"/>
  </r>
  <r>
    <s v="Lakshay Gopal"/>
    <s v="STU278"/>
    <s v="ENR278"/>
    <x v="1"/>
    <x v="1"/>
    <n v="2"/>
    <s v="Computer Science Engineering"/>
    <x v="6"/>
    <n v="92000"/>
    <n v="77000"/>
    <n v="15000"/>
    <n v="0"/>
    <x v="0"/>
    <x v="1"/>
    <x v="3"/>
    <x v="3"/>
    <s v="India"/>
    <s v="mohanlaldalal@example.com"/>
    <n v="917015000000"/>
    <x v="0"/>
    <n v="76"/>
    <n v="80"/>
    <s v="AC"/>
    <x v="720"/>
    <d v="1997-03-11T00:00:00"/>
    <n v="1.1789737171464301"/>
    <x v="8"/>
    <n v="184000"/>
    <n v="214000"/>
  </r>
  <r>
    <s v="Zoya Saraf"/>
    <s v="STU495"/>
    <s v="ENR495"/>
    <x v="4"/>
    <x v="0"/>
    <n v="4"/>
    <s v="Computer Science and Engineering"/>
    <x v="0"/>
    <n v="169000"/>
    <n v="154000"/>
    <n v="15000"/>
    <n v="0"/>
    <x v="0"/>
    <x v="2"/>
    <x v="1"/>
    <x v="1"/>
    <s v="India"/>
    <s v="tratta@example.org"/>
    <n v="918528000000"/>
    <x v="3"/>
    <n v="76"/>
    <n v="82"/>
    <s v="AC"/>
    <x v="721"/>
    <d v="2001-03-26T00:00:00"/>
    <n v="1.1789737171464301"/>
    <x v="0"/>
    <n v="676000"/>
    <n v="736000"/>
  </r>
  <r>
    <s v="Samiha Savant"/>
    <s v="STU043"/>
    <s v="ENR043"/>
    <x v="0"/>
    <x v="0"/>
    <n v="4"/>
    <s v="Computer Science and Engineering"/>
    <x v="4"/>
    <n v="169000"/>
    <n v="154000"/>
    <n v="15000"/>
    <n v="0"/>
    <x v="0"/>
    <x v="2"/>
    <x v="6"/>
    <x v="3"/>
    <s v="India"/>
    <s v="ojas68@example.org"/>
    <n v="917969000000"/>
    <x v="3"/>
    <n v="76"/>
    <n v="74"/>
    <s v="Non-AC"/>
    <x v="722"/>
    <d v="2002-06-01T00:00:00"/>
    <n v="1.1789737171464301"/>
    <x v="6"/>
    <n v="676000"/>
    <n v="736000"/>
  </r>
  <r>
    <s v="Anahi Chhabra"/>
    <s v="STU1097"/>
    <s v="ENR1097"/>
    <x v="5"/>
    <x v="0"/>
    <n v="4"/>
    <s v="Computer Science and Engineering"/>
    <x v="5"/>
    <n v="169000"/>
    <n v="154000"/>
    <n v="15000"/>
    <n v="0"/>
    <x v="0"/>
    <x v="0"/>
    <x v="1"/>
    <x v="1"/>
    <s v="India"/>
    <s v="tripathitaimur@example.net"/>
    <n v="917662000000"/>
    <x v="1"/>
    <n v="76"/>
    <n v="73"/>
    <s v="Non-AC"/>
    <x v="723"/>
    <d v="2002-04-13T00:00:00"/>
    <n v="1.1789737171464301"/>
    <x v="6"/>
    <n v="676000"/>
    <n v="736000"/>
  </r>
  <r>
    <s v="Lakshit Garde"/>
    <s v="STU477"/>
    <s v="ENR477"/>
    <x v="1"/>
    <x v="1"/>
    <n v="2"/>
    <s v="Computer Science Engineering"/>
    <x v="1"/>
    <n v="92000"/>
    <n v="77000"/>
    <n v="15000"/>
    <n v="0"/>
    <x v="0"/>
    <x v="1"/>
    <x v="6"/>
    <x v="3"/>
    <s v="India"/>
    <s v="devandivij@example.com"/>
    <n v="919390000000"/>
    <x v="2"/>
    <n v="76"/>
    <n v="91"/>
    <s v="AC"/>
    <x v="724"/>
    <d v="1996-09-08T00:00:00"/>
    <n v="1.1789737171464301"/>
    <x v="8"/>
    <n v="184000"/>
    <n v="214000"/>
  </r>
  <r>
    <s v="Himmat Lata"/>
    <s v="STU1195"/>
    <s v="ENR1195"/>
    <x v="4"/>
    <x v="0"/>
    <n v="4"/>
    <s v="Computer Science and Engineering"/>
    <x v="5"/>
    <n v="169000"/>
    <n v="154000"/>
    <n v="15000"/>
    <n v="0"/>
    <x v="0"/>
    <x v="1"/>
    <x v="3"/>
    <x v="3"/>
    <s v="India"/>
    <s v="ela52@example.com"/>
    <n v="919993000000"/>
    <x v="4"/>
    <n v="76"/>
    <n v="75"/>
    <s v="AC"/>
    <x v="725"/>
    <d v="2004-08-24T00:00:00"/>
    <n v="1.1789737171464301"/>
    <x v="5"/>
    <n v="676000"/>
    <n v="736000"/>
  </r>
  <r>
    <s v="Tiya Bhagat"/>
    <s v="STU345"/>
    <s v="ENR345"/>
    <x v="2"/>
    <x v="1"/>
    <n v="2"/>
    <s v="Computer Science Engineering"/>
    <x v="0"/>
    <n v="92000"/>
    <n v="77000"/>
    <n v="15000"/>
    <n v="0"/>
    <x v="0"/>
    <x v="1"/>
    <x v="9"/>
    <x v="8"/>
    <s v="India"/>
    <s v="rhea56@example.org"/>
    <n v="918169000000"/>
    <x v="2"/>
    <n v="76"/>
    <n v="77"/>
    <s v="Non-AC"/>
    <x v="726"/>
    <d v="1999-12-02T00:00:00"/>
    <n v="1.1789737171464301"/>
    <x v="1"/>
    <n v="184000"/>
    <n v="214000"/>
  </r>
  <r>
    <s v="Inaaya  Sundaram"/>
    <s v="STU493"/>
    <s v="ENR493"/>
    <x v="1"/>
    <x v="0"/>
    <n v="4"/>
    <s v="Computer Science and Engineering"/>
    <x v="7"/>
    <n v="169000"/>
    <n v="154000"/>
    <n v="15000"/>
    <n v="0"/>
    <x v="0"/>
    <x v="0"/>
    <x v="1"/>
    <x v="1"/>
    <s v="India"/>
    <s v="clad@example.net"/>
    <n v="918447000000"/>
    <x v="4"/>
    <n v="76"/>
    <n v="86"/>
    <s v="Non-AC"/>
    <x v="727"/>
    <d v="2005-06-09T00:00:00"/>
    <n v="1.1789737171464301"/>
    <x v="5"/>
    <n v="676000"/>
    <n v="736000"/>
  </r>
  <r>
    <s v="Pranay Vora"/>
    <s v="STU755"/>
    <s v="ENR755"/>
    <x v="0"/>
    <x v="0"/>
    <n v="4"/>
    <s v="Computer Science and Engineering"/>
    <x v="2"/>
    <n v="169000"/>
    <n v="154000"/>
    <n v="15000"/>
    <n v="0"/>
    <x v="0"/>
    <x v="0"/>
    <x v="0"/>
    <x v="0"/>
    <s v="India"/>
    <s v="shankerjivin@example.org"/>
    <n v="917940000000"/>
    <x v="4"/>
    <n v="76"/>
    <n v="78"/>
    <s v="Non-AC"/>
    <x v="728"/>
    <d v="2006-01-02T00:00:00"/>
    <n v="1.1789737171464301"/>
    <x v="4"/>
    <n v="676000"/>
    <n v="736000"/>
  </r>
  <r>
    <s v="Sumer Mandal"/>
    <s v="STU677"/>
    <s v="ENR677"/>
    <x v="2"/>
    <x v="0"/>
    <n v="4"/>
    <s v="Computer Science and Engineering"/>
    <x v="1"/>
    <n v="169000"/>
    <n v="154000"/>
    <n v="15000"/>
    <n v="0"/>
    <x v="0"/>
    <x v="0"/>
    <x v="9"/>
    <x v="8"/>
    <s v="India"/>
    <s v="bainsarmaan@example.net"/>
    <n v="919486000000"/>
    <x v="2"/>
    <n v="76"/>
    <n v="67"/>
    <s v="Non-AC"/>
    <x v="729"/>
    <d v="2003-03-23T00:00:00"/>
    <n v="1.1789737171464301"/>
    <x v="2"/>
    <n v="676000"/>
    <n v="736000"/>
  </r>
  <r>
    <s v="Raghav Goyal"/>
    <s v="STU257"/>
    <s v="ENR257"/>
    <x v="1"/>
    <x v="0"/>
    <n v="4"/>
    <s v="Computer Science and Engineering"/>
    <x v="4"/>
    <n v="169000"/>
    <n v="154000"/>
    <n v="15000"/>
    <n v="0"/>
    <x v="0"/>
    <x v="1"/>
    <x v="0"/>
    <x v="0"/>
    <s v="India"/>
    <s v="lvohra@example.org"/>
    <n v="917798000000"/>
    <x v="2"/>
    <n v="76"/>
    <n v="78"/>
    <s v="Non-AC"/>
    <x v="730"/>
    <d v="2004-04-15T00:00:00"/>
    <n v="1.1789737171464301"/>
    <x v="3"/>
    <n v="676000"/>
    <n v="736000"/>
  </r>
  <r>
    <s v="Amani Sant"/>
    <s v="STU024"/>
    <s v="ENR024"/>
    <x v="0"/>
    <x v="0"/>
    <n v="4"/>
    <s v="Computer Science and Engineering"/>
    <x v="8"/>
    <n v="169000"/>
    <n v="154000"/>
    <n v="15000"/>
    <n v="0"/>
    <x v="0"/>
    <x v="0"/>
    <x v="8"/>
    <x v="7"/>
    <s v="India"/>
    <s v="nayantara20@example.com"/>
    <n v="917073000000"/>
    <x v="2"/>
    <n v="76"/>
    <n v="83"/>
    <s v="Non-AC"/>
    <x v="731"/>
    <d v="2003-11-23T00:00:00"/>
    <n v="1.1789737171464301"/>
    <x v="3"/>
    <n v="676000"/>
    <n v="736000"/>
  </r>
  <r>
    <s v="Eshani Kade"/>
    <s v="STU123"/>
    <s v="ENR123"/>
    <x v="3"/>
    <x v="0"/>
    <n v="4"/>
    <s v="Computer Science and Engineering"/>
    <x v="1"/>
    <n v="169000"/>
    <n v="154000"/>
    <n v="15000"/>
    <n v="0"/>
    <x v="0"/>
    <x v="0"/>
    <x v="6"/>
    <x v="3"/>
    <s v="India"/>
    <s v="nzacharia@example.org"/>
    <n v="917955000000"/>
    <x v="0"/>
    <n v="76"/>
    <n v="86"/>
    <s v="Non-AC"/>
    <x v="732"/>
    <d v="2002-10-04T00:00:00"/>
    <n v="1.1789737171464301"/>
    <x v="2"/>
    <n v="676000"/>
    <n v="736000"/>
  </r>
  <r>
    <s v="Taimur Saini"/>
    <s v="STU242"/>
    <s v="ENR242"/>
    <x v="1"/>
    <x v="1"/>
    <n v="2"/>
    <s v="Computer Science Engineering"/>
    <x v="0"/>
    <n v="92000"/>
    <n v="77000"/>
    <n v="15000"/>
    <n v="0"/>
    <x v="0"/>
    <x v="0"/>
    <x v="6"/>
    <x v="3"/>
    <s v="India"/>
    <s v="bchakrabarti@example.net"/>
    <n v="917512000000"/>
    <x v="0"/>
    <n v="76"/>
    <n v="75"/>
    <s v="AC"/>
    <x v="733"/>
    <d v="2002-02-13T00:00:00"/>
    <n v="1.1789737171464301"/>
    <x v="6"/>
    <n v="184000"/>
    <n v="214000"/>
  </r>
  <r>
    <s v="Shalv Shah"/>
    <s v="STU308"/>
    <s v="ENR308"/>
    <x v="4"/>
    <x v="0"/>
    <n v="4"/>
    <s v="Computer Science and Engineering"/>
    <x v="3"/>
    <n v="169000"/>
    <n v="154000"/>
    <n v="15000"/>
    <n v="0"/>
    <x v="0"/>
    <x v="2"/>
    <x v="8"/>
    <x v="7"/>
    <s v="India"/>
    <s v="cchanda@example.org"/>
    <n v="918939000000"/>
    <x v="2"/>
    <n v="76"/>
    <n v="90"/>
    <s v="AC"/>
    <x v="734"/>
    <d v="2004-12-30T00:00:00"/>
    <n v="1.1789737171464301"/>
    <x v="5"/>
    <n v="676000"/>
    <n v="736000"/>
  </r>
  <r>
    <s v="Taimur Comar"/>
    <s v="STU994"/>
    <s v="ENR994"/>
    <x v="3"/>
    <x v="0"/>
    <n v="4"/>
    <s v="Computer Science and Engineering"/>
    <x v="1"/>
    <n v="169000"/>
    <n v="154000"/>
    <n v="15000"/>
    <n v="0"/>
    <x v="0"/>
    <x v="2"/>
    <x v="4"/>
    <x v="4"/>
    <s v="India"/>
    <s v="sana26@example.com"/>
    <n v="917269000000"/>
    <x v="0"/>
    <n v="76"/>
    <n v="61"/>
    <s v="Non-AC"/>
    <x v="735"/>
    <d v="2002-01-25T00:00:00"/>
    <n v="1.1789737171464301"/>
    <x v="6"/>
    <n v="676000"/>
    <n v="736000"/>
  </r>
  <r>
    <s v="Shaan Sharaf"/>
    <s v="STU555"/>
    <s v="ENR555"/>
    <x v="0"/>
    <x v="0"/>
    <n v="4"/>
    <s v="Computer Science and Engineering"/>
    <x v="5"/>
    <n v="169000"/>
    <n v="154000"/>
    <n v="15000"/>
    <n v="0"/>
    <x v="0"/>
    <x v="1"/>
    <x v="6"/>
    <x v="3"/>
    <s v="India"/>
    <s v="csundaram@example.net"/>
    <n v="917498000000"/>
    <x v="1"/>
    <n v="76"/>
    <n v="69"/>
    <s v="AC"/>
    <x v="736"/>
    <d v="2006-01-21T00:00:00"/>
    <n v="1.1789737171464301"/>
    <x v="4"/>
    <n v="676000"/>
    <n v="736000"/>
  </r>
  <r>
    <s v="Saanvi Chandran"/>
    <s v="STU573"/>
    <s v="ENR573"/>
    <x v="0"/>
    <x v="0"/>
    <n v="4"/>
    <s v="Computer Science and Engineering"/>
    <x v="4"/>
    <n v="169000"/>
    <n v="154000"/>
    <n v="15000"/>
    <n v="0"/>
    <x v="0"/>
    <x v="2"/>
    <x v="8"/>
    <x v="7"/>
    <s v="India"/>
    <s v="fsharaf@example.net"/>
    <n v="918448000000"/>
    <x v="3"/>
    <n v="76"/>
    <n v="92"/>
    <s v="Non-AC"/>
    <x v="737"/>
    <d v="2005-10-24T00:00:00"/>
    <n v="1.1789737171464301"/>
    <x v="4"/>
    <n v="676000"/>
    <n v="736000"/>
  </r>
  <r>
    <s v="Madhav Reddy"/>
    <s v="STU295"/>
    <s v="ENR295"/>
    <x v="5"/>
    <x v="0"/>
    <n v="4"/>
    <s v="Computer Science and Engineering"/>
    <x v="1"/>
    <n v="169000"/>
    <n v="154000"/>
    <n v="15000"/>
    <n v="0"/>
    <x v="0"/>
    <x v="1"/>
    <x v="9"/>
    <x v="8"/>
    <s v="India"/>
    <s v="vardaniyasethi@example.com"/>
    <n v="919084000000"/>
    <x v="1"/>
    <n v="76"/>
    <n v="78"/>
    <s v="AC"/>
    <x v="738"/>
    <d v="2001-02-02T00:00:00"/>
    <n v="1.1789737171464301"/>
    <x v="0"/>
    <n v="676000"/>
    <n v="736000"/>
  </r>
  <r>
    <s v="Manikya Sastry"/>
    <s v="STU155"/>
    <s v="ENR155"/>
    <x v="0"/>
    <x v="0"/>
    <n v="4"/>
    <s v="Computer Science and Engineering"/>
    <x v="6"/>
    <n v="169000"/>
    <n v="154000"/>
    <n v="15000"/>
    <n v="0"/>
    <x v="0"/>
    <x v="1"/>
    <x v="3"/>
    <x v="3"/>
    <s v="India"/>
    <s v="jiyabalakrishnan@example.org"/>
    <n v="919040000000"/>
    <x v="0"/>
    <n v="76"/>
    <n v="68"/>
    <s v="Non-AC"/>
    <x v="739"/>
    <d v="2004-03-16T00:00:00"/>
    <n v="1.1789737171464301"/>
    <x v="3"/>
    <n v="676000"/>
    <n v="736000"/>
  </r>
  <r>
    <s v="Arnav Choudhury"/>
    <s v="STU406"/>
    <s v="ENR406"/>
    <x v="1"/>
    <x v="1"/>
    <n v="2"/>
    <s v="Computer Science Engineering"/>
    <x v="1"/>
    <n v="92000"/>
    <n v="77000"/>
    <n v="15000"/>
    <n v="0"/>
    <x v="0"/>
    <x v="2"/>
    <x v="9"/>
    <x v="8"/>
    <s v="India"/>
    <s v="trivediahana@example.org"/>
    <n v="919935000000"/>
    <x v="1"/>
    <n v="76"/>
    <n v="91"/>
    <s v="Non-AC"/>
    <x v="740"/>
    <d v="2001-11-05T00:00:00"/>
    <n v="1.1789737171464301"/>
    <x v="6"/>
    <n v="184000"/>
    <n v="214000"/>
  </r>
  <r>
    <s v="Ritvik Sanghvi"/>
    <s v="STU301"/>
    <s v="ENR301"/>
    <x v="0"/>
    <x v="0"/>
    <n v="4"/>
    <s v="Computer Science and Engineering"/>
    <x v="3"/>
    <n v="169000"/>
    <n v="154000"/>
    <n v="15000"/>
    <n v="0"/>
    <x v="0"/>
    <x v="2"/>
    <x v="8"/>
    <x v="7"/>
    <s v="India"/>
    <s v="ndhar@example.net"/>
    <n v="918990000000"/>
    <x v="3"/>
    <n v="76"/>
    <n v="82"/>
    <s v="Non-AC"/>
    <x v="741"/>
    <d v="2005-11-25T00:00:00"/>
    <n v="1.1789737171464301"/>
    <x v="4"/>
    <n v="676000"/>
    <n v="736000"/>
  </r>
  <r>
    <s v="Azad Sahota"/>
    <s v="STU146"/>
    <s v="ENR146"/>
    <x v="4"/>
    <x v="0"/>
    <n v="4"/>
    <s v="Computer Science and Engineering"/>
    <x v="0"/>
    <n v="169000"/>
    <n v="154000"/>
    <n v="15000"/>
    <n v="0"/>
    <x v="0"/>
    <x v="2"/>
    <x v="7"/>
    <x v="6"/>
    <s v="India"/>
    <s v="danizara@example.net"/>
    <n v="919843000000"/>
    <x v="3"/>
    <n v="76"/>
    <n v="90"/>
    <s v="Non-AC"/>
    <x v="742"/>
    <d v="2002-12-18T00:00:00"/>
    <n v="1.1789737171464301"/>
    <x v="2"/>
    <n v="676000"/>
    <n v="736000"/>
  </r>
  <r>
    <s v="Tanya Baral"/>
    <s v="STU232"/>
    <s v="ENR232"/>
    <x v="4"/>
    <x v="1"/>
    <n v="2"/>
    <s v="Computer Science Engineering"/>
    <x v="4"/>
    <n v="92000"/>
    <n v="77000"/>
    <n v="15000"/>
    <n v="0"/>
    <x v="0"/>
    <x v="0"/>
    <x v="2"/>
    <x v="2"/>
    <s v="India"/>
    <s v="keya90@example.org"/>
    <n v="917812000000"/>
    <x v="0"/>
    <n v="76"/>
    <n v="71"/>
    <s v="AC"/>
    <x v="743"/>
    <d v="1997-05-05T00:00:00"/>
    <n v="1.1789737171464301"/>
    <x v="8"/>
    <n v="184000"/>
    <n v="214000"/>
  </r>
  <r>
    <s v="Nehmat Sagar"/>
    <s v="STU674"/>
    <s v="ENR674"/>
    <x v="0"/>
    <x v="0"/>
    <n v="4"/>
    <s v="Computer Science and Engineering"/>
    <x v="2"/>
    <n v="169000"/>
    <n v="154000"/>
    <n v="15000"/>
    <n v="0"/>
    <x v="0"/>
    <x v="2"/>
    <x v="9"/>
    <x v="8"/>
    <s v="India"/>
    <s v="gatik47@example.com"/>
    <n v="919481000000"/>
    <x v="4"/>
    <n v="76"/>
    <n v="75"/>
    <s v="AC"/>
    <x v="744"/>
    <d v="2003-07-24T00:00:00"/>
    <n v="1.1789737171464301"/>
    <x v="3"/>
    <n v="676000"/>
    <n v="736000"/>
  </r>
  <r>
    <s v="Armaan Chander"/>
    <s v="STU564"/>
    <s v="ENR564"/>
    <x v="5"/>
    <x v="0"/>
    <n v="4"/>
    <s v="Computer Science and Engineering"/>
    <x v="5"/>
    <n v="169000"/>
    <n v="154000"/>
    <n v="15000"/>
    <n v="0"/>
    <x v="0"/>
    <x v="1"/>
    <x v="2"/>
    <x v="2"/>
    <s v="India"/>
    <s v="eshani14@example.com"/>
    <n v="917537000000"/>
    <x v="1"/>
    <n v="76"/>
    <n v="71"/>
    <s v="AC"/>
    <x v="745"/>
    <d v="2001-02-26T00:00:00"/>
    <n v="1.1789737171464301"/>
    <x v="0"/>
    <n v="676000"/>
    <n v="736000"/>
  </r>
  <r>
    <s v="Vardaniya Saraf"/>
    <s v="STU595"/>
    <s v="ENR595"/>
    <x v="5"/>
    <x v="0"/>
    <n v="4"/>
    <s v="Computer Science and Engineering"/>
    <x v="0"/>
    <n v="169000"/>
    <n v="154000"/>
    <n v="15000"/>
    <n v="0"/>
    <x v="0"/>
    <x v="1"/>
    <x v="2"/>
    <x v="2"/>
    <s v="India"/>
    <s v="abali@example.org"/>
    <n v="918515000000"/>
    <x v="3"/>
    <n v="76"/>
    <n v="90"/>
    <s v="Non-AC"/>
    <x v="746"/>
    <d v="2005-06-05T00:00:00"/>
    <n v="1.1789737171464301"/>
    <x v="5"/>
    <n v="676000"/>
    <n v="736000"/>
  </r>
  <r>
    <s v="Amani Kade"/>
    <s v="STU391"/>
    <s v="ENR391"/>
    <x v="0"/>
    <x v="1"/>
    <n v="2"/>
    <s v="Computer Science Engineering"/>
    <x v="3"/>
    <n v="92000"/>
    <n v="77000"/>
    <n v="15000"/>
    <n v="0"/>
    <x v="0"/>
    <x v="2"/>
    <x v="0"/>
    <x v="0"/>
    <s v="India"/>
    <s v="pranayshukla@example.net"/>
    <n v="918425000000"/>
    <x v="3"/>
    <n v="76"/>
    <n v="67"/>
    <s v="Non-AC"/>
    <x v="747"/>
    <d v="1997-11-06T00:00:00"/>
    <n v="1.1789737171464301"/>
    <x v="9"/>
    <n v="184000"/>
    <n v="214000"/>
  </r>
  <r>
    <s v="Zaina Bir"/>
    <s v="STU159"/>
    <s v="ENR159"/>
    <x v="2"/>
    <x v="1"/>
    <n v="2"/>
    <s v="Computer Science Engineering"/>
    <x v="1"/>
    <n v="92000"/>
    <n v="77000"/>
    <n v="15000"/>
    <n v="0"/>
    <x v="0"/>
    <x v="1"/>
    <x v="9"/>
    <x v="8"/>
    <s v="India"/>
    <s v="ramangatik@example.org"/>
    <n v="917650000000"/>
    <x v="2"/>
    <n v="76"/>
    <n v="80"/>
    <s v="AC"/>
    <x v="748"/>
    <d v="1997-04-08T00:00:00"/>
    <n v="1.1789737171464301"/>
    <x v="8"/>
    <n v="184000"/>
    <n v="214000"/>
  </r>
  <r>
    <s v="Kavya Dewan"/>
    <s v="STU284"/>
    <s v="ENR284"/>
    <x v="2"/>
    <x v="0"/>
    <n v="4"/>
    <s v="Computer Science and Engineering"/>
    <x v="5"/>
    <n v="169000"/>
    <n v="154000"/>
    <n v="15000"/>
    <n v="0"/>
    <x v="0"/>
    <x v="1"/>
    <x v="4"/>
    <x v="4"/>
    <s v="India"/>
    <s v="myra98@example.org"/>
    <n v="917776000000"/>
    <x v="1"/>
    <n v="76"/>
    <n v="82"/>
    <s v="AC"/>
    <x v="749"/>
    <d v="2003-12-29T00:00:00"/>
    <n v="1.1789737171464301"/>
    <x v="3"/>
    <n v="676000"/>
    <n v="736000"/>
  </r>
  <r>
    <s v="Adah Kaur"/>
    <s v="STU200"/>
    <s v="ENR200"/>
    <x v="4"/>
    <x v="1"/>
    <n v="2"/>
    <s v="Computer Science Engineering"/>
    <x v="0"/>
    <n v="92000"/>
    <n v="77000"/>
    <n v="15000"/>
    <n v="0"/>
    <x v="0"/>
    <x v="1"/>
    <x v="5"/>
    <x v="5"/>
    <s v="India"/>
    <s v="xchoudhary@example.net"/>
    <n v="918930000000"/>
    <x v="2"/>
    <n v="76"/>
    <n v="90"/>
    <s v="AC"/>
    <x v="750"/>
    <d v="1999-07-20T00:00:00"/>
    <n v="1.1789737171464301"/>
    <x v="1"/>
    <n v="184000"/>
    <n v="214000"/>
  </r>
  <r>
    <s v="Ritvik Hora"/>
    <s v="STU516"/>
    <s v="ENR516"/>
    <x v="5"/>
    <x v="1"/>
    <n v="2"/>
    <s v="Computer Science Engineering"/>
    <x v="0"/>
    <n v="92000"/>
    <n v="77000"/>
    <n v="15000"/>
    <n v="0"/>
    <x v="0"/>
    <x v="0"/>
    <x v="6"/>
    <x v="3"/>
    <s v="India"/>
    <s v="inaaya-sant@example.net"/>
    <n v="917112000000"/>
    <x v="1"/>
    <n v="76"/>
    <n v="74"/>
    <s v="Non-AC"/>
    <x v="751"/>
    <d v="1998-07-26T00:00:00"/>
    <n v="1.1789737171464301"/>
    <x v="7"/>
    <n v="184000"/>
    <n v="214000"/>
  </r>
  <r>
    <s v="Umang Subramaniam"/>
    <s v="STU222"/>
    <s v="ENR222"/>
    <x v="2"/>
    <x v="0"/>
    <n v="4"/>
    <s v="Computer Science and Engineering"/>
    <x v="0"/>
    <n v="169000"/>
    <n v="154000"/>
    <n v="15000"/>
    <n v="0"/>
    <x v="0"/>
    <x v="1"/>
    <x v="7"/>
    <x v="6"/>
    <s v="India"/>
    <s v="dishani28@example.net"/>
    <n v="918940000000"/>
    <x v="2"/>
    <n v="76"/>
    <n v="73"/>
    <s v="AC"/>
    <x v="752"/>
    <d v="2004-05-11T00:00:00"/>
    <n v="1.1789737171464301"/>
    <x v="3"/>
    <n v="676000"/>
    <n v="736000"/>
  </r>
  <r>
    <s v="Dhanuk Sahni"/>
    <s v="STU520"/>
    <s v="ENR520"/>
    <x v="1"/>
    <x v="1"/>
    <n v="2"/>
    <s v="Computer Science Engineering"/>
    <x v="5"/>
    <n v="92000"/>
    <n v="77000"/>
    <n v="15000"/>
    <n v="0"/>
    <x v="0"/>
    <x v="0"/>
    <x v="7"/>
    <x v="6"/>
    <s v="India"/>
    <s v="xkoshy@example.org"/>
    <n v="919707000000"/>
    <x v="3"/>
    <n v="76"/>
    <n v="74"/>
    <s v="Non-AC"/>
    <x v="753"/>
    <d v="1997-11-12T00:00:00"/>
    <n v="1.1789737171464301"/>
    <x v="9"/>
    <n v="184000"/>
    <n v="214000"/>
  </r>
  <r>
    <s v="Kanav Dubey"/>
    <s v="STU128"/>
    <s v="ENR128"/>
    <x v="5"/>
    <x v="0"/>
    <n v="4"/>
    <s v="Computer Science and Engineering"/>
    <x v="3"/>
    <n v="169000"/>
    <n v="154000"/>
    <n v="15000"/>
    <n v="0"/>
    <x v="0"/>
    <x v="2"/>
    <x v="9"/>
    <x v="8"/>
    <s v="India"/>
    <s v="rania83@example.org"/>
    <n v="919748000000"/>
    <x v="1"/>
    <n v="76"/>
    <n v="64"/>
    <s v="Non-AC"/>
    <x v="754"/>
    <d v="2003-07-20T00:00:00"/>
    <n v="1.1789737171464301"/>
    <x v="3"/>
    <n v="676000"/>
    <n v="736000"/>
  </r>
  <r>
    <s v="Samiha Jha"/>
    <s v="STU1017"/>
    <s v="ENR1017"/>
    <x v="3"/>
    <x v="0"/>
    <n v="4"/>
    <s v="Computer Science and Engineering"/>
    <x v="1"/>
    <n v="169000"/>
    <n v="154000"/>
    <n v="15000"/>
    <n v="0"/>
    <x v="0"/>
    <x v="0"/>
    <x v="0"/>
    <x v="0"/>
    <s v="India"/>
    <s v="trishamanne@example.org"/>
    <n v="917417000000"/>
    <x v="0"/>
    <n v="76"/>
    <n v="89"/>
    <s v="Non-AC"/>
    <x v="755"/>
    <d v="2004-06-06T00:00:00"/>
    <n v="1.1789737171464301"/>
    <x v="3"/>
    <n v="676000"/>
    <n v="736000"/>
  </r>
  <r>
    <s v="Drishya Setty"/>
    <s v="STU651"/>
    <s v="ENR651"/>
    <x v="4"/>
    <x v="0"/>
    <n v="4"/>
    <s v="Computer Science and Engineering"/>
    <x v="1"/>
    <n v="169000"/>
    <n v="154000"/>
    <n v="15000"/>
    <n v="0"/>
    <x v="0"/>
    <x v="1"/>
    <x v="4"/>
    <x v="4"/>
    <s v="India"/>
    <s v="jsura@example.org"/>
    <n v="919984000000"/>
    <x v="1"/>
    <n v="75"/>
    <n v="66"/>
    <s v="AC"/>
    <x v="756"/>
    <d v="2006-05-15T00:00:00"/>
    <n v="0.17897371714643301"/>
    <x v="4"/>
    <n v="676000"/>
    <n v="736000"/>
  </r>
  <r>
    <s v="Jivin Mallick"/>
    <s v="STU149"/>
    <s v="ENR149"/>
    <x v="4"/>
    <x v="0"/>
    <n v="4"/>
    <s v="Computer Science and Engineering"/>
    <x v="3"/>
    <n v="169000"/>
    <n v="154000"/>
    <n v="15000"/>
    <n v="0"/>
    <x v="0"/>
    <x v="1"/>
    <x v="8"/>
    <x v="7"/>
    <s v="India"/>
    <s v="mishtide@example.net"/>
    <n v="919721000000"/>
    <x v="1"/>
    <n v="75"/>
    <n v="81"/>
    <s v="AC"/>
    <x v="757"/>
    <d v="2002-05-15T00:00:00"/>
    <n v="0.17897371714643301"/>
    <x v="6"/>
    <n v="676000"/>
    <n v="736000"/>
  </r>
  <r>
    <s v="Rati Ahluwalia"/>
    <s v="STU399"/>
    <s v="ENR399"/>
    <x v="3"/>
    <x v="1"/>
    <n v="2"/>
    <s v="Computer Science Engineering"/>
    <x v="5"/>
    <n v="92000"/>
    <n v="77000"/>
    <n v="15000"/>
    <n v="0"/>
    <x v="0"/>
    <x v="1"/>
    <x v="1"/>
    <x v="1"/>
    <s v="India"/>
    <s v="adah01@example.org"/>
    <n v="917333000000"/>
    <x v="0"/>
    <n v="75"/>
    <n v="75"/>
    <s v="Non-AC"/>
    <x v="758"/>
    <d v="1997-02-15T00:00:00"/>
    <n v="0.17897371714643301"/>
    <x v="8"/>
    <n v="184000"/>
    <n v="214000"/>
  </r>
  <r>
    <s v="Sara Raman"/>
    <s v="STU915"/>
    <s v="ENR915"/>
    <x v="4"/>
    <x v="0"/>
    <n v="4"/>
    <s v="Computer Science and Engineering"/>
    <x v="1"/>
    <n v="169000"/>
    <n v="154000"/>
    <n v="15000"/>
    <n v="0"/>
    <x v="0"/>
    <x v="2"/>
    <x v="3"/>
    <x v="3"/>
    <s v="India"/>
    <s v="biju72@example.net"/>
    <n v="919018000000"/>
    <x v="1"/>
    <n v="75"/>
    <n v="83"/>
    <s v="AC"/>
    <x v="759"/>
    <d v="2003-07-15T00:00:00"/>
    <n v="0.17897371714643301"/>
    <x v="3"/>
    <n v="676000"/>
    <n v="736000"/>
  </r>
  <r>
    <s v="Indrans Borah"/>
    <s v="STU239"/>
    <s v="ENR239"/>
    <x v="5"/>
    <x v="1"/>
    <n v="2"/>
    <s v="Computer Science Engineering"/>
    <x v="5"/>
    <n v="92000"/>
    <n v="77000"/>
    <n v="15000"/>
    <n v="0"/>
    <x v="0"/>
    <x v="0"/>
    <x v="3"/>
    <x v="3"/>
    <s v="India"/>
    <s v="gtripathi@example.org"/>
    <n v="917124000000"/>
    <x v="2"/>
    <n v="75"/>
    <n v="62"/>
    <s v="Non-AC"/>
    <x v="760"/>
    <d v="1997-01-17T00:00:00"/>
    <n v="0.17897371714643301"/>
    <x v="8"/>
    <n v="184000"/>
    <n v="214000"/>
  </r>
  <r>
    <s v="Raunak Tara"/>
    <s v="STU786"/>
    <s v="ENR786"/>
    <x v="5"/>
    <x v="0"/>
    <n v="4"/>
    <s v="Computer Science and Engineering"/>
    <x v="1"/>
    <n v="169000"/>
    <n v="154000"/>
    <n v="15000"/>
    <n v="0"/>
    <x v="0"/>
    <x v="0"/>
    <x v="1"/>
    <x v="1"/>
    <s v="India"/>
    <s v="charvi49@example.net"/>
    <n v="918716000000"/>
    <x v="2"/>
    <n v="75"/>
    <n v="84"/>
    <s v="AC"/>
    <x v="761"/>
    <d v="2004-02-27T00:00:00"/>
    <n v="0.17897371714643301"/>
    <x v="3"/>
    <n v="676000"/>
    <n v="736000"/>
  </r>
  <r>
    <s v="Yakshit Manne"/>
    <s v="STU195"/>
    <s v="ENR195"/>
    <x v="0"/>
    <x v="1"/>
    <n v="2"/>
    <s v="Computer Science Engineering"/>
    <x v="3"/>
    <n v="92000"/>
    <n v="77000"/>
    <n v="15000"/>
    <n v="0"/>
    <x v="0"/>
    <x v="1"/>
    <x v="4"/>
    <x v="4"/>
    <s v="India"/>
    <s v="ehsaan09@example.org"/>
    <n v="919595000000"/>
    <x v="2"/>
    <n v="75"/>
    <n v="68"/>
    <s v="Non-AC"/>
    <x v="762"/>
    <d v="2001-04-12T00:00:00"/>
    <n v="0.17897371714643301"/>
    <x v="0"/>
    <n v="184000"/>
    <n v="214000"/>
  </r>
  <r>
    <s v="Alia Kala"/>
    <s v="STU824"/>
    <s v="ENR824"/>
    <x v="1"/>
    <x v="0"/>
    <n v="4"/>
    <s v="Computer Science and Engineering"/>
    <x v="2"/>
    <n v="169000"/>
    <n v="154000"/>
    <n v="15000"/>
    <n v="0"/>
    <x v="0"/>
    <x v="0"/>
    <x v="0"/>
    <x v="0"/>
    <s v="India"/>
    <s v="himmat80@example.com"/>
    <n v="918555000000"/>
    <x v="2"/>
    <n v="75"/>
    <n v="75"/>
    <s v="Non-AC"/>
    <x v="763"/>
    <d v="2005-11-09T00:00:00"/>
    <n v="0.17897371714643301"/>
    <x v="4"/>
    <n v="676000"/>
    <n v="736000"/>
  </r>
  <r>
    <s v="Kartik Dave"/>
    <s v="STU387"/>
    <s v="ENR387"/>
    <x v="5"/>
    <x v="1"/>
    <n v="2"/>
    <s v="Computer Science Engineering"/>
    <x v="3"/>
    <n v="92000"/>
    <n v="77000"/>
    <n v="15000"/>
    <n v="0"/>
    <x v="0"/>
    <x v="2"/>
    <x v="2"/>
    <x v="2"/>
    <s v="India"/>
    <s v="fateh53@example.net"/>
    <n v="919223000000"/>
    <x v="4"/>
    <n v="75"/>
    <n v="91"/>
    <s v="AC"/>
    <x v="764"/>
    <d v="1999-03-17T00:00:00"/>
    <n v="0.17897371714643301"/>
    <x v="7"/>
    <n v="184000"/>
    <n v="214000"/>
  </r>
  <r>
    <s v="Vidur Deshpande"/>
    <s v="STU1008"/>
    <s v="ENR1008"/>
    <x v="5"/>
    <x v="0"/>
    <n v="4"/>
    <s v="Computer Science and Engineering"/>
    <x v="4"/>
    <n v="169000"/>
    <n v="154000"/>
    <n v="15000"/>
    <n v="0"/>
    <x v="0"/>
    <x v="2"/>
    <x v="9"/>
    <x v="8"/>
    <s v="India"/>
    <s v="mahika40@example.net"/>
    <n v="919578000000"/>
    <x v="0"/>
    <n v="75"/>
    <n v="77"/>
    <s v="Non-AC"/>
    <x v="765"/>
    <d v="2003-05-07T00:00:00"/>
    <n v="0.17897371714643301"/>
    <x v="2"/>
    <n v="676000"/>
    <n v="736000"/>
  </r>
  <r>
    <s v="Rania Singhal"/>
    <s v="STU1176"/>
    <s v="ENR1176"/>
    <x v="3"/>
    <x v="0"/>
    <n v="4"/>
    <s v="Computer Science and Engineering"/>
    <x v="4"/>
    <n v="169000"/>
    <n v="154000"/>
    <n v="15000"/>
    <n v="0"/>
    <x v="0"/>
    <x v="1"/>
    <x v="5"/>
    <x v="5"/>
    <s v="India"/>
    <s v="balineelofar@example.org"/>
    <n v="918342000000"/>
    <x v="1"/>
    <n v="75"/>
    <n v="75"/>
    <s v="Non-AC"/>
    <x v="766"/>
    <d v="2003-04-24T00:00:00"/>
    <n v="0.17897371714643301"/>
    <x v="2"/>
    <n v="676000"/>
    <n v="736000"/>
  </r>
  <r>
    <s v="Abram Golla"/>
    <s v="STU273"/>
    <s v="ENR273"/>
    <x v="1"/>
    <x v="1"/>
    <n v="2"/>
    <s v="Computer Science Engineering"/>
    <x v="6"/>
    <n v="92000"/>
    <n v="77000"/>
    <n v="15000"/>
    <n v="0"/>
    <x v="0"/>
    <x v="1"/>
    <x v="9"/>
    <x v="8"/>
    <s v="India"/>
    <s v="pdani@example.net"/>
    <n v="919156000000"/>
    <x v="4"/>
    <n v="75"/>
    <n v="66"/>
    <s v="Non-AC"/>
    <x v="767"/>
    <d v="2002-01-30T00:00:00"/>
    <n v="0.17897371714643301"/>
    <x v="6"/>
    <n v="184000"/>
    <n v="214000"/>
  </r>
  <r>
    <s v="Nirvaan Krishna"/>
    <s v="STU272"/>
    <s v="ENR272"/>
    <x v="2"/>
    <x v="0"/>
    <n v="4"/>
    <s v="Computer Science and Engineering"/>
    <x v="9"/>
    <n v="169000"/>
    <n v="154000"/>
    <n v="15000"/>
    <n v="0"/>
    <x v="0"/>
    <x v="2"/>
    <x v="0"/>
    <x v="0"/>
    <s v="India"/>
    <s v="aarush63@example.com"/>
    <n v="919380000000"/>
    <x v="3"/>
    <n v="75"/>
    <n v="66"/>
    <s v="AC"/>
    <x v="768"/>
    <d v="2003-03-22T00:00:00"/>
    <n v="0.17897371714643301"/>
    <x v="2"/>
    <n v="676000"/>
    <n v="736000"/>
  </r>
  <r>
    <s v="Rania Bobal"/>
    <s v="STU569"/>
    <s v="ENR569"/>
    <x v="4"/>
    <x v="0"/>
    <n v="4"/>
    <s v="Computer Science and Engineering"/>
    <x v="6"/>
    <n v="169000"/>
    <n v="154000"/>
    <n v="15000"/>
    <n v="0"/>
    <x v="0"/>
    <x v="1"/>
    <x v="2"/>
    <x v="2"/>
    <s v="India"/>
    <s v="dharmajanray@example.com"/>
    <n v="919757000000"/>
    <x v="1"/>
    <n v="75"/>
    <n v="78"/>
    <s v="AC"/>
    <x v="769"/>
    <d v="2001-07-30T00:00:00"/>
    <n v="0.17897371714643301"/>
    <x v="6"/>
    <n v="676000"/>
    <n v="736000"/>
  </r>
  <r>
    <s v="Seher Choudhury"/>
    <s v="STU391"/>
    <s v="ENR391"/>
    <x v="4"/>
    <x v="0"/>
    <n v="4"/>
    <s v="Computer Science and Engineering"/>
    <x v="7"/>
    <n v="169000"/>
    <n v="154000"/>
    <n v="15000"/>
    <n v="0"/>
    <x v="0"/>
    <x v="1"/>
    <x v="3"/>
    <x v="3"/>
    <s v="India"/>
    <s v="jayan18@example.org"/>
    <n v="919882000000"/>
    <x v="4"/>
    <n v="75"/>
    <n v="73"/>
    <s v="Non-AC"/>
    <x v="770"/>
    <d v="2002-05-20T00:00:00"/>
    <n v="0.17897371714643301"/>
    <x v="6"/>
    <n v="676000"/>
    <n v="736000"/>
  </r>
  <r>
    <s v="Neelofar Ramanathan"/>
    <s v="STU405"/>
    <s v="ENR405"/>
    <x v="3"/>
    <x v="1"/>
    <n v="2"/>
    <s v="Computer Science Engineering"/>
    <x v="6"/>
    <n v="92000"/>
    <n v="77000"/>
    <n v="15000"/>
    <n v="0"/>
    <x v="0"/>
    <x v="2"/>
    <x v="4"/>
    <x v="4"/>
    <s v="India"/>
    <s v="csagar@example.com"/>
    <n v="919971000000"/>
    <x v="4"/>
    <n v="75"/>
    <n v="83"/>
    <s v="Non-AC"/>
    <x v="771"/>
    <d v="1998-12-01T00:00:00"/>
    <n v="0.17897371714643301"/>
    <x v="7"/>
    <n v="184000"/>
    <n v="214000"/>
  </r>
  <r>
    <s v="Anay Bhatnagar"/>
    <s v="STU1139"/>
    <s v="ENR1139"/>
    <x v="3"/>
    <x v="0"/>
    <n v="4"/>
    <s v="Computer Science and Engineering"/>
    <x v="6"/>
    <n v="169000"/>
    <n v="154000"/>
    <n v="15000"/>
    <n v="0"/>
    <x v="0"/>
    <x v="0"/>
    <x v="1"/>
    <x v="1"/>
    <s v="India"/>
    <s v="kraval@example.org"/>
    <n v="919696000000"/>
    <x v="4"/>
    <n v="75"/>
    <n v="87"/>
    <s v="AC"/>
    <x v="772"/>
    <d v="2004-11-12T00:00:00"/>
    <n v="0.17897371714643301"/>
    <x v="5"/>
    <n v="676000"/>
    <n v="736000"/>
  </r>
  <r>
    <s v="Stuvan Shukla"/>
    <s v="STU672"/>
    <s v="ENR672"/>
    <x v="0"/>
    <x v="0"/>
    <n v="4"/>
    <s v="Computer Science and Engineering"/>
    <x v="4"/>
    <n v="169000"/>
    <n v="154000"/>
    <n v="15000"/>
    <n v="0"/>
    <x v="0"/>
    <x v="1"/>
    <x v="7"/>
    <x v="6"/>
    <s v="India"/>
    <s v="dgrover@example.net"/>
    <n v="918186000000"/>
    <x v="3"/>
    <n v="75"/>
    <n v="90"/>
    <s v="AC"/>
    <x v="773"/>
    <d v="2005-05-13T00:00:00"/>
    <n v="0.17897371714643301"/>
    <x v="5"/>
    <n v="676000"/>
    <n v="736000"/>
  </r>
  <r>
    <s v="Kartik Bhat"/>
    <s v="STU729"/>
    <s v="ENR729"/>
    <x v="2"/>
    <x v="0"/>
    <n v="4"/>
    <s v="Computer Science and Engineering"/>
    <x v="1"/>
    <n v="169000"/>
    <n v="154000"/>
    <n v="15000"/>
    <n v="0"/>
    <x v="0"/>
    <x v="1"/>
    <x v="0"/>
    <x v="0"/>
    <s v="India"/>
    <s v="emir98@example.org"/>
    <n v="919513000000"/>
    <x v="1"/>
    <n v="75"/>
    <n v="67"/>
    <s v="AC"/>
    <x v="774"/>
    <d v="2002-07-28T00:00:00"/>
    <n v="0.17897371714643301"/>
    <x v="2"/>
    <n v="676000"/>
    <n v="736000"/>
  </r>
  <r>
    <s v="Purab Dewan"/>
    <s v="STU288"/>
    <s v="ENR288"/>
    <x v="2"/>
    <x v="0"/>
    <n v="4"/>
    <s v="Computer Science and Engineering"/>
    <x v="0"/>
    <n v="169000"/>
    <n v="154000"/>
    <n v="15000"/>
    <n v="0"/>
    <x v="0"/>
    <x v="2"/>
    <x v="3"/>
    <x v="3"/>
    <s v="India"/>
    <s v="badalrama@example.net"/>
    <n v="919696000000"/>
    <x v="3"/>
    <n v="75"/>
    <n v="67"/>
    <s v="AC"/>
    <x v="775"/>
    <d v="2006-02-24T00:00:00"/>
    <n v="0.17897371714643301"/>
    <x v="4"/>
    <n v="676000"/>
    <n v="736000"/>
  </r>
  <r>
    <s v="Biju Chaudhuri"/>
    <s v="STU656"/>
    <s v="ENR656"/>
    <x v="4"/>
    <x v="0"/>
    <n v="4"/>
    <s v="Computer Science and Engineering"/>
    <x v="2"/>
    <n v="169000"/>
    <n v="154000"/>
    <n v="15000"/>
    <n v="0"/>
    <x v="0"/>
    <x v="1"/>
    <x v="1"/>
    <x v="1"/>
    <s v="India"/>
    <s v="keyavasa@example.com"/>
    <n v="918076000000"/>
    <x v="1"/>
    <n v="75"/>
    <n v="73"/>
    <s v="AC"/>
    <x v="776"/>
    <d v="2005-02-02T00:00:00"/>
    <n v="0.17897371714643301"/>
    <x v="5"/>
    <n v="676000"/>
    <n v="736000"/>
  </r>
  <r>
    <s v="Miraya Thakur"/>
    <s v="STU381"/>
    <s v="ENR381"/>
    <x v="5"/>
    <x v="1"/>
    <n v="2"/>
    <s v="Computer Science Engineering"/>
    <x v="3"/>
    <n v="92000"/>
    <n v="77000"/>
    <n v="15000"/>
    <n v="0"/>
    <x v="0"/>
    <x v="1"/>
    <x v="5"/>
    <x v="5"/>
    <s v="India"/>
    <s v="zsangha@example.com"/>
    <n v="919866000000"/>
    <x v="0"/>
    <n v="75"/>
    <n v="79"/>
    <s v="AC"/>
    <x v="777"/>
    <d v="2000-11-25T00:00:00"/>
    <n v="0.17897371714643301"/>
    <x v="0"/>
    <n v="184000"/>
    <n v="214000"/>
  </r>
  <r>
    <s v="Pihu Bahri"/>
    <s v="STU185"/>
    <s v="ENR185"/>
    <x v="5"/>
    <x v="1"/>
    <n v="2"/>
    <s v="Computer Science Engineering"/>
    <x v="5"/>
    <n v="92000"/>
    <n v="77000"/>
    <n v="15000"/>
    <n v="0"/>
    <x v="0"/>
    <x v="0"/>
    <x v="7"/>
    <x v="6"/>
    <s v="India"/>
    <s v="emadan@example.net"/>
    <n v="917713000000"/>
    <x v="1"/>
    <n v="75"/>
    <n v="85"/>
    <s v="AC"/>
    <x v="778"/>
    <d v="2002-04-29T00:00:00"/>
    <n v="0.17897371714643301"/>
    <x v="6"/>
    <n v="184000"/>
    <n v="214000"/>
  </r>
  <r>
    <s v="Ayesha Devi"/>
    <s v="STU918"/>
    <s v="ENR918"/>
    <x v="4"/>
    <x v="0"/>
    <n v="4"/>
    <s v="Computer Science and Engineering"/>
    <x v="8"/>
    <n v="169000"/>
    <n v="154000"/>
    <n v="15000"/>
    <n v="0"/>
    <x v="0"/>
    <x v="1"/>
    <x v="8"/>
    <x v="7"/>
    <s v="India"/>
    <s v="dhaliwaldhanuk@example.org"/>
    <n v="917681000000"/>
    <x v="4"/>
    <n v="75"/>
    <n v="78"/>
    <s v="Non-AC"/>
    <x v="779"/>
    <d v="2000-10-16T00:00:00"/>
    <n v="0.17897371714643301"/>
    <x v="0"/>
    <n v="676000"/>
    <n v="736000"/>
  </r>
  <r>
    <s v="Samiha Randhawa"/>
    <s v="STU757"/>
    <s v="ENR757"/>
    <x v="2"/>
    <x v="0"/>
    <n v="4"/>
    <s v="Computer Science and Engineering"/>
    <x v="9"/>
    <n v="169000"/>
    <n v="154000"/>
    <n v="15000"/>
    <n v="0"/>
    <x v="0"/>
    <x v="0"/>
    <x v="4"/>
    <x v="4"/>
    <s v="India"/>
    <s v="amira05@example.org"/>
    <n v="918351000000"/>
    <x v="2"/>
    <n v="75"/>
    <n v="88"/>
    <s v="AC"/>
    <x v="780"/>
    <d v="2003-09-18T00:00:00"/>
    <n v="0.17897371714643301"/>
    <x v="3"/>
    <n v="676000"/>
    <n v="736000"/>
  </r>
  <r>
    <s v="Kashvi Dâ€™Alia"/>
    <s v="STU751"/>
    <s v="ENR751"/>
    <x v="0"/>
    <x v="0"/>
    <n v="4"/>
    <s v="Computer Science and Engineering"/>
    <x v="1"/>
    <n v="169000"/>
    <n v="154000"/>
    <n v="15000"/>
    <n v="0"/>
    <x v="0"/>
    <x v="2"/>
    <x v="7"/>
    <x v="6"/>
    <s v="India"/>
    <s v="amani28@example.com"/>
    <n v="918007000000"/>
    <x v="3"/>
    <n v="75"/>
    <n v="69"/>
    <s v="Non-AC"/>
    <x v="781"/>
    <d v="2003-03-17T00:00:00"/>
    <n v="0.17897371714643301"/>
    <x v="2"/>
    <n v="676000"/>
    <n v="736000"/>
  </r>
  <r>
    <s v="Tarini Korpal"/>
    <s v="STU894"/>
    <s v="ENR894"/>
    <x v="2"/>
    <x v="0"/>
    <n v="4"/>
    <s v="Computer Science and Engineering"/>
    <x v="0"/>
    <n v="169000"/>
    <n v="154000"/>
    <n v="15000"/>
    <n v="0"/>
    <x v="0"/>
    <x v="1"/>
    <x v="5"/>
    <x v="5"/>
    <s v="India"/>
    <s v="xbrar@example.org"/>
    <n v="919191000000"/>
    <x v="3"/>
    <n v="75"/>
    <n v="70"/>
    <s v="AC"/>
    <x v="782"/>
    <d v="2001-06-11T00:00:00"/>
    <n v="0.17897371714643301"/>
    <x v="0"/>
    <n v="676000"/>
    <n v="736000"/>
  </r>
  <r>
    <s v="Mohanlal Mandal"/>
    <s v="STU886"/>
    <s v="ENR886"/>
    <x v="0"/>
    <x v="0"/>
    <n v="4"/>
    <s v="Computer Science and Engineering"/>
    <x v="7"/>
    <n v="169000"/>
    <n v="154000"/>
    <n v="15000"/>
    <n v="0"/>
    <x v="0"/>
    <x v="2"/>
    <x v="9"/>
    <x v="8"/>
    <s v="India"/>
    <s v="sharmasiya@example.net"/>
    <n v="917663000000"/>
    <x v="1"/>
    <n v="75"/>
    <n v="67"/>
    <s v="AC"/>
    <x v="783"/>
    <d v="2005-11-20T00:00:00"/>
    <n v="0.17897371714643301"/>
    <x v="4"/>
    <n v="676000"/>
    <n v="736000"/>
  </r>
  <r>
    <s v="Aarav Sama"/>
    <s v="STU549"/>
    <s v="ENR549"/>
    <x v="2"/>
    <x v="0"/>
    <n v="4"/>
    <s v="Computer Science and Engineering"/>
    <x v="8"/>
    <n v="169000"/>
    <n v="154000"/>
    <n v="15000"/>
    <n v="0"/>
    <x v="0"/>
    <x v="0"/>
    <x v="8"/>
    <x v="7"/>
    <s v="India"/>
    <s v="zsunder@example.org"/>
    <n v="917191000000"/>
    <x v="0"/>
    <n v="75"/>
    <n v="68"/>
    <s v="AC"/>
    <x v="784"/>
    <d v="2001-05-14T00:00:00"/>
    <n v="0.17897371714643301"/>
    <x v="0"/>
    <n v="676000"/>
    <n v="736000"/>
  </r>
  <r>
    <s v="Kismat Bains"/>
    <s v="STU107"/>
    <s v="ENR107"/>
    <x v="2"/>
    <x v="0"/>
    <n v="4"/>
    <s v="Computer Science and Engineering"/>
    <x v="4"/>
    <n v="169000"/>
    <n v="154000"/>
    <n v="15000"/>
    <n v="0"/>
    <x v="0"/>
    <x v="1"/>
    <x v="8"/>
    <x v="7"/>
    <s v="India"/>
    <s v="manjarishenoy@example.net"/>
    <n v="917943000000"/>
    <x v="1"/>
    <n v="75"/>
    <n v="81"/>
    <s v="AC"/>
    <x v="785"/>
    <d v="2004-01-02T00:00:00"/>
    <n v="0.17897371714643301"/>
    <x v="3"/>
    <n v="676000"/>
    <n v="736000"/>
  </r>
  <r>
    <s v="Misha De"/>
    <s v="STU550"/>
    <s v="ENR550"/>
    <x v="5"/>
    <x v="0"/>
    <n v="4"/>
    <s v="Computer Science and Engineering"/>
    <x v="0"/>
    <n v="169000"/>
    <n v="154000"/>
    <n v="15000"/>
    <n v="0"/>
    <x v="0"/>
    <x v="1"/>
    <x v="5"/>
    <x v="5"/>
    <s v="India"/>
    <s v="jayeshkhosla@example.org"/>
    <n v="918036000000"/>
    <x v="3"/>
    <n v="75"/>
    <n v="70"/>
    <s v="AC"/>
    <x v="786"/>
    <d v="2001-09-02T00:00:00"/>
    <n v="0.17897371714643301"/>
    <x v="6"/>
    <n v="676000"/>
    <n v="736000"/>
  </r>
  <r>
    <s v="Faiyaz Ravel"/>
    <s v="STU399"/>
    <s v="ENR399"/>
    <x v="3"/>
    <x v="0"/>
    <n v="4"/>
    <s v="Computer Science and Engineering"/>
    <x v="6"/>
    <n v="169000"/>
    <n v="154000"/>
    <n v="15000"/>
    <n v="0"/>
    <x v="0"/>
    <x v="1"/>
    <x v="1"/>
    <x v="1"/>
    <s v="India"/>
    <s v="ranganathanyuvaan@example.org"/>
    <n v="918901000000"/>
    <x v="2"/>
    <n v="75"/>
    <n v="91"/>
    <s v="AC"/>
    <x v="787"/>
    <d v="2006-04-07T00:00:00"/>
    <n v="0.17897371714643301"/>
    <x v="4"/>
    <n v="676000"/>
    <n v="736000"/>
  </r>
  <r>
    <s v="Mamooty Korpal"/>
    <s v="STU171"/>
    <s v="ENR171"/>
    <x v="0"/>
    <x v="1"/>
    <n v="2"/>
    <s v="Computer Science Engineering"/>
    <x v="6"/>
    <n v="92000"/>
    <n v="77000"/>
    <n v="15000"/>
    <n v="0"/>
    <x v="0"/>
    <x v="0"/>
    <x v="5"/>
    <x v="5"/>
    <s v="India"/>
    <s v="nayantara22@example.net"/>
    <n v="919260000000"/>
    <x v="0"/>
    <n v="75"/>
    <n v="88"/>
    <s v="Non-AC"/>
    <x v="788"/>
    <d v="1998-11-03T00:00:00"/>
    <n v="0.17897371714643301"/>
    <x v="7"/>
    <n v="184000"/>
    <n v="214000"/>
  </r>
  <r>
    <s v="Seher Manne"/>
    <s v="STU258"/>
    <s v="ENR258"/>
    <x v="0"/>
    <x v="1"/>
    <n v="2"/>
    <s v="Computer Science Engineering"/>
    <x v="0"/>
    <n v="92000"/>
    <n v="77000"/>
    <n v="15000"/>
    <n v="0"/>
    <x v="0"/>
    <x v="1"/>
    <x v="8"/>
    <x v="7"/>
    <s v="India"/>
    <s v="sakshambiswas@example.org"/>
    <n v="918133000000"/>
    <x v="0"/>
    <n v="75"/>
    <n v="91"/>
    <s v="AC"/>
    <x v="789"/>
    <d v="1999-12-20T00:00:00"/>
    <n v="0.17897371714643301"/>
    <x v="1"/>
    <n v="184000"/>
    <n v="214000"/>
  </r>
  <r>
    <s v="Aradhya Sunder"/>
    <s v="STU708"/>
    <s v="ENR708"/>
    <x v="4"/>
    <x v="0"/>
    <n v="4"/>
    <s v="Computer Science and Engineering"/>
    <x v="0"/>
    <n v="169000"/>
    <n v="154000"/>
    <n v="15000"/>
    <n v="0"/>
    <x v="0"/>
    <x v="2"/>
    <x v="3"/>
    <x v="3"/>
    <s v="India"/>
    <s v="vigtushar@example.org"/>
    <n v="918299000000"/>
    <x v="0"/>
    <n v="75"/>
    <n v="74"/>
    <s v="AC"/>
    <x v="790"/>
    <d v="2006-05-24T00:00:00"/>
    <n v="0.17897371714643301"/>
    <x v="4"/>
    <n v="676000"/>
    <n v="736000"/>
  </r>
  <r>
    <s v="Chirag Sane"/>
    <s v="STU1074"/>
    <s v="ENR1074"/>
    <x v="2"/>
    <x v="0"/>
    <n v="4"/>
    <s v="Computer Science and Engineering"/>
    <x v="5"/>
    <n v="169000"/>
    <n v="154000"/>
    <n v="15000"/>
    <n v="0"/>
    <x v="0"/>
    <x v="1"/>
    <x v="0"/>
    <x v="0"/>
    <s v="India"/>
    <s v="hrishita37@example.com"/>
    <n v="919125000000"/>
    <x v="2"/>
    <n v="75"/>
    <n v="90"/>
    <s v="Non-AC"/>
    <x v="791"/>
    <d v="2005-09-29T00:00:00"/>
    <n v="0.17897371714643301"/>
    <x v="4"/>
    <n v="676000"/>
    <n v="736000"/>
  </r>
  <r>
    <s v="Jiya Wadhwa"/>
    <s v="STU975"/>
    <s v="ENR975"/>
    <x v="4"/>
    <x v="0"/>
    <n v="4"/>
    <s v="Computer Science and Engineering"/>
    <x v="4"/>
    <n v="169000"/>
    <n v="154000"/>
    <n v="15000"/>
    <n v="0"/>
    <x v="0"/>
    <x v="0"/>
    <x v="7"/>
    <x v="6"/>
    <s v="India"/>
    <s v="myrabaria@example.com"/>
    <n v="918251000000"/>
    <x v="1"/>
    <n v="75"/>
    <n v="64"/>
    <s v="AC"/>
    <x v="792"/>
    <d v="2004-06-24T00:00:00"/>
    <n v="0.17897371714643301"/>
    <x v="3"/>
    <n v="676000"/>
    <n v="736000"/>
  </r>
  <r>
    <s v="Ehsaan Babu"/>
    <s v="STU311"/>
    <s v="ENR311"/>
    <x v="0"/>
    <x v="1"/>
    <n v="2"/>
    <s v="Computer Science Engineering"/>
    <x v="0"/>
    <n v="92000"/>
    <n v="77000"/>
    <n v="15000"/>
    <n v="0"/>
    <x v="0"/>
    <x v="2"/>
    <x v="3"/>
    <x v="3"/>
    <s v="India"/>
    <s v="bijukala@example.com"/>
    <n v="917881000000"/>
    <x v="0"/>
    <n v="75"/>
    <n v="64"/>
    <s v="AC"/>
    <x v="793"/>
    <d v="1999-09-22T00:00:00"/>
    <n v="0.17897371714643301"/>
    <x v="1"/>
    <n v="184000"/>
    <n v="214000"/>
  </r>
  <r>
    <s v="Myra Sha"/>
    <s v="STU958"/>
    <s v="ENR958"/>
    <x v="0"/>
    <x v="0"/>
    <n v="4"/>
    <s v="Computer Science and Engineering"/>
    <x v="2"/>
    <n v="169000"/>
    <n v="154000"/>
    <n v="15000"/>
    <n v="0"/>
    <x v="0"/>
    <x v="2"/>
    <x v="7"/>
    <x v="6"/>
    <s v="India"/>
    <s v="tanyabalan@example.org"/>
    <n v="917492000000"/>
    <x v="3"/>
    <n v="75"/>
    <n v="88"/>
    <s v="Non-AC"/>
    <x v="794"/>
    <d v="2005-12-10T00:00:00"/>
    <n v="0.17897371714643301"/>
    <x v="4"/>
    <n v="676000"/>
    <n v="736000"/>
  </r>
  <r>
    <s v="Sumer Dada"/>
    <s v="STU160"/>
    <s v="ENR160"/>
    <x v="5"/>
    <x v="0"/>
    <n v="4"/>
    <s v="Computer Science and Engineering"/>
    <x v="8"/>
    <n v="169000"/>
    <n v="154000"/>
    <n v="15000"/>
    <n v="0"/>
    <x v="0"/>
    <x v="0"/>
    <x v="8"/>
    <x v="7"/>
    <s v="India"/>
    <s v="bhatiatara@example.com"/>
    <n v="918756000000"/>
    <x v="1"/>
    <n v="75"/>
    <n v="79"/>
    <s v="Non-AC"/>
    <x v="795"/>
    <d v="2004-02-23T00:00:00"/>
    <n v="0.17897371714643301"/>
    <x v="3"/>
    <n v="676000"/>
    <n v="736000"/>
  </r>
  <r>
    <s v="Madhav Sami"/>
    <s v="STU429"/>
    <s v="ENR429"/>
    <x v="0"/>
    <x v="1"/>
    <n v="2"/>
    <s v="Computer Science Engineering"/>
    <x v="3"/>
    <n v="92000"/>
    <n v="77000"/>
    <n v="15000"/>
    <n v="0"/>
    <x v="0"/>
    <x v="1"/>
    <x v="4"/>
    <x v="4"/>
    <s v="India"/>
    <s v="psangha@example.com"/>
    <n v="918496000000"/>
    <x v="2"/>
    <n v="75"/>
    <n v="68"/>
    <s v="AC"/>
    <x v="796"/>
    <d v="1997-05-08T00:00:00"/>
    <n v="0.17897371714643301"/>
    <x v="8"/>
    <n v="184000"/>
    <n v="214000"/>
  </r>
  <r>
    <s v="Bhavin Krishnamurthy"/>
    <s v="STU265"/>
    <s v="ENR265"/>
    <x v="0"/>
    <x v="1"/>
    <n v="2"/>
    <s v="Computer Science Engineering"/>
    <x v="4"/>
    <n v="92000"/>
    <n v="77000"/>
    <n v="15000"/>
    <n v="0"/>
    <x v="0"/>
    <x v="1"/>
    <x v="1"/>
    <x v="1"/>
    <s v="India"/>
    <s v="biju45@example.org"/>
    <n v="919295000000"/>
    <x v="1"/>
    <n v="75"/>
    <n v="83"/>
    <s v="AC"/>
    <x v="797"/>
    <d v="1997-08-17T00:00:00"/>
    <n v="0.17897371714643301"/>
    <x v="9"/>
    <n v="184000"/>
    <n v="214000"/>
  </r>
  <r>
    <s v="Jayant Jain"/>
    <s v="STU206"/>
    <s v="ENR206"/>
    <x v="4"/>
    <x v="1"/>
    <n v="2"/>
    <s v="Computer Science Engineering"/>
    <x v="0"/>
    <n v="92000"/>
    <n v="77000"/>
    <n v="15000"/>
    <n v="0"/>
    <x v="0"/>
    <x v="1"/>
    <x v="5"/>
    <x v="5"/>
    <s v="India"/>
    <s v="tanksamiha@example.net"/>
    <n v="917222000000"/>
    <x v="2"/>
    <n v="75"/>
    <n v="92"/>
    <s v="Non-AC"/>
    <x v="798"/>
    <d v="1997-11-28T00:00:00"/>
    <n v="0.17897371714643301"/>
    <x v="9"/>
    <n v="184000"/>
    <n v="214000"/>
  </r>
  <r>
    <s v="Taimur Tandon"/>
    <s v="STU641"/>
    <s v="ENR641"/>
    <x v="4"/>
    <x v="0"/>
    <n v="4"/>
    <s v="Computer Science and Engineering"/>
    <x v="6"/>
    <n v="169000"/>
    <n v="154000"/>
    <n v="15000"/>
    <n v="0"/>
    <x v="0"/>
    <x v="1"/>
    <x v="5"/>
    <x v="5"/>
    <s v="India"/>
    <s v="nityakhare@example.org"/>
    <n v="919506000000"/>
    <x v="4"/>
    <n v="75"/>
    <n v="74"/>
    <s v="AC"/>
    <x v="799"/>
    <d v="2000-09-30T00:00:00"/>
    <n v="0.17897371714643301"/>
    <x v="0"/>
    <n v="676000"/>
    <n v="736000"/>
  </r>
  <r>
    <s v="Indrajit Bala"/>
    <s v="STU446"/>
    <s v="ENR446"/>
    <x v="0"/>
    <x v="1"/>
    <n v="2"/>
    <s v="Computer Science Engineering"/>
    <x v="0"/>
    <n v="92000"/>
    <n v="77000"/>
    <n v="15000"/>
    <n v="0"/>
    <x v="0"/>
    <x v="0"/>
    <x v="5"/>
    <x v="5"/>
    <s v="India"/>
    <s v="igopal@example.org"/>
    <n v="918352000000"/>
    <x v="3"/>
    <n v="75"/>
    <n v="66"/>
    <s v="AC"/>
    <x v="800"/>
    <d v="1996-08-06T00:00:00"/>
    <n v="0.17897371714643301"/>
    <x v="8"/>
    <n v="184000"/>
    <n v="214000"/>
  </r>
  <r>
    <s v="Keya Badal"/>
    <s v="STU351"/>
    <s v="ENR351"/>
    <x v="5"/>
    <x v="0"/>
    <n v="4"/>
    <s v="Computer Science and Engineering"/>
    <x v="1"/>
    <n v="169000"/>
    <n v="154000"/>
    <n v="15000"/>
    <n v="0"/>
    <x v="0"/>
    <x v="1"/>
    <x v="2"/>
    <x v="2"/>
    <s v="India"/>
    <s v="ddixit@example.com"/>
    <n v="917113000000"/>
    <x v="4"/>
    <n v="75"/>
    <n v="84"/>
    <s v="Non-AC"/>
    <x v="801"/>
    <d v="2003-01-17T00:00:00"/>
    <n v="0.17897371714643301"/>
    <x v="2"/>
    <n v="676000"/>
    <n v="736000"/>
  </r>
  <r>
    <s v="Shray Dani"/>
    <s v="STU348"/>
    <s v="ENR348"/>
    <x v="1"/>
    <x v="1"/>
    <n v="2"/>
    <s v="Computer Science Engineering"/>
    <x v="5"/>
    <n v="92000"/>
    <n v="77000"/>
    <n v="15000"/>
    <n v="0"/>
    <x v="0"/>
    <x v="1"/>
    <x v="0"/>
    <x v="0"/>
    <s v="India"/>
    <s v="rdeo@example.com"/>
    <n v="919754000000"/>
    <x v="0"/>
    <n v="75"/>
    <n v="62"/>
    <s v="AC"/>
    <x v="802"/>
    <d v="1999-12-26T00:00:00"/>
    <n v="0.17897371714643301"/>
    <x v="1"/>
    <n v="184000"/>
    <n v="214000"/>
  </r>
  <r>
    <s v="Rania Rastogi"/>
    <s v="STU515"/>
    <s v="ENR515"/>
    <x v="3"/>
    <x v="1"/>
    <n v="2"/>
    <s v="Computer Science Engineering"/>
    <x v="4"/>
    <n v="92000"/>
    <n v="77000"/>
    <n v="15000"/>
    <n v="0"/>
    <x v="0"/>
    <x v="2"/>
    <x v="9"/>
    <x v="8"/>
    <s v="India"/>
    <s v="manjariwarrior@example.com"/>
    <n v="917585000000"/>
    <x v="1"/>
    <n v="75"/>
    <n v="73"/>
    <s v="Non-AC"/>
    <x v="803"/>
    <d v="2000-07-07T00:00:00"/>
    <n v="0.17897371714643301"/>
    <x v="1"/>
    <n v="184000"/>
    <n v="214000"/>
  </r>
  <r>
    <s v="Saira Chokshi"/>
    <s v="STU1038"/>
    <s v="ENR1038"/>
    <x v="2"/>
    <x v="0"/>
    <n v="4"/>
    <s v="Computer Science and Engineering"/>
    <x v="6"/>
    <n v="169000"/>
    <n v="154000"/>
    <n v="15000"/>
    <n v="0"/>
    <x v="0"/>
    <x v="1"/>
    <x v="5"/>
    <x v="5"/>
    <s v="India"/>
    <s v="kiaanrao@example.org"/>
    <n v="918885000000"/>
    <x v="4"/>
    <n v="75"/>
    <n v="67"/>
    <s v="AC"/>
    <x v="804"/>
    <d v="2003-04-24T00:00:00"/>
    <n v="0.17897371714643301"/>
    <x v="2"/>
    <n v="676000"/>
    <n v="736000"/>
  </r>
  <r>
    <s v="Dhruv Balakrishnan"/>
    <s v="STU021"/>
    <s v="ENR021"/>
    <x v="3"/>
    <x v="0"/>
    <n v="4"/>
    <s v="Computer Science and Engineering"/>
    <x v="3"/>
    <n v="169000"/>
    <n v="154000"/>
    <n v="15000"/>
    <n v="0"/>
    <x v="0"/>
    <x v="2"/>
    <x v="5"/>
    <x v="5"/>
    <s v="India"/>
    <s v="setheshani@example.com"/>
    <n v="918314000000"/>
    <x v="0"/>
    <n v="74"/>
    <n v="82"/>
    <s v="Non-AC"/>
    <x v="805"/>
    <d v="2003-12-01T00:00:00"/>
    <n v="-0.82102628285356605"/>
    <x v="3"/>
    <n v="676000"/>
    <n v="736000"/>
  </r>
  <r>
    <s v="Umang Bir"/>
    <s v="STU252"/>
    <s v="ENR252"/>
    <x v="2"/>
    <x v="0"/>
    <n v="4"/>
    <s v="Computer Science and Engineering"/>
    <x v="3"/>
    <n v="169000"/>
    <n v="154000"/>
    <n v="15000"/>
    <n v="0"/>
    <x v="0"/>
    <x v="1"/>
    <x v="8"/>
    <x v="7"/>
    <s v="India"/>
    <s v="kimayaswamy@example.org"/>
    <n v="919836000000"/>
    <x v="2"/>
    <n v="74"/>
    <n v="75"/>
    <s v="AC"/>
    <x v="806"/>
    <d v="2000-11-21T00:00:00"/>
    <n v="-0.82102628285356605"/>
    <x v="0"/>
    <n v="676000"/>
    <n v="736000"/>
  </r>
  <r>
    <s v="Samaira Viswanathan"/>
    <s v="STU1130"/>
    <s v="ENR1130"/>
    <x v="4"/>
    <x v="0"/>
    <n v="4"/>
    <s v="Computer Science and Engineering"/>
    <x v="7"/>
    <n v="169000"/>
    <n v="154000"/>
    <n v="15000"/>
    <n v="0"/>
    <x v="0"/>
    <x v="0"/>
    <x v="7"/>
    <x v="6"/>
    <s v="India"/>
    <s v="seher85@example.org"/>
    <n v="918055000000"/>
    <x v="2"/>
    <n v="74"/>
    <n v="80"/>
    <s v="Non-AC"/>
    <x v="807"/>
    <d v="2005-06-29T00:00:00"/>
    <n v="-0.82102628285356605"/>
    <x v="5"/>
    <n v="676000"/>
    <n v="736000"/>
  </r>
  <r>
    <s v="Mehul Sen"/>
    <s v="STU127"/>
    <s v="ENR127"/>
    <x v="2"/>
    <x v="0"/>
    <n v="4"/>
    <s v="Computer Science and Engineering"/>
    <x v="4"/>
    <n v="169000"/>
    <n v="154000"/>
    <n v="15000"/>
    <n v="0"/>
    <x v="0"/>
    <x v="2"/>
    <x v="5"/>
    <x v="5"/>
    <s v="India"/>
    <s v="mishtiyogi@example.org"/>
    <n v="917658000000"/>
    <x v="1"/>
    <n v="74"/>
    <n v="60"/>
    <s v="AC"/>
    <x v="808"/>
    <d v="2002-08-10T00:00:00"/>
    <n v="-0.82102628285356605"/>
    <x v="2"/>
    <n v="676000"/>
    <n v="736000"/>
  </r>
  <r>
    <s v="Pranay Viswanathan"/>
    <s v="STU908"/>
    <s v="ENR908"/>
    <x v="4"/>
    <x v="0"/>
    <n v="4"/>
    <s v="Computer Science and Engineering"/>
    <x v="9"/>
    <n v="169000"/>
    <n v="154000"/>
    <n v="15000"/>
    <n v="0"/>
    <x v="0"/>
    <x v="2"/>
    <x v="5"/>
    <x v="5"/>
    <s v="India"/>
    <s v="qkale@example.com"/>
    <n v="917438000000"/>
    <x v="0"/>
    <n v="74"/>
    <n v="69"/>
    <s v="Non-AC"/>
    <x v="809"/>
    <d v="2004-08-04T00:00:00"/>
    <n v="-0.82102628285356605"/>
    <x v="5"/>
    <n v="676000"/>
    <n v="736000"/>
  </r>
  <r>
    <s v="Chirag Mani"/>
    <s v="STU581"/>
    <s v="ENR581"/>
    <x v="4"/>
    <x v="0"/>
    <n v="4"/>
    <s v="Computer Science and Engineering"/>
    <x v="9"/>
    <n v="169000"/>
    <n v="154000"/>
    <n v="15000"/>
    <n v="0"/>
    <x v="0"/>
    <x v="2"/>
    <x v="3"/>
    <x v="3"/>
    <s v="India"/>
    <s v="eshanisinghal@example.net"/>
    <n v="918346000000"/>
    <x v="1"/>
    <n v="74"/>
    <n v="61"/>
    <s v="AC"/>
    <x v="810"/>
    <d v="2002-08-20T00:00:00"/>
    <n v="-0.82102628285356605"/>
    <x v="2"/>
    <n v="676000"/>
    <n v="736000"/>
  </r>
  <r>
    <s v="Samarth Bakshi"/>
    <s v="STU186"/>
    <s v="ENR186"/>
    <x v="2"/>
    <x v="0"/>
    <n v="4"/>
    <s v="Computer Science and Engineering"/>
    <x v="2"/>
    <n v="169000"/>
    <n v="154000"/>
    <n v="15000"/>
    <n v="0"/>
    <x v="0"/>
    <x v="2"/>
    <x v="3"/>
    <x v="3"/>
    <s v="India"/>
    <s v="igokhale@example.com"/>
    <n v="917497000000"/>
    <x v="4"/>
    <n v="74"/>
    <n v="90"/>
    <s v="AC"/>
    <x v="811"/>
    <d v="2006-04-21T00:00:00"/>
    <n v="-0.82102628285356605"/>
    <x v="4"/>
    <n v="676000"/>
    <n v="736000"/>
  </r>
  <r>
    <s v="Khushi Issac"/>
    <s v="STU402"/>
    <s v="ENR402"/>
    <x v="5"/>
    <x v="1"/>
    <n v="2"/>
    <s v="Computer Science Engineering"/>
    <x v="5"/>
    <n v="92000"/>
    <n v="77000"/>
    <n v="15000"/>
    <n v="0"/>
    <x v="0"/>
    <x v="0"/>
    <x v="2"/>
    <x v="2"/>
    <s v="India"/>
    <s v="kiararavel@example.com"/>
    <n v="918967000000"/>
    <x v="2"/>
    <n v="74"/>
    <n v="90"/>
    <s v="AC"/>
    <x v="812"/>
    <d v="2001-11-07T00:00:00"/>
    <n v="-0.82102628285356605"/>
    <x v="6"/>
    <n v="184000"/>
    <n v="214000"/>
  </r>
  <r>
    <s v="Parinaaz Varma"/>
    <s v="STU199"/>
    <s v="ENR199"/>
    <x v="2"/>
    <x v="1"/>
    <n v="2"/>
    <s v="Computer Science Engineering"/>
    <x v="4"/>
    <n v="92000"/>
    <n v="77000"/>
    <n v="15000"/>
    <n v="0"/>
    <x v="0"/>
    <x v="0"/>
    <x v="8"/>
    <x v="7"/>
    <s v="India"/>
    <s v="mehulchakrabarti@example.com"/>
    <n v="918194000000"/>
    <x v="2"/>
    <n v="74"/>
    <n v="91"/>
    <s v="Non-AC"/>
    <x v="813"/>
    <d v="1996-07-25T00:00:00"/>
    <n v="-0.82102628285356605"/>
    <x v="8"/>
    <n v="184000"/>
    <n v="214000"/>
  </r>
  <r>
    <s v="Mehul Reddy"/>
    <s v="STU009"/>
    <s v="ENR009"/>
    <x v="5"/>
    <x v="0"/>
    <n v="4"/>
    <s v="Computer Science and Engineering"/>
    <x v="0"/>
    <n v="169000"/>
    <n v="154000"/>
    <n v="15000"/>
    <n v="0"/>
    <x v="0"/>
    <x v="2"/>
    <x v="8"/>
    <x v="7"/>
    <s v="India"/>
    <s v="viswanathanjayant@example.com"/>
    <n v="918790000000"/>
    <x v="4"/>
    <n v="74"/>
    <n v="68"/>
    <s v="Non-AC"/>
    <x v="814"/>
    <d v="2003-07-19T00:00:00"/>
    <n v="-0.82102628285356605"/>
    <x v="3"/>
    <n v="676000"/>
    <n v="736000"/>
  </r>
  <r>
    <s v="Krish Dyal"/>
    <s v="STU386"/>
    <s v="ENR386"/>
    <x v="3"/>
    <x v="1"/>
    <n v="2"/>
    <s v="Computer Science Engineering"/>
    <x v="5"/>
    <n v="92000"/>
    <n v="77000"/>
    <n v="15000"/>
    <n v="0"/>
    <x v="0"/>
    <x v="1"/>
    <x v="4"/>
    <x v="4"/>
    <s v="India"/>
    <s v="jayantwalla@example.net"/>
    <n v="919812000000"/>
    <x v="4"/>
    <n v="74"/>
    <n v="88"/>
    <s v="Non-AC"/>
    <x v="815"/>
    <d v="1998-09-27T00:00:00"/>
    <n v="-0.82102628285356605"/>
    <x v="7"/>
    <n v="184000"/>
    <n v="214000"/>
  </r>
  <r>
    <s v="Samaira Doctor"/>
    <s v="STU425"/>
    <s v="ENR425"/>
    <x v="0"/>
    <x v="1"/>
    <n v="2"/>
    <s v="Computer Science Engineering"/>
    <x v="6"/>
    <n v="92000"/>
    <n v="77000"/>
    <n v="15000"/>
    <n v="0"/>
    <x v="0"/>
    <x v="0"/>
    <x v="9"/>
    <x v="8"/>
    <s v="India"/>
    <s v="inaaya-20@example.net"/>
    <n v="917869000000"/>
    <x v="4"/>
    <n v="74"/>
    <n v="86"/>
    <s v="Non-AC"/>
    <x v="816"/>
    <d v="2001-09-02T00:00:00"/>
    <n v="-0.82102628285356605"/>
    <x v="6"/>
    <n v="184000"/>
    <n v="214000"/>
  </r>
  <r>
    <s v="Yakshit Deol"/>
    <s v="STU392"/>
    <s v="ENR392"/>
    <x v="3"/>
    <x v="0"/>
    <n v="4"/>
    <s v="Computer Science and Engineering"/>
    <x v="8"/>
    <n v="169000"/>
    <n v="154000"/>
    <n v="15000"/>
    <n v="0"/>
    <x v="0"/>
    <x v="2"/>
    <x v="2"/>
    <x v="2"/>
    <s v="India"/>
    <s v="zeeshanramakrishnan@example.org"/>
    <n v="918577000000"/>
    <x v="3"/>
    <n v="74"/>
    <n v="89"/>
    <s v="AC"/>
    <x v="817"/>
    <d v="2006-05-21T00:00:00"/>
    <n v="-0.82102628285356605"/>
    <x v="4"/>
    <n v="676000"/>
    <n v="736000"/>
  </r>
  <r>
    <s v="Stuvan Saraf"/>
    <s v="STU850"/>
    <s v="ENR850"/>
    <x v="3"/>
    <x v="0"/>
    <n v="4"/>
    <s v="Computer Science and Engineering"/>
    <x v="6"/>
    <n v="169000"/>
    <n v="154000"/>
    <n v="15000"/>
    <n v="0"/>
    <x v="0"/>
    <x v="0"/>
    <x v="8"/>
    <x v="7"/>
    <s v="India"/>
    <s v="kallamadhup@example.net"/>
    <n v="917219000000"/>
    <x v="2"/>
    <n v="74"/>
    <n v="79"/>
    <s v="AC"/>
    <x v="818"/>
    <d v="2005-05-11T00:00:00"/>
    <n v="-0.82102628285356605"/>
    <x v="5"/>
    <n v="676000"/>
    <n v="736000"/>
  </r>
  <r>
    <s v="Samiha Jani"/>
    <s v="STU653"/>
    <s v="ENR653"/>
    <x v="1"/>
    <x v="0"/>
    <n v="4"/>
    <s v="Computer Science and Engineering"/>
    <x v="3"/>
    <n v="169000"/>
    <n v="154000"/>
    <n v="15000"/>
    <n v="0"/>
    <x v="0"/>
    <x v="2"/>
    <x v="7"/>
    <x v="6"/>
    <s v="India"/>
    <s v="dharmajan09@example.net"/>
    <n v="919247000000"/>
    <x v="1"/>
    <n v="74"/>
    <n v="62"/>
    <s v="AC"/>
    <x v="819"/>
    <d v="2002-09-05T00:00:00"/>
    <n v="-0.82102628285356605"/>
    <x v="2"/>
    <n v="676000"/>
    <n v="736000"/>
  </r>
  <r>
    <s v="Ishaan Hegde"/>
    <s v="STU309"/>
    <s v="ENR309"/>
    <x v="3"/>
    <x v="1"/>
    <n v="2"/>
    <s v="Computer Science Engineering"/>
    <x v="6"/>
    <n v="92000"/>
    <n v="77000"/>
    <n v="15000"/>
    <n v="0"/>
    <x v="0"/>
    <x v="1"/>
    <x v="4"/>
    <x v="4"/>
    <s v="India"/>
    <s v="hazelsamra@example.net"/>
    <n v="918323000000"/>
    <x v="3"/>
    <n v="74"/>
    <n v="81"/>
    <s v="Non-AC"/>
    <x v="820"/>
    <d v="2001-01-03T00:00:00"/>
    <n v="-0.82102628285356605"/>
    <x v="0"/>
    <n v="184000"/>
    <n v="214000"/>
  </r>
  <r>
    <s v="Indrajit Raval"/>
    <s v="STU437"/>
    <s v="ENR437"/>
    <x v="4"/>
    <x v="1"/>
    <n v="2"/>
    <s v="Computer Science Engineering"/>
    <x v="3"/>
    <n v="92000"/>
    <n v="77000"/>
    <n v="15000"/>
    <n v="0"/>
    <x v="0"/>
    <x v="0"/>
    <x v="3"/>
    <x v="3"/>
    <s v="India"/>
    <s v="azad93@example.org"/>
    <n v="918827000000"/>
    <x v="1"/>
    <n v="74"/>
    <n v="72"/>
    <s v="Non-AC"/>
    <x v="821"/>
    <d v="2001-05-04T00:00:00"/>
    <n v="-0.82102628285356605"/>
    <x v="0"/>
    <n v="184000"/>
    <n v="214000"/>
  </r>
  <r>
    <s v="Ahana  Mann"/>
    <s v="STU519"/>
    <s v="ENR519"/>
    <x v="3"/>
    <x v="1"/>
    <n v="2"/>
    <s v="Computer Science Engineering"/>
    <x v="1"/>
    <n v="92000"/>
    <n v="77000"/>
    <n v="15000"/>
    <n v="0"/>
    <x v="0"/>
    <x v="0"/>
    <x v="9"/>
    <x v="8"/>
    <s v="India"/>
    <s v="aarna08@example.com"/>
    <n v="919790000000"/>
    <x v="0"/>
    <n v="74"/>
    <n v="63"/>
    <s v="AC"/>
    <x v="822"/>
    <d v="2001-02-22T00:00:00"/>
    <n v="-0.82102628285356605"/>
    <x v="0"/>
    <n v="184000"/>
    <n v="214000"/>
  </r>
  <r>
    <s v="Ishita Lalla"/>
    <s v="STU500"/>
    <s v="ENR500"/>
    <x v="0"/>
    <x v="1"/>
    <n v="2"/>
    <s v="Computer Science Engineering"/>
    <x v="3"/>
    <n v="92000"/>
    <n v="77000"/>
    <n v="15000"/>
    <n v="0"/>
    <x v="0"/>
    <x v="2"/>
    <x v="5"/>
    <x v="5"/>
    <s v="India"/>
    <s v="ahana-76@example.com"/>
    <n v="919149000000"/>
    <x v="0"/>
    <n v="74"/>
    <n v="78"/>
    <s v="AC"/>
    <x v="823"/>
    <d v="1996-09-04T00:00:00"/>
    <n v="-0.82102628285356605"/>
    <x v="8"/>
    <n v="184000"/>
    <n v="214000"/>
  </r>
  <r>
    <s v="Heer Shah"/>
    <s v="STU307"/>
    <s v="ENR307"/>
    <x v="0"/>
    <x v="1"/>
    <n v="2"/>
    <s v="Computer Science Engineering"/>
    <x v="4"/>
    <n v="92000"/>
    <n v="77000"/>
    <n v="15000"/>
    <n v="0"/>
    <x v="0"/>
    <x v="0"/>
    <x v="7"/>
    <x v="6"/>
    <s v="India"/>
    <s v="nehmattalwar@example.org"/>
    <n v="919313000000"/>
    <x v="3"/>
    <n v="74"/>
    <n v="88"/>
    <s v="Non-AC"/>
    <x v="824"/>
    <d v="1999-12-27T00:00:00"/>
    <n v="-0.82102628285356605"/>
    <x v="1"/>
    <n v="184000"/>
    <n v="214000"/>
  </r>
  <r>
    <s v="Prisha Wagle"/>
    <s v="STU1116"/>
    <s v="ENR1116"/>
    <x v="3"/>
    <x v="0"/>
    <n v="4"/>
    <s v="Computer Science and Engineering"/>
    <x v="0"/>
    <n v="169000"/>
    <n v="154000"/>
    <n v="15000"/>
    <n v="0"/>
    <x v="0"/>
    <x v="0"/>
    <x v="0"/>
    <x v="0"/>
    <s v="India"/>
    <s v="hunarchaudhuri@example.org"/>
    <n v="917694000000"/>
    <x v="2"/>
    <n v="74"/>
    <n v="72"/>
    <s v="Non-AC"/>
    <x v="825"/>
    <d v="2001-11-04T00:00:00"/>
    <n v="-0.82102628285356605"/>
    <x v="6"/>
    <n v="676000"/>
    <n v="736000"/>
  </r>
  <r>
    <s v="Faiyaz Krishna"/>
    <s v="STU322"/>
    <s v="ENR322"/>
    <x v="4"/>
    <x v="1"/>
    <n v="2"/>
    <s v="Computer Science Engineering"/>
    <x v="3"/>
    <n v="92000"/>
    <n v="77000"/>
    <n v="15000"/>
    <n v="0"/>
    <x v="0"/>
    <x v="2"/>
    <x v="0"/>
    <x v="0"/>
    <s v="India"/>
    <s v="sahil14@example.org"/>
    <n v="917758000000"/>
    <x v="3"/>
    <n v="74"/>
    <n v="67"/>
    <s v="Non-AC"/>
    <x v="826"/>
    <d v="1999-01-26T00:00:00"/>
    <n v="-0.82102628285356605"/>
    <x v="7"/>
    <n v="184000"/>
    <n v="214000"/>
  </r>
  <r>
    <s v="Zaina Wadhwa"/>
    <s v="STU1162"/>
    <s v="ENR1162"/>
    <x v="0"/>
    <x v="0"/>
    <n v="4"/>
    <s v="Computer Science and Engineering"/>
    <x v="1"/>
    <n v="169000"/>
    <n v="154000"/>
    <n v="15000"/>
    <n v="0"/>
    <x v="0"/>
    <x v="2"/>
    <x v="5"/>
    <x v="5"/>
    <s v="India"/>
    <s v="kartik11@example.net"/>
    <n v="918741000000"/>
    <x v="1"/>
    <n v="74"/>
    <n v="81"/>
    <s v="Non-AC"/>
    <x v="827"/>
    <d v="2003-09-18T00:00:00"/>
    <n v="-0.82102628285356605"/>
    <x v="3"/>
    <n v="676000"/>
    <n v="736000"/>
  </r>
  <r>
    <s v="Kavya Kothari"/>
    <s v="STU788"/>
    <s v="ENR788"/>
    <x v="2"/>
    <x v="0"/>
    <n v="4"/>
    <s v="Computer Science and Engineering"/>
    <x v="7"/>
    <n v="169000"/>
    <n v="154000"/>
    <n v="15000"/>
    <n v="0"/>
    <x v="0"/>
    <x v="0"/>
    <x v="2"/>
    <x v="2"/>
    <s v="India"/>
    <s v="bavatara@example.com"/>
    <n v="918487000000"/>
    <x v="3"/>
    <n v="74"/>
    <n v="89"/>
    <s v="AC"/>
    <x v="828"/>
    <d v="2003-09-27T00:00:00"/>
    <n v="-0.82102628285356605"/>
    <x v="3"/>
    <n v="676000"/>
    <n v="736000"/>
  </r>
  <r>
    <s v="Reyansh Ganesan"/>
    <s v="STU1003"/>
    <s v="ENR1003"/>
    <x v="0"/>
    <x v="0"/>
    <n v="4"/>
    <s v="Computer Science and Engineering"/>
    <x v="0"/>
    <n v="169000"/>
    <n v="154000"/>
    <n v="15000"/>
    <n v="0"/>
    <x v="0"/>
    <x v="1"/>
    <x v="6"/>
    <x v="3"/>
    <s v="India"/>
    <s v="qsaxena@example.com"/>
    <n v="918566000000"/>
    <x v="1"/>
    <n v="74"/>
    <n v="62"/>
    <s v="Non-AC"/>
    <x v="829"/>
    <d v="2000-08-08T00:00:00"/>
    <n v="-0.82102628285356605"/>
    <x v="0"/>
    <n v="676000"/>
    <n v="736000"/>
  </r>
  <r>
    <s v="Adah Chauhan"/>
    <s v="STU1002"/>
    <s v="ENR1002"/>
    <x v="3"/>
    <x v="0"/>
    <n v="4"/>
    <s v="Computer Science and Engineering"/>
    <x v="4"/>
    <n v="169000"/>
    <n v="154000"/>
    <n v="15000"/>
    <n v="0"/>
    <x v="0"/>
    <x v="1"/>
    <x v="7"/>
    <x v="6"/>
    <s v="India"/>
    <s v="kundaindrajit@example.com"/>
    <n v="917304000000"/>
    <x v="0"/>
    <n v="74"/>
    <n v="74"/>
    <s v="Non-AC"/>
    <x v="830"/>
    <d v="2001-01-19T00:00:00"/>
    <n v="-0.82102628285356605"/>
    <x v="0"/>
    <n v="676000"/>
    <n v="736000"/>
  </r>
  <r>
    <s v="Shanaya Seth"/>
    <s v="STU370"/>
    <s v="ENR370"/>
    <x v="4"/>
    <x v="1"/>
    <n v="2"/>
    <s v="Computer Science Engineering"/>
    <x v="0"/>
    <n v="92000"/>
    <n v="77000"/>
    <n v="15000"/>
    <n v="0"/>
    <x v="0"/>
    <x v="2"/>
    <x v="6"/>
    <x v="3"/>
    <s v="India"/>
    <s v="idugar@example.org"/>
    <n v="917707000000"/>
    <x v="2"/>
    <n v="74"/>
    <n v="74"/>
    <s v="AC"/>
    <x v="831"/>
    <d v="2001-01-21T00:00:00"/>
    <n v="-0.82102628285356605"/>
    <x v="0"/>
    <n v="184000"/>
    <n v="214000"/>
  </r>
  <r>
    <s v="Nehmat Joshi"/>
    <s v="STU1084"/>
    <s v="ENR1084"/>
    <x v="1"/>
    <x v="0"/>
    <n v="4"/>
    <s v="Computer Science and Engineering"/>
    <x v="2"/>
    <n v="169000"/>
    <n v="154000"/>
    <n v="15000"/>
    <n v="0"/>
    <x v="0"/>
    <x v="1"/>
    <x v="7"/>
    <x v="6"/>
    <s v="India"/>
    <s v="vritikaissac@example.com"/>
    <n v="918693000000"/>
    <x v="1"/>
    <n v="74"/>
    <n v="70"/>
    <s v="Non-AC"/>
    <x v="832"/>
    <d v="2002-08-23T00:00:00"/>
    <n v="-0.82102628285356605"/>
    <x v="2"/>
    <n v="676000"/>
    <n v="736000"/>
  </r>
  <r>
    <s v="Mahika Shanker"/>
    <s v="STU773"/>
    <s v="ENR773"/>
    <x v="2"/>
    <x v="0"/>
    <n v="4"/>
    <s v="Computer Science and Engineering"/>
    <x v="1"/>
    <n v="169000"/>
    <n v="154000"/>
    <n v="15000"/>
    <n v="0"/>
    <x v="0"/>
    <x v="2"/>
    <x v="5"/>
    <x v="5"/>
    <s v="India"/>
    <s v="lbadami@example.net"/>
    <n v="919585000000"/>
    <x v="1"/>
    <n v="74"/>
    <n v="78"/>
    <s v="AC"/>
    <x v="833"/>
    <d v="2002-10-13T00:00:00"/>
    <n v="-0.82102628285356605"/>
    <x v="2"/>
    <n v="676000"/>
    <n v="736000"/>
  </r>
  <r>
    <s v="Vaibhav Chowdhury"/>
    <s v="STU349"/>
    <s v="ENR349"/>
    <x v="5"/>
    <x v="1"/>
    <n v="2"/>
    <s v="Computer Science Engineering"/>
    <x v="5"/>
    <n v="92000"/>
    <n v="77000"/>
    <n v="15000"/>
    <n v="0"/>
    <x v="0"/>
    <x v="1"/>
    <x v="8"/>
    <x v="7"/>
    <s v="India"/>
    <s v="banerjeesiya@example.org"/>
    <n v="917120000000"/>
    <x v="3"/>
    <n v="74"/>
    <n v="63"/>
    <s v="Non-AC"/>
    <x v="834"/>
    <d v="2002-02-11T00:00:00"/>
    <n v="-0.82102628285356605"/>
    <x v="6"/>
    <n v="184000"/>
    <n v="214000"/>
  </r>
  <r>
    <s v="Suhana Barad"/>
    <s v="STU707"/>
    <s v="ENR707"/>
    <x v="4"/>
    <x v="0"/>
    <n v="4"/>
    <s v="Computer Science and Engineering"/>
    <x v="7"/>
    <n v="169000"/>
    <n v="154000"/>
    <n v="15000"/>
    <n v="0"/>
    <x v="0"/>
    <x v="1"/>
    <x v="9"/>
    <x v="8"/>
    <s v="India"/>
    <s v="rsaini@example.org"/>
    <n v="919194000000"/>
    <x v="1"/>
    <n v="74"/>
    <n v="67"/>
    <s v="AC"/>
    <x v="835"/>
    <d v="2003-12-28T00:00:00"/>
    <n v="-0.82102628285356605"/>
    <x v="3"/>
    <n v="676000"/>
    <n v="736000"/>
  </r>
  <r>
    <s v="Eshani Dugal"/>
    <s v="STU172"/>
    <s v="ENR172"/>
    <x v="1"/>
    <x v="1"/>
    <n v="2"/>
    <s v="Computer Science Engineering"/>
    <x v="3"/>
    <n v="92000"/>
    <n v="77000"/>
    <n v="15000"/>
    <n v="0"/>
    <x v="0"/>
    <x v="1"/>
    <x v="3"/>
    <x v="3"/>
    <s v="India"/>
    <s v="madhav52@example.com"/>
    <n v="917096000000"/>
    <x v="1"/>
    <n v="74"/>
    <n v="76"/>
    <s v="Non-AC"/>
    <x v="836"/>
    <d v="2001-06-14T00:00:00"/>
    <n v="-0.82102628285356605"/>
    <x v="0"/>
    <n v="184000"/>
    <n v="214000"/>
  </r>
  <r>
    <s v="Rohan Taneja"/>
    <s v="STU137"/>
    <s v="ENR137"/>
    <x v="3"/>
    <x v="1"/>
    <n v="2"/>
    <s v="Computer Science Engineering"/>
    <x v="4"/>
    <n v="92000"/>
    <n v="77000"/>
    <n v="15000"/>
    <n v="0"/>
    <x v="0"/>
    <x v="2"/>
    <x v="7"/>
    <x v="6"/>
    <s v="India"/>
    <s v="somanshlok@example.org"/>
    <n v="918091000000"/>
    <x v="2"/>
    <n v="74"/>
    <n v="82"/>
    <s v="AC"/>
    <x v="837"/>
    <d v="2000-09-26T00:00:00"/>
    <n v="-0.82102628285356605"/>
    <x v="0"/>
    <n v="184000"/>
    <n v="214000"/>
  </r>
  <r>
    <s v="Jhanvi Dash"/>
    <s v="STU989"/>
    <s v="ENR989"/>
    <x v="0"/>
    <x v="0"/>
    <n v="4"/>
    <s v="Computer Science and Engineering"/>
    <x v="2"/>
    <n v="169000"/>
    <n v="154000"/>
    <n v="15000"/>
    <n v="0"/>
    <x v="0"/>
    <x v="2"/>
    <x v="6"/>
    <x v="3"/>
    <s v="India"/>
    <s v="krishnankiara@example.net"/>
    <n v="918743000000"/>
    <x v="1"/>
    <n v="74"/>
    <n v="61"/>
    <s v="Non-AC"/>
    <x v="838"/>
    <d v="2001-02-24T00:00:00"/>
    <n v="-0.82102628285356605"/>
    <x v="0"/>
    <n v="676000"/>
    <n v="736000"/>
  </r>
  <r>
    <s v="Amani Sodhi"/>
    <s v="STU144"/>
    <s v="ENR144"/>
    <x v="4"/>
    <x v="1"/>
    <n v="2"/>
    <s v="Computer Science Engineering"/>
    <x v="1"/>
    <n v="92000"/>
    <n v="77000"/>
    <n v="15000"/>
    <n v="0"/>
    <x v="0"/>
    <x v="0"/>
    <x v="2"/>
    <x v="2"/>
    <s v="India"/>
    <s v="kvirk@example.org"/>
    <n v="919110000000"/>
    <x v="4"/>
    <n v="74"/>
    <n v="62"/>
    <s v="Non-AC"/>
    <x v="839"/>
    <d v="1997-05-14T00:00:00"/>
    <n v="-0.82102628285356605"/>
    <x v="8"/>
    <n v="184000"/>
    <n v="214000"/>
  </r>
  <r>
    <s v="Divit Swaminathan"/>
    <s v="STU350"/>
    <s v="ENR350"/>
    <x v="2"/>
    <x v="1"/>
    <n v="2"/>
    <s v="Computer Science Engineering"/>
    <x v="4"/>
    <n v="92000"/>
    <n v="77000"/>
    <n v="15000"/>
    <n v="0"/>
    <x v="0"/>
    <x v="2"/>
    <x v="3"/>
    <x v="3"/>
    <s v="India"/>
    <s v="dishani60@example.org"/>
    <n v="917484000000"/>
    <x v="4"/>
    <n v="74"/>
    <n v="90"/>
    <s v="Non-AC"/>
    <x v="840"/>
    <d v="2000-11-04T00:00:00"/>
    <n v="-0.82102628285356605"/>
    <x v="0"/>
    <n v="184000"/>
    <n v="214000"/>
  </r>
  <r>
    <s v="Seher Bhargava"/>
    <s v="STU527"/>
    <s v="ENR527"/>
    <x v="3"/>
    <x v="0"/>
    <n v="4"/>
    <s v="Computer Science and Engineering"/>
    <x v="8"/>
    <n v="169000"/>
    <n v="154000"/>
    <n v="15000"/>
    <n v="0"/>
    <x v="0"/>
    <x v="0"/>
    <x v="8"/>
    <x v="7"/>
    <s v="India"/>
    <s v="pihu95@example.com"/>
    <n v="919270000000"/>
    <x v="3"/>
    <n v="74"/>
    <n v="63"/>
    <s v="Non-AC"/>
    <x v="841"/>
    <d v="2006-05-01T00:00:00"/>
    <n v="-0.82102628285356605"/>
    <x v="4"/>
    <n v="676000"/>
    <n v="736000"/>
  </r>
  <r>
    <s v="Bhamini Subramaniam"/>
    <s v="STU108"/>
    <s v="ENR108"/>
    <x v="5"/>
    <x v="0"/>
    <n v="4"/>
    <s v="Computer Science and Engineering"/>
    <x v="5"/>
    <n v="169000"/>
    <n v="154000"/>
    <n v="15000"/>
    <n v="0"/>
    <x v="0"/>
    <x v="2"/>
    <x v="4"/>
    <x v="4"/>
    <s v="India"/>
    <s v="kandachirag@example.net"/>
    <n v="918244000000"/>
    <x v="0"/>
    <n v="74"/>
    <n v="83"/>
    <s v="AC"/>
    <x v="842"/>
    <d v="2005-02-26T00:00:00"/>
    <n v="-0.82102628285356605"/>
    <x v="5"/>
    <n v="676000"/>
    <n v="736000"/>
  </r>
  <r>
    <s v="Lavanya Venkatesh"/>
    <s v="STU528"/>
    <s v="ENR528"/>
    <x v="1"/>
    <x v="0"/>
    <n v="4"/>
    <s v="Computer Science and Engineering"/>
    <x v="2"/>
    <n v="169000"/>
    <n v="154000"/>
    <n v="15000"/>
    <n v="0"/>
    <x v="0"/>
    <x v="2"/>
    <x v="1"/>
    <x v="1"/>
    <s v="India"/>
    <s v="vanyadube@example.net"/>
    <n v="917171000000"/>
    <x v="3"/>
    <n v="74"/>
    <n v="62"/>
    <s v="AC"/>
    <x v="843"/>
    <d v="2001-09-11T00:00:00"/>
    <n v="-0.82102628285356605"/>
    <x v="6"/>
    <n v="676000"/>
    <n v="736000"/>
  </r>
  <r>
    <s v="Bhamini Bose"/>
    <s v="STU360"/>
    <s v="ENR360"/>
    <x v="0"/>
    <x v="1"/>
    <n v="2"/>
    <s v="Computer Science Engineering"/>
    <x v="4"/>
    <n v="92000"/>
    <n v="77000"/>
    <n v="15000"/>
    <n v="0"/>
    <x v="0"/>
    <x v="1"/>
    <x v="9"/>
    <x v="8"/>
    <s v="India"/>
    <s v="neelofardutta@example.net"/>
    <n v="918107000000"/>
    <x v="3"/>
    <n v="74"/>
    <n v="85"/>
    <s v="Non-AC"/>
    <x v="844"/>
    <d v="1996-11-30T00:00:00"/>
    <n v="-0.82102628285356605"/>
    <x v="8"/>
    <n v="184000"/>
    <n v="214000"/>
  </r>
  <r>
    <s v="Lagan Bhardwaj"/>
    <s v="STU535"/>
    <s v="ENR535"/>
    <x v="0"/>
    <x v="0"/>
    <n v="4"/>
    <s v="Computer Science and Engineering"/>
    <x v="0"/>
    <n v="169000"/>
    <n v="154000"/>
    <n v="15000"/>
    <n v="0"/>
    <x v="0"/>
    <x v="1"/>
    <x v="0"/>
    <x v="0"/>
    <s v="India"/>
    <s v="lloyal@example.org"/>
    <n v="919361000000"/>
    <x v="3"/>
    <n v="74"/>
    <n v="79"/>
    <s v="AC"/>
    <x v="845"/>
    <d v="2001-01-13T00:00:00"/>
    <n v="-0.82102628285356605"/>
    <x v="0"/>
    <n v="676000"/>
    <n v="736000"/>
  </r>
  <r>
    <s v="Divyansh Ghose"/>
    <s v="STU162"/>
    <s v="ENR162"/>
    <x v="2"/>
    <x v="1"/>
    <n v="2"/>
    <s v="Computer Science Engineering"/>
    <x v="5"/>
    <n v="92000"/>
    <n v="77000"/>
    <n v="15000"/>
    <n v="0"/>
    <x v="0"/>
    <x v="0"/>
    <x v="1"/>
    <x v="1"/>
    <s v="India"/>
    <s v="shlok82@example.org"/>
    <n v="917449000000"/>
    <x v="1"/>
    <n v="74"/>
    <n v="74"/>
    <s v="AC"/>
    <x v="846"/>
    <d v="1998-10-22T00:00:00"/>
    <n v="-0.82102628285356605"/>
    <x v="7"/>
    <n v="184000"/>
    <n v="214000"/>
  </r>
  <r>
    <s v="Miraya Goel"/>
    <s v="STU728"/>
    <s v="ENR728"/>
    <x v="3"/>
    <x v="0"/>
    <n v="4"/>
    <s v="Computer Science and Engineering"/>
    <x v="5"/>
    <n v="169000"/>
    <n v="154000"/>
    <n v="15000"/>
    <n v="0"/>
    <x v="0"/>
    <x v="0"/>
    <x v="1"/>
    <x v="1"/>
    <s v="India"/>
    <s v="xtara@example.org"/>
    <n v="918632000000"/>
    <x v="2"/>
    <n v="74"/>
    <n v="66"/>
    <s v="AC"/>
    <x v="847"/>
    <d v="2004-02-09T00:00:00"/>
    <n v="-0.82102628285356605"/>
    <x v="3"/>
    <n v="676000"/>
    <n v="736000"/>
  </r>
  <r>
    <s v="Darshit Mani"/>
    <s v="STU979"/>
    <s v="ENR979"/>
    <x v="1"/>
    <x v="0"/>
    <n v="4"/>
    <s v="Computer Science and Engineering"/>
    <x v="9"/>
    <n v="169000"/>
    <n v="154000"/>
    <n v="15000"/>
    <n v="0"/>
    <x v="0"/>
    <x v="0"/>
    <x v="1"/>
    <x v="1"/>
    <s v="India"/>
    <s v="hmani@example.org"/>
    <n v="917087000000"/>
    <x v="4"/>
    <n v="74"/>
    <n v="60"/>
    <s v="AC"/>
    <x v="848"/>
    <d v="2003-11-22T00:00:00"/>
    <n v="-0.82102628285356605"/>
    <x v="3"/>
    <n v="676000"/>
    <n v="736000"/>
  </r>
  <r>
    <s v="Anay Ramanathan"/>
    <s v="STU539"/>
    <s v="ENR539"/>
    <x v="4"/>
    <x v="0"/>
    <n v="4"/>
    <s v="Computer Science and Engineering"/>
    <x v="1"/>
    <n v="169000"/>
    <n v="154000"/>
    <n v="15000"/>
    <n v="0"/>
    <x v="0"/>
    <x v="1"/>
    <x v="9"/>
    <x v="8"/>
    <s v="India"/>
    <s v="madhav19@example.com"/>
    <n v="919716000000"/>
    <x v="2"/>
    <n v="74"/>
    <n v="90"/>
    <s v="AC"/>
    <x v="849"/>
    <d v="2001-10-11T00:00:00"/>
    <n v="-0.82102628285356605"/>
    <x v="6"/>
    <n v="676000"/>
    <n v="736000"/>
  </r>
  <r>
    <s v="Purab Behl"/>
    <s v="STU1163"/>
    <s v="ENR1163"/>
    <x v="3"/>
    <x v="0"/>
    <n v="4"/>
    <s v="Computer Science and Engineering"/>
    <x v="0"/>
    <n v="169000"/>
    <n v="154000"/>
    <n v="15000"/>
    <n v="0"/>
    <x v="0"/>
    <x v="2"/>
    <x v="5"/>
    <x v="5"/>
    <s v="India"/>
    <s v="mallickonkar@example.com"/>
    <n v="917110000000"/>
    <x v="4"/>
    <n v="74"/>
    <n v="84"/>
    <s v="AC"/>
    <x v="850"/>
    <d v="2004-06-12T00:00:00"/>
    <n v="-0.82102628285356605"/>
    <x v="3"/>
    <n v="676000"/>
    <n v="736000"/>
  </r>
  <r>
    <s v="Zara Viswanathan"/>
    <s v="STU690"/>
    <s v="ENR690"/>
    <x v="3"/>
    <x v="0"/>
    <n v="4"/>
    <s v="Computer Science and Engineering"/>
    <x v="9"/>
    <n v="169000"/>
    <n v="154000"/>
    <n v="15000"/>
    <n v="0"/>
    <x v="0"/>
    <x v="2"/>
    <x v="0"/>
    <x v="0"/>
    <s v="India"/>
    <s v="ambleemir@example.org"/>
    <n v="917772000000"/>
    <x v="4"/>
    <n v="74"/>
    <n v="61"/>
    <s v="Non-AC"/>
    <x v="851"/>
    <d v="2006-05-28T00:00:00"/>
    <n v="-0.82102628285356605"/>
    <x v="4"/>
    <n v="676000"/>
    <n v="736000"/>
  </r>
  <r>
    <s v="Nitara Garg"/>
    <s v="STU169"/>
    <s v="ENR169"/>
    <x v="2"/>
    <x v="0"/>
    <n v="4"/>
    <s v="Computer Science and Engineering"/>
    <x v="3"/>
    <n v="169000"/>
    <n v="154000"/>
    <n v="15000"/>
    <n v="0"/>
    <x v="0"/>
    <x v="0"/>
    <x v="6"/>
    <x v="3"/>
    <s v="India"/>
    <s v="rdate@example.org"/>
    <n v="917787000000"/>
    <x v="4"/>
    <n v="74"/>
    <n v="67"/>
    <s v="Non-AC"/>
    <x v="852"/>
    <d v="2001-06-13T00:00:00"/>
    <n v="-0.82102628285356605"/>
    <x v="0"/>
    <n v="676000"/>
    <n v="736000"/>
  </r>
  <r>
    <s v="Jivika Raj"/>
    <s v="STU483"/>
    <s v="ENR483"/>
    <x v="4"/>
    <x v="1"/>
    <n v="2"/>
    <s v="Computer Science Engineering"/>
    <x v="5"/>
    <n v="92000"/>
    <n v="77000"/>
    <n v="15000"/>
    <n v="0"/>
    <x v="0"/>
    <x v="1"/>
    <x v="2"/>
    <x v="2"/>
    <s v="India"/>
    <s v="ryan47@example.com"/>
    <n v="918248000000"/>
    <x v="3"/>
    <n v="74"/>
    <n v="70"/>
    <s v="Non-AC"/>
    <x v="853"/>
    <d v="1998-06-26T00:00:00"/>
    <n v="-0.82102628285356605"/>
    <x v="9"/>
    <n v="184000"/>
    <n v="214000"/>
  </r>
  <r>
    <s v="Biju Sastry"/>
    <s v="STU284"/>
    <s v="ENR284"/>
    <x v="2"/>
    <x v="1"/>
    <n v="2"/>
    <s v="Computer Science Engineering"/>
    <x v="1"/>
    <n v="92000"/>
    <n v="77000"/>
    <n v="15000"/>
    <n v="0"/>
    <x v="0"/>
    <x v="2"/>
    <x v="9"/>
    <x v="8"/>
    <s v="India"/>
    <s v="ykaran@example.net"/>
    <n v="917843000000"/>
    <x v="3"/>
    <n v="74"/>
    <n v="89"/>
    <s v="Non-AC"/>
    <x v="854"/>
    <d v="1998-08-04T00:00:00"/>
    <n v="-0.82102628285356605"/>
    <x v="7"/>
    <n v="184000"/>
    <n v="214000"/>
  </r>
  <r>
    <s v="Farhan Mand"/>
    <s v="STU285"/>
    <s v="ENR285"/>
    <x v="0"/>
    <x v="1"/>
    <n v="2"/>
    <s v="Computer Science Engineering"/>
    <x v="6"/>
    <n v="92000"/>
    <n v="77000"/>
    <n v="15000"/>
    <n v="0"/>
    <x v="0"/>
    <x v="2"/>
    <x v="6"/>
    <x v="3"/>
    <s v="India"/>
    <s v="myra18@example.org"/>
    <n v="917745000000"/>
    <x v="1"/>
    <n v="74"/>
    <n v="63"/>
    <s v="AC"/>
    <x v="855"/>
    <d v="1997-12-15T00:00:00"/>
    <n v="-0.82102628285356605"/>
    <x v="9"/>
    <n v="184000"/>
    <n v="214000"/>
  </r>
  <r>
    <s v="Saksham Ram"/>
    <s v="STU816"/>
    <s v="ENR816"/>
    <x v="3"/>
    <x v="0"/>
    <n v="4"/>
    <s v="Computer Science and Engineering"/>
    <x v="4"/>
    <n v="169000"/>
    <n v="154000"/>
    <n v="15000"/>
    <n v="0"/>
    <x v="0"/>
    <x v="0"/>
    <x v="0"/>
    <x v="0"/>
    <s v="India"/>
    <s v="dtalwar@example.net"/>
    <n v="917955000000"/>
    <x v="4"/>
    <n v="74"/>
    <n v="71"/>
    <s v="AC"/>
    <x v="856"/>
    <d v="2006-05-30T00:00:00"/>
    <n v="-0.82102628285356605"/>
    <x v="4"/>
    <n v="676000"/>
    <n v="736000"/>
  </r>
  <r>
    <s v="Uthkarsh Chand"/>
    <s v="STU368"/>
    <s v="ENR368"/>
    <x v="1"/>
    <x v="0"/>
    <n v="4"/>
    <s v="Computer Science and Engineering"/>
    <x v="2"/>
    <n v="169000"/>
    <n v="154000"/>
    <n v="15000"/>
    <n v="0"/>
    <x v="0"/>
    <x v="0"/>
    <x v="9"/>
    <x v="8"/>
    <s v="India"/>
    <s v="cdivan@example.net"/>
    <n v="918987000000"/>
    <x v="0"/>
    <n v="74"/>
    <n v="67"/>
    <s v="AC"/>
    <x v="857"/>
    <d v="2005-01-15T00:00:00"/>
    <n v="-0.82102628285356605"/>
    <x v="5"/>
    <n v="676000"/>
    <n v="736000"/>
  </r>
  <r>
    <s v="Seher Choudhry"/>
    <s v="STU1101"/>
    <s v="ENR1101"/>
    <x v="1"/>
    <x v="0"/>
    <n v="4"/>
    <s v="Computer Science and Engineering"/>
    <x v="8"/>
    <n v="169000"/>
    <n v="154000"/>
    <n v="15000"/>
    <n v="0"/>
    <x v="0"/>
    <x v="1"/>
    <x v="1"/>
    <x v="1"/>
    <s v="India"/>
    <s v="sanakari@example.org"/>
    <n v="918368000000"/>
    <x v="1"/>
    <n v="74"/>
    <n v="85"/>
    <s v="Non-AC"/>
    <x v="858"/>
    <d v="2006-04-05T00:00:00"/>
    <n v="-0.82102628285356605"/>
    <x v="4"/>
    <n v="676000"/>
    <n v="736000"/>
  </r>
  <r>
    <s v="Khushi Sampath"/>
    <s v="STU279"/>
    <s v="ENR279"/>
    <x v="1"/>
    <x v="1"/>
    <n v="2"/>
    <s v="Computer Science Engineering"/>
    <x v="4"/>
    <n v="92000"/>
    <n v="77000"/>
    <n v="15000"/>
    <n v="0"/>
    <x v="0"/>
    <x v="0"/>
    <x v="9"/>
    <x v="8"/>
    <s v="India"/>
    <s v="vcomar@example.net"/>
    <n v="917454000000"/>
    <x v="0"/>
    <n v="74"/>
    <n v="60"/>
    <s v="Non-AC"/>
    <x v="859"/>
    <d v="2000-05-05T00:00:00"/>
    <n v="-0.82102628285356605"/>
    <x v="1"/>
    <n v="184000"/>
    <n v="214000"/>
  </r>
  <r>
    <s v="Ryan Kashyap"/>
    <s v="STU673"/>
    <s v="ENR673"/>
    <x v="2"/>
    <x v="0"/>
    <n v="4"/>
    <s v="Computer Science and Engineering"/>
    <x v="6"/>
    <n v="169000"/>
    <n v="154000"/>
    <n v="15000"/>
    <n v="0"/>
    <x v="0"/>
    <x v="1"/>
    <x v="6"/>
    <x v="3"/>
    <s v="India"/>
    <s v="duadivij@example.org"/>
    <n v="918865000000"/>
    <x v="4"/>
    <n v="74"/>
    <n v="67"/>
    <s v="Non-AC"/>
    <x v="860"/>
    <d v="2003-01-29T00:00:00"/>
    <n v="-0.82102628285356605"/>
    <x v="2"/>
    <n v="676000"/>
    <n v="736000"/>
  </r>
  <r>
    <s v="Kavya Andra"/>
    <s v="STU805"/>
    <s v="ENR805"/>
    <x v="3"/>
    <x v="0"/>
    <n v="4"/>
    <s v="Computer Science and Engineering"/>
    <x v="7"/>
    <n v="169000"/>
    <n v="154000"/>
    <n v="15000"/>
    <n v="0"/>
    <x v="0"/>
    <x v="1"/>
    <x v="3"/>
    <x v="3"/>
    <s v="India"/>
    <s v="tsinghal@example.com"/>
    <n v="917383000000"/>
    <x v="2"/>
    <n v="74"/>
    <n v="67"/>
    <s v="Non-AC"/>
    <x v="861"/>
    <d v="2004-01-13T00:00:00"/>
    <n v="-0.82102628285356605"/>
    <x v="3"/>
    <n v="676000"/>
    <n v="736000"/>
  </r>
  <r>
    <s v="Keya Rajagopal"/>
    <s v="STU1105"/>
    <s v="ENR1105"/>
    <x v="3"/>
    <x v="0"/>
    <n v="4"/>
    <s v="Computer Science and Engineering"/>
    <x v="3"/>
    <n v="169000"/>
    <n v="154000"/>
    <n v="15000"/>
    <n v="0"/>
    <x v="0"/>
    <x v="1"/>
    <x v="9"/>
    <x v="8"/>
    <s v="India"/>
    <s v="sumerganesh@example.org"/>
    <n v="917234000000"/>
    <x v="2"/>
    <n v="74"/>
    <n v="60"/>
    <s v="AC"/>
    <x v="862"/>
    <d v="2004-03-29T00:00:00"/>
    <n v="-0.82102628285356605"/>
    <x v="3"/>
    <n v="676000"/>
    <n v="736000"/>
  </r>
  <r>
    <s v="Ivan Ahluwalia"/>
    <s v="STU481"/>
    <s v="ENR481"/>
    <x v="0"/>
    <x v="1"/>
    <n v="2"/>
    <s v="Computer Science Engineering"/>
    <x v="4"/>
    <n v="92000"/>
    <n v="77000"/>
    <n v="15000"/>
    <n v="0"/>
    <x v="0"/>
    <x v="1"/>
    <x v="2"/>
    <x v="2"/>
    <s v="India"/>
    <s v="qkurian@example.org"/>
    <n v="918016000000"/>
    <x v="0"/>
    <n v="74"/>
    <n v="90"/>
    <s v="AC"/>
    <x v="863"/>
    <d v="2001-02-05T00:00:00"/>
    <n v="-0.82102628285356605"/>
    <x v="0"/>
    <n v="184000"/>
    <n v="214000"/>
  </r>
  <r>
    <s v="Shayak Kohli"/>
    <s v="STU933"/>
    <s v="ENR933"/>
    <x v="2"/>
    <x v="0"/>
    <n v="4"/>
    <s v="Computer Science and Engineering"/>
    <x v="5"/>
    <n v="169000"/>
    <n v="154000"/>
    <n v="15000"/>
    <n v="0"/>
    <x v="0"/>
    <x v="1"/>
    <x v="7"/>
    <x v="6"/>
    <s v="India"/>
    <s v="qsaini@example.com"/>
    <n v="918485000000"/>
    <x v="4"/>
    <n v="74"/>
    <n v="77"/>
    <s v="Non-AC"/>
    <x v="864"/>
    <d v="2004-08-03T00:00:00"/>
    <n v="-0.82102628285356605"/>
    <x v="5"/>
    <n v="676000"/>
    <n v="736000"/>
  </r>
  <r>
    <s v="Nitara Kamdar"/>
    <s v="STU826"/>
    <s v="ENR826"/>
    <x v="2"/>
    <x v="0"/>
    <n v="4"/>
    <s v="Computer Science and Engineering"/>
    <x v="7"/>
    <n v="169000"/>
    <n v="154000"/>
    <n v="15000"/>
    <n v="0"/>
    <x v="0"/>
    <x v="0"/>
    <x v="0"/>
    <x v="0"/>
    <s v="India"/>
    <s v="madanvidur@example.org"/>
    <n v="918872000000"/>
    <x v="3"/>
    <n v="74"/>
    <n v="71"/>
    <s v="Non-AC"/>
    <x v="865"/>
    <d v="2001-05-03T00:00:00"/>
    <n v="-0.82102628285356605"/>
    <x v="0"/>
    <n v="676000"/>
    <n v="736000"/>
  </r>
  <r>
    <s v="Lakshit Banerjee"/>
    <s v="STU935"/>
    <s v="ENR935"/>
    <x v="3"/>
    <x v="0"/>
    <n v="4"/>
    <s v="Computer Science and Engineering"/>
    <x v="0"/>
    <n v="169000"/>
    <n v="154000"/>
    <n v="15000"/>
    <n v="0"/>
    <x v="0"/>
    <x v="0"/>
    <x v="7"/>
    <x v="6"/>
    <s v="India"/>
    <s v="zeeshanbhardwaj@example.org"/>
    <n v="918553000000"/>
    <x v="4"/>
    <n v="74"/>
    <n v="76"/>
    <s v="Non-AC"/>
    <x v="866"/>
    <d v="2004-09-21T00:00:00"/>
    <n v="-0.82102628285356605"/>
    <x v="5"/>
    <n v="676000"/>
    <n v="736000"/>
  </r>
  <r>
    <s v="Jivika Varkey"/>
    <s v="STU336"/>
    <s v="ENR336"/>
    <x v="4"/>
    <x v="1"/>
    <n v="2"/>
    <s v="Computer Science Engineering"/>
    <x v="5"/>
    <n v="92000"/>
    <n v="77000"/>
    <n v="15000"/>
    <n v="0"/>
    <x v="0"/>
    <x v="1"/>
    <x v="0"/>
    <x v="0"/>
    <s v="India"/>
    <s v="indrajitkeer@example.net"/>
    <n v="918890000000"/>
    <x v="4"/>
    <n v="74"/>
    <n v="66"/>
    <s v="Non-AC"/>
    <x v="867"/>
    <d v="2000-03-02T00:00:00"/>
    <n v="-0.82102628285356605"/>
    <x v="1"/>
    <n v="184000"/>
    <n v="214000"/>
  </r>
  <r>
    <s v="Saanvi Ghose"/>
    <s v="STU077"/>
    <s v="ENR077"/>
    <x v="0"/>
    <x v="0"/>
    <n v="4"/>
    <s v="Computer Science and Engineering"/>
    <x v="8"/>
    <n v="169000"/>
    <n v="154000"/>
    <n v="15000"/>
    <n v="0"/>
    <x v="0"/>
    <x v="1"/>
    <x v="9"/>
    <x v="8"/>
    <s v="India"/>
    <s v="hanscharvi@example.com"/>
    <n v="918026000000"/>
    <x v="1"/>
    <n v="74"/>
    <n v="71"/>
    <s v="AC"/>
    <x v="868"/>
    <d v="2001-07-11T00:00:00"/>
    <n v="-0.82102628285356605"/>
    <x v="6"/>
    <n v="676000"/>
    <n v="736000"/>
  </r>
  <r>
    <s v="Hunar Dara"/>
    <s v="STU502"/>
    <s v="ENR502"/>
    <x v="1"/>
    <x v="1"/>
    <n v="2"/>
    <s v="Computer Science Engineering"/>
    <x v="3"/>
    <n v="92000"/>
    <n v="77000"/>
    <n v="15000"/>
    <n v="0"/>
    <x v="0"/>
    <x v="2"/>
    <x v="7"/>
    <x v="6"/>
    <s v="India"/>
    <s v="samrajayesh@example.com"/>
    <n v="917172000000"/>
    <x v="4"/>
    <n v="73"/>
    <n v="81"/>
    <s v="AC"/>
    <x v="869"/>
    <d v="1997-03-29T00:00:00"/>
    <n v="-1.8210262828535599"/>
    <x v="8"/>
    <n v="184000"/>
    <n v="214000"/>
  </r>
  <r>
    <s v="Trisha Chokshi"/>
    <s v="STU385"/>
    <s v="ENR385"/>
    <x v="1"/>
    <x v="0"/>
    <n v="4"/>
    <s v="Computer Science and Engineering"/>
    <x v="0"/>
    <n v="169000"/>
    <n v="154000"/>
    <n v="15000"/>
    <n v="0"/>
    <x v="0"/>
    <x v="0"/>
    <x v="7"/>
    <x v="6"/>
    <s v="India"/>
    <s v="joshielakshi@example.com"/>
    <n v="918826000000"/>
    <x v="3"/>
    <n v="73"/>
    <n v="76"/>
    <s v="Non-AC"/>
    <x v="870"/>
    <d v="2001-01-12T00:00:00"/>
    <n v="-1.8210262828535599"/>
    <x v="0"/>
    <n v="676000"/>
    <n v="736000"/>
  </r>
  <r>
    <s v="Ishaan Baria"/>
    <s v="STU191"/>
    <s v="ENR191"/>
    <x v="2"/>
    <x v="0"/>
    <n v="4"/>
    <s v="Computer Science and Engineering"/>
    <x v="3"/>
    <n v="169000"/>
    <n v="154000"/>
    <n v="15000"/>
    <n v="0"/>
    <x v="0"/>
    <x v="2"/>
    <x v="2"/>
    <x v="2"/>
    <s v="India"/>
    <s v="oorja23@example.net"/>
    <n v="919788000000"/>
    <x v="2"/>
    <n v="73"/>
    <n v="82"/>
    <s v="Non-AC"/>
    <x v="871"/>
    <d v="2001-07-29T00:00:00"/>
    <n v="-1.8210262828535599"/>
    <x v="6"/>
    <n v="676000"/>
    <n v="736000"/>
  </r>
  <r>
    <s v="Charvi Wali"/>
    <s v="STU378"/>
    <s v="ENR378"/>
    <x v="5"/>
    <x v="0"/>
    <n v="4"/>
    <s v="Computer Science and Engineering"/>
    <x v="6"/>
    <n v="169000"/>
    <n v="154000"/>
    <n v="15000"/>
    <n v="0"/>
    <x v="0"/>
    <x v="0"/>
    <x v="1"/>
    <x v="1"/>
    <s v="India"/>
    <s v="bhatiasaira@example.net"/>
    <n v="917253000000"/>
    <x v="0"/>
    <n v="73"/>
    <n v="88"/>
    <s v="AC"/>
    <x v="872"/>
    <d v="2003-05-21T00:00:00"/>
    <n v="-1.8210262828535599"/>
    <x v="2"/>
    <n v="676000"/>
    <n v="736000"/>
  </r>
  <r>
    <s v="Samarth Cheema"/>
    <s v="STU1096"/>
    <s v="ENR1096"/>
    <x v="2"/>
    <x v="0"/>
    <n v="4"/>
    <s v="Computer Science and Engineering"/>
    <x v="5"/>
    <n v="169000"/>
    <n v="154000"/>
    <n v="15000"/>
    <n v="0"/>
    <x v="0"/>
    <x v="1"/>
    <x v="4"/>
    <x v="4"/>
    <s v="India"/>
    <s v="behleshani@example.net"/>
    <n v="919757000000"/>
    <x v="3"/>
    <n v="73"/>
    <n v="72"/>
    <s v="AC"/>
    <x v="873"/>
    <d v="2001-10-08T00:00:00"/>
    <n v="-1.8210262828535599"/>
    <x v="6"/>
    <n v="676000"/>
    <n v="736000"/>
  </r>
  <r>
    <s v="Ivana Saraf"/>
    <s v="STU968"/>
    <s v="ENR968"/>
    <x v="0"/>
    <x v="0"/>
    <n v="4"/>
    <s v="Computer Science and Engineering"/>
    <x v="1"/>
    <n v="169000"/>
    <n v="154000"/>
    <n v="15000"/>
    <n v="0"/>
    <x v="0"/>
    <x v="1"/>
    <x v="2"/>
    <x v="2"/>
    <s v="India"/>
    <s v="dadashlok@example.org"/>
    <n v="917337000000"/>
    <x v="3"/>
    <n v="73"/>
    <n v="77"/>
    <s v="AC"/>
    <x v="874"/>
    <d v="2003-11-16T00:00:00"/>
    <n v="-1.8210262828535599"/>
    <x v="3"/>
    <n v="676000"/>
    <n v="736000"/>
  </r>
  <r>
    <s v="Shray Ahluwalia"/>
    <s v="STU923"/>
    <s v="ENR923"/>
    <x v="5"/>
    <x v="0"/>
    <n v="4"/>
    <s v="Computer Science and Engineering"/>
    <x v="4"/>
    <n v="169000"/>
    <n v="154000"/>
    <n v="15000"/>
    <n v="0"/>
    <x v="0"/>
    <x v="2"/>
    <x v="3"/>
    <x v="3"/>
    <s v="India"/>
    <s v="zvarghese@example.com"/>
    <n v="919381000000"/>
    <x v="2"/>
    <n v="73"/>
    <n v="68"/>
    <s v="AC"/>
    <x v="875"/>
    <d v="2006-03-09T00:00:00"/>
    <n v="-1.8210262828535599"/>
    <x v="4"/>
    <n v="676000"/>
    <n v="736000"/>
  </r>
  <r>
    <s v="Kismat Rajagopalan"/>
    <s v="STU200"/>
    <s v="ENR200"/>
    <x v="3"/>
    <x v="0"/>
    <n v="4"/>
    <s v="Computer Science and Engineering"/>
    <x v="4"/>
    <n v="169000"/>
    <n v="154000"/>
    <n v="15000"/>
    <n v="0"/>
    <x v="0"/>
    <x v="0"/>
    <x v="7"/>
    <x v="6"/>
    <s v="India"/>
    <s v="cbhavsar@example.org"/>
    <n v="919100000000"/>
    <x v="1"/>
    <n v="73"/>
    <n v="81"/>
    <s v="Non-AC"/>
    <x v="876"/>
    <d v="2006-03-24T00:00:00"/>
    <n v="-1.8210262828535599"/>
    <x v="4"/>
    <n v="676000"/>
    <n v="736000"/>
  </r>
  <r>
    <s v="Kashvi Balay"/>
    <s v="STU896"/>
    <s v="ENR896"/>
    <x v="0"/>
    <x v="0"/>
    <n v="4"/>
    <s v="Computer Science and Engineering"/>
    <x v="0"/>
    <n v="169000"/>
    <n v="154000"/>
    <n v="15000"/>
    <n v="0"/>
    <x v="0"/>
    <x v="0"/>
    <x v="2"/>
    <x v="2"/>
    <s v="India"/>
    <s v="heer23@example.com"/>
    <n v="918724000000"/>
    <x v="0"/>
    <n v="73"/>
    <n v="71"/>
    <s v="AC"/>
    <x v="877"/>
    <d v="2002-01-03T00:00:00"/>
    <n v="-1.8210262828535599"/>
    <x v="6"/>
    <n v="676000"/>
    <n v="736000"/>
  </r>
  <r>
    <s v="Samar Sastry"/>
    <s v="STU260"/>
    <s v="ENR260"/>
    <x v="3"/>
    <x v="0"/>
    <n v="4"/>
    <s v="Computer Science and Engineering"/>
    <x v="3"/>
    <n v="169000"/>
    <n v="154000"/>
    <n v="15000"/>
    <n v="0"/>
    <x v="0"/>
    <x v="2"/>
    <x v="3"/>
    <x v="3"/>
    <s v="India"/>
    <s v="gollapiya@example.org"/>
    <n v="919724000000"/>
    <x v="2"/>
    <n v="73"/>
    <n v="92"/>
    <s v="AC"/>
    <x v="878"/>
    <d v="2001-08-13T00:00:00"/>
    <n v="-1.8210262828535599"/>
    <x v="6"/>
    <n v="676000"/>
    <n v="736000"/>
  </r>
  <r>
    <s v="Kaira Varma"/>
    <s v="STU1098"/>
    <s v="ENR1098"/>
    <x v="2"/>
    <x v="0"/>
    <n v="4"/>
    <s v="Computer Science and Engineering"/>
    <x v="3"/>
    <n v="169000"/>
    <n v="154000"/>
    <n v="15000"/>
    <n v="0"/>
    <x v="0"/>
    <x v="2"/>
    <x v="9"/>
    <x v="8"/>
    <s v="India"/>
    <s v="onkar25@example.com"/>
    <n v="919464000000"/>
    <x v="4"/>
    <n v="73"/>
    <n v="80"/>
    <s v="Non-AC"/>
    <x v="879"/>
    <d v="2003-07-24T00:00:00"/>
    <n v="-1.8210262828535599"/>
    <x v="3"/>
    <n v="676000"/>
    <n v="736000"/>
  </r>
  <r>
    <s v="Kavya Dutt"/>
    <s v="STU364"/>
    <s v="ENR364"/>
    <x v="0"/>
    <x v="0"/>
    <n v="4"/>
    <s v="Computer Science and Engineering"/>
    <x v="6"/>
    <n v="169000"/>
    <n v="154000"/>
    <n v="15000"/>
    <n v="0"/>
    <x v="0"/>
    <x v="1"/>
    <x v="0"/>
    <x v="0"/>
    <s v="India"/>
    <s v="prerak62@example.org"/>
    <n v="918159000000"/>
    <x v="1"/>
    <n v="73"/>
    <n v="90"/>
    <s v="AC"/>
    <x v="880"/>
    <d v="2002-06-11T00:00:00"/>
    <n v="-1.8210262828535599"/>
    <x v="6"/>
    <n v="676000"/>
    <n v="736000"/>
  </r>
  <r>
    <s v="Amani Dyal"/>
    <s v="STU1071"/>
    <s v="ENR1071"/>
    <x v="0"/>
    <x v="0"/>
    <n v="4"/>
    <s v="Computer Science and Engineering"/>
    <x v="5"/>
    <n v="169000"/>
    <n v="154000"/>
    <n v="15000"/>
    <n v="0"/>
    <x v="0"/>
    <x v="0"/>
    <x v="7"/>
    <x v="6"/>
    <s v="India"/>
    <s v="edas@example.net"/>
    <n v="918438000000"/>
    <x v="4"/>
    <n v="73"/>
    <n v="70"/>
    <s v="Non-AC"/>
    <x v="881"/>
    <d v="2005-05-19T00:00:00"/>
    <n v="-1.8210262828535599"/>
    <x v="5"/>
    <n v="676000"/>
    <n v="736000"/>
  </r>
  <r>
    <s v="Hridaan Master"/>
    <s v="STU295"/>
    <s v="ENR295"/>
    <x v="2"/>
    <x v="1"/>
    <n v="2"/>
    <s v="Computer Science Engineering"/>
    <x v="3"/>
    <n v="92000"/>
    <n v="77000"/>
    <n v="15000"/>
    <n v="0"/>
    <x v="0"/>
    <x v="0"/>
    <x v="9"/>
    <x v="8"/>
    <s v="India"/>
    <s v="lyadav@example.net"/>
    <n v="917722000000"/>
    <x v="2"/>
    <n v="73"/>
    <n v="61"/>
    <s v="Non-AC"/>
    <x v="882"/>
    <d v="1997-08-15T00:00:00"/>
    <n v="-1.8210262828535599"/>
    <x v="9"/>
    <n v="184000"/>
    <n v="214000"/>
  </r>
  <r>
    <s v="Vaibhav Gola"/>
    <s v="STU479"/>
    <s v="ENR479"/>
    <x v="2"/>
    <x v="0"/>
    <n v="4"/>
    <s v="Computer Science and Engineering"/>
    <x v="5"/>
    <n v="169000"/>
    <n v="154000"/>
    <n v="15000"/>
    <n v="0"/>
    <x v="0"/>
    <x v="2"/>
    <x v="2"/>
    <x v="2"/>
    <s v="India"/>
    <s v="chirag02@example.net"/>
    <n v="917326000000"/>
    <x v="4"/>
    <n v="73"/>
    <n v="89"/>
    <s v="Non-AC"/>
    <x v="883"/>
    <d v="2004-12-16T00:00:00"/>
    <n v="-1.8210262828535599"/>
    <x v="5"/>
    <n v="676000"/>
    <n v="736000"/>
  </r>
  <r>
    <s v="Azad Vohra"/>
    <s v="STU181"/>
    <s v="ENR181"/>
    <x v="4"/>
    <x v="1"/>
    <n v="2"/>
    <s v="Computer Science Engineering"/>
    <x v="3"/>
    <n v="92000"/>
    <n v="77000"/>
    <n v="15000"/>
    <n v="0"/>
    <x v="0"/>
    <x v="2"/>
    <x v="2"/>
    <x v="2"/>
    <s v="India"/>
    <s v="mirayayadav@example.net"/>
    <n v="918805000000"/>
    <x v="0"/>
    <n v="73"/>
    <n v="66"/>
    <s v="AC"/>
    <x v="884"/>
    <d v="1998-05-08T00:00:00"/>
    <n v="-1.8210262828535599"/>
    <x v="9"/>
    <n v="184000"/>
    <n v="214000"/>
  </r>
  <r>
    <s v="Damini Kala"/>
    <s v="STU831"/>
    <s v="ENR831"/>
    <x v="4"/>
    <x v="0"/>
    <n v="4"/>
    <s v="Computer Science and Engineering"/>
    <x v="2"/>
    <n v="169000"/>
    <n v="154000"/>
    <n v="15000"/>
    <n v="0"/>
    <x v="0"/>
    <x v="2"/>
    <x v="4"/>
    <x v="4"/>
    <s v="India"/>
    <s v="nirvi73@example.org"/>
    <n v="919639000000"/>
    <x v="1"/>
    <n v="73"/>
    <n v="87"/>
    <s v="AC"/>
    <x v="885"/>
    <d v="2000-10-28T00:00:00"/>
    <n v="-1.8210262828535599"/>
    <x v="0"/>
    <n v="676000"/>
    <n v="736000"/>
  </r>
  <r>
    <s v="Riaan Lata"/>
    <s v="STU457"/>
    <s v="ENR457"/>
    <x v="2"/>
    <x v="1"/>
    <n v="2"/>
    <s v="Computer Science Engineering"/>
    <x v="5"/>
    <n v="92000"/>
    <n v="77000"/>
    <n v="15000"/>
    <n v="0"/>
    <x v="0"/>
    <x v="0"/>
    <x v="3"/>
    <x v="3"/>
    <s v="India"/>
    <s v="barmannishith@example.com"/>
    <n v="919241000000"/>
    <x v="4"/>
    <n v="73"/>
    <n v="64"/>
    <s v="Non-AC"/>
    <x v="886"/>
    <d v="1998-09-06T00:00:00"/>
    <n v="-1.8210262828535599"/>
    <x v="7"/>
    <n v="184000"/>
    <n v="214000"/>
  </r>
  <r>
    <s v="Lagan Goswami"/>
    <s v="STU488"/>
    <s v="ENR488"/>
    <x v="2"/>
    <x v="1"/>
    <n v="2"/>
    <s v="Computer Science Engineering"/>
    <x v="4"/>
    <n v="92000"/>
    <n v="77000"/>
    <n v="15000"/>
    <n v="0"/>
    <x v="0"/>
    <x v="2"/>
    <x v="4"/>
    <x v="4"/>
    <s v="India"/>
    <s v="inaaya-mane@example.net"/>
    <n v="918961000000"/>
    <x v="4"/>
    <n v="73"/>
    <n v="65"/>
    <s v="Non-AC"/>
    <x v="887"/>
    <d v="1998-12-11T00:00:00"/>
    <n v="-1.8210262828535599"/>
    <x v="7"/>
    <n v="184000"/>
    <n v="214000"/>
  </r>
  <r>
    <s v="Tushar Sarna"/>
    <s v="STU772"/>
    <s v="ENR772"/>
    <x v="5"/>
    <x v="0"/>
    <n v="4"/>
    <s v="Computer Science and Engineering"/>
    <x v="2"/>
    <n v="169000"/>
    <n v="154000"/>
    <n v="15000"/>
    <n v="0"/>
    <x v="0"/>
    <x v="1"/>
    <x v="1"/>
    <x v="1"/>
    <s v="India"/>
    <s v="zbatta@example.com"/>
    <n v="918759000000"/>
    <x v="1"/>
    <n v="73"/>
    <n v="66"/>
    <s v="Non-AC"/>
    <x v="888"/>
    <d v="2004-11-29T00:00:00"/>
    <n v="-1.8210262828535599"/>
    <x v="5"/>
    <n v="676000"/>
    <n v="736000"/>
  </r>
  <r>
    <s v="Hansh Sani"/>
    <s v="STU115"/>
    <s v="ENR115"/>
    <x v="1"/>
    <x v="0"/>
    <n v="4"/>
    <s v="Computer Science and Engineering"/>
    <x v="9"/>
    <n v="169000"/>
    <n v="154000"/>
    <n v="15000"/>
    <n v="0"/>
    <x v="0"/>
    <x v="0"/>
    <x v="5"/>
    <x v="5"/>
    <s v="India"/>
    <s v="veerbala@example.com"/>
    <n v="917895000000"/>
    <x v="1"/>
    <n v="73"/>
    <n v="81"/>
    <s v="AC"/>
    <x v="889"/>
    <d v="2002-05-02T00:00:00"/>
    <n v="-1.8210262828535599"/>
    <x v="6"/>
    <n v="676000"/>
    <n v="736000"/>
  </r>
  <r>
    <s v="Aarav Magar"/>
    <s v="STU699"/>
    <s v="ENR699"/>
    <x v="1"/>
    <x v="0"/>
    <n v="4"/>
    <s v="Computer Science and Engineering"/>
    <x v="9"/>
    <n v="169000"/>
    <n v="154000"/>
    <n v="15000"/>
    <n v="0"/>
    <x v="0"/>
    <x v="2"/>
    <x v="5"/>
    <x v="5"/>
    <s v="India"/>
    <s v="suhanasuresh@example.org"/>
    <n v="918757000000"/>
    <x v="1"/>
    <n v="73"/>
    <n v="72"/>
    <s v="AC"/>
    <x v="890"/>
    <d v="2002-07-01T00:00:00"/>
    <n v="-1.8210262828535599"/>
    <x v="6"/>
    <n v="676000"/>
    <n v="736000"/>
  </r>
  <r>
    <s v="Shlok Borah"/>
    <s v="STU558"/>
    <s v="ENR558"/>
    <x v="4"/>
    <x v="0"/>
    <n v="4"/>
    <s v="Computer Science and Engineering"/>
    <x v="3"/>
    <n v="169000"/>
    <n v="154000"/>
    <n v="15000"/>
    <n v="0"/>
    <x v="0"/>
    <x v="1"/>
    <x v="1"/>
    <x v="1"/>
    <s v="India"/>
    <s v="yakshit58@example.org"/>
    <n v="918066000000"/>
    <x v="0"/>
    <n v="73"/>
    <n v="87"/>
    <s v="Non-AC"/>
    <x v="891"/>
    <d v="2003-01-24T00:00:00"/>
    <n v="-1.8210262828535599"/>
    <x v="2"/>
    <n v="676000"/>
    <n v="736000"/>
  </r>
  <r>
    <s v="Shray Brar"/>
    <s v="STU705"/>
    <s v="ENR705"/>
    <x v="4"/>
    <x v="0"/>
    <n v="4"/>
    <s v="Computer Science and Engineering"/>
    <x v="8"/>
    <n v="169000"/>
    <n v="154000"/>
    <n v="15000"/>
    <n v="0"/>
    <x v="0"/>
    <x v="1"/>
    <x v="0"/>
    <x v="0"/>
    <s v="India"/>
    <s v="anvi45@example.org"/>
    <n v="917016000000"/>
    <x v="0"/>
    <n v="73"/>
    <n v="83"/>
    <s v="AC"/>
    <x v="892"/>
    <d v="2002-10-20T00:00:00"/>
    <n v="-1.8210262828535599"/>
    <x v="2"/>
    <n v="676000"/>
    <n v="736000"/>
  </r>
  <r>
    <s v="Miraan Raman"/>
    <s v="STU714"/>
    <s v="ENR714"/>
    <x v="5"/>
    <x v="0"/>
    <n v="4"/>
    <s v="Computer Science and Engineering"/>
    <x v="4"/>
    <n v="169000"/>
    <n v="154000"/>
    <n v="15000"/>
    <n v="0"/>
    <x v="0"/>
    <x v="0"/>
    <x v="1"/>
    <x v="1"/>
    <s v="India"/>
    <s v="dubeymisha@example.com"/>
    <n v="918856000000"/>
    <x v="2"/>
    <n v="73"/>
    <n v="78"/>
    <s v="AC"/>
    <x v="893"/>
    <d v="2006-06-23T00:00:00"/>
    <n v="-1.8210262828535599"/>
    <x v="4"/>
    <n v="676000"/>
    <n v="736000"/>
  </r>
  <r>
    <s v="Vivaan Dua"/>
    <s v="STU492"/>
    <s v="ENR492"/>
    <x v="3"/>
    <x v="0"/>
    <n v="4"/>
    <s v="Computer Science and Engineering"/>
    <x v="1"/>
    <n v="169000"/>
    <n v="154000"/>
    <n v="15000"/>
    <n v="0"/>
    <x v="0"/>
    <x v="1"/>
    <x v="2"/>
    <x v="2"/>
    <s v="India"/>
    <s v="raghavchoudhary@example.net"/>
    <n v="918417000000"/>
    <x v="2"/>
    <n v="73"/>
    <n v="84"/>
    <s v="Non-AC"/>
    <x v="894"/>
    <d v="2003-01-06T00:00:00"/>
    <n v="-1.8210262828535599"/>
    <x v="2"/>
    <n v="676000"/>
    <n v="736000"/>
  </r>
  <r>
    <s v="Pranay Iyer"/>
    <s v="STU169"/>
    <s v="ENR169"/>
    <x v="5"/>
    <x v="1"/>
    <n v="2"/>
    <s v="Computer Science Engineering"/>
    <x v="3"/>
    <n v="92000"/>
    <n v="77000"/>
    <n v="15000"/>
    <n v="0"/>
    <x v="0"/>
    <x v="0"/>
    <x v="5"/>
    <x v="5"/>
    <s v="India"/>
    <s v="zdhawan@example.net"/>
    <n v="919070000000"/>
    <x v="0"/>
    <n v="73"/>
    <n v="62"/>
    <s v="Non-AC"/>
    <x v="895"/>
    <d v="1998-05-04T00:00:00"/>
    <n v="-1.8210262828535599"/>
    <x v="9"/>
    <n v="184000"/>
    <n v="214000"/>
  </r>
  <r>
    <s v="Ishita Lall"/>
    <s v="STU797"/>
    <s v="ENR797"/>
    <x v="4"/>
    <x v="0"/>
    <n v="4"/>
    <s v="Computer Science and Engineering"/>
    <x v="2"/>
    <n v="169000"/>
    <n v="154000"/>
    <n v="15000"/>
    <n v="0"/>
    <x v="0"/>
    <x v="1"/>
    <x v="2"/>
    <x v="2"/>
    <s v="India"/>
    <s v="wasongatik@example.net"/>
    <n v="919670000000"/>
    <x v="4"/>
    <n v="73"/>
    <n v="74"/>
    <s v="Non-AC"/>
    <x v="896"/>
    <d v="2002-12-27T00:00:00"/>
    <n v="-1.8210262828535599"/>
    <x v="2"/>
    <n v="676000"/>
    <n v="736000"/>
  </r>
  <r>
    <s v="Reyansh Balakrishnan"/>
    <s v="STU724"/>
    <s v="ENR724"/>
    <x v="4"/>
    <x v="0"/>
    <n v="4"/>
    <s v="Computer Science and Engineering"/>
    <x v="6"/>
    <n v="169000"/>
    <n v="154000"/>
    <n v="15000"/>
    <n v="0"/>
    <x v="0"/>
    <x v="1"/>
    <x v="5"/>
    <x v="5"/>
    <s v="India"/>
    <s v="aaravbhakta@example.org"/>
    <n v="919418000000"/>
    <x v="2"/>
    <n v="73"/>
    <n v="77"/>
    <s v="AC"/>
    <x v="897"/>
    <d v="2005-10-06T00:00:00"/>
    <n v="-1.8210262828535599"/>
    <x v="4"/>
    <n v="676000"/>
    <n v="736000"/>
  </r>
  <r>
    <s v="Akarsh Dalal"/>
    <s v="STU730"/>
    <s v="ENR730"/>
    <x v="2"/>
    <x v="0"/>
    <n v="4"/>
    <s v="Computer Science and Engineering"/>
    <x v="2"/>
    <n v="169000"/>
    <n v="154000"/>
    <n v="15000"/>
    <n v="0"/>
    <x v="0"/>
    <x v="2"/>
    <x v="9"/>
    <x v="8"/>
    <s v="India"/>
    <s v="yuvraj-43@example.org"/>
    <n v="918748000000"/>
    <x v="3"/>
    <n v="73"/>
    <n v="73"/>
    <s v="AC"/>
    <x v="898"/>
    <d v="2002-10-30T00:00:00"/>
    <n v="-1.8210262828535599"/>
    <x v="2"/>
    <n v="676000"/>
    <n v="736000"/>
  </r>
  <r>
    <s v="Dishani Sura"/>
    <s v="STU166"/>
    <s v="ENR166"/>
    <x v="3"/>
    <x v="0"/>
    <n v="4"/>
    <s v="Computer Science and Engineering"/>
    <x v="7"/>
    <n v="169000"/>
    <n v="154000"/>
    <n v="15000"/>
    <n v="0"/>
    <x v="0"/>
    <x v="1"/>
    <x v="6"/>
    <x v="3"/>
    <s v="India"/>
    <s v="dsem@example.org"/>
    <n v="917458000000"/>
    <x v="4"/>
    <n v="73"/>
    <n v="63"/>
    <s v="Non-AC"/>
    <x v="899"/>
    <d v="2001-07-27T00:00:00"/>
    <n v="-1.8210262828535599"/>
    <x v="6"/>
    <n v="676000"/>
    <n v="736000"/>
  </r>
  <r>
    <s v="Aaryahi Dash"/>
    <s v="STU443"/>
    <s v="ENR443"/>
    <x v="0"/>
    <x v="1"/>
    <n v="2"/>
    <s v="Computer Science Engineering"/>
    <x v="0"/>
    <n v="92000"/>
    <n v="77000"/>
    <n v="15000"/>
    <n v="0"/>
    <x v="0"/>
    <x v="1"/>
    <x v="1"/>
    <x v="1"/>
    <s v="India"/>
    <s v="deshpanderasha@example.org"/>
    <n v="917067000000"/>
    <x v="2"/>
    <n v="73"/>
    <n v="64"/>
    <s v="AC"/>
    <x v="900"/>
    <d v="1997-12-20T00:00:00"/>
    <n v="-1.8210262828535599"/>
    <x v="9"/>
    <n v="184000"/>
    <n v="214000"/>
  </r>
  <r>
    <s v="Purab Chand"/>
    <s v="STU1194"/>
    <s v="ENR1194"/>
    <x v="5"/>
    <x v="0"/>
    <n v="4"/>
    <s v="Computer Science and Engineering"/>
    <x v="5"/>
    <n v="169000"/>
    <n v="154000"/>
    <n v="15000"/>
    <n v="0"/>
    <x v="0"/>
    <x v="2"/>
    <x v="9"/>
    <x v="8"/>
    <s v="India"/>
    <s v="tejas59@example.com"/>
    <n v="917087000000"/>
    <x v="0"/>
    <n v="73"/>
    <n v="84"/>
    <s v="Non-AC"/>
    <x v="901"/>
    <d v="2006-07-01T00:00:00"/>
    <n v="-1.8210262828535599"/>
    <x v="4"/>
    <n v="676000"/>
    <n v="736000"/>
  </r>
  <r>
    <s v="Anvi Kashyap"/>
    <s v="STU147"/>
    <s v="ENR147"/>
    <x v="3"/>
    <x v="1"/>
    <n v="2"/>
    <s v="Computer Science Engineering"/>
    <x v="1"/>
    <n v="92000"/>
    <n v="77000"/>
    <n v="15000"/>
    <n v="0"/>
    <x v="0"/>
    <x v="1"/>
    <x v="1"/>
    <x v="1"/>
    <s v="India"/>
    <s v="bhattikiara@example.net"/>
    <n v="917103000000"/>
    <x v="0"/>
    <n v="73"/>
    <n v="61"/>
    <s v="AC"/>
    <x v="902"/>
    <d v="1997-10-19T00:00:00"/>
    <n v="-1.8210262828535599"/>
    <x v="9"/>
    <n v="184000"/>
    <n v="214000"/>
  </r>
  <r>
    <s v="Aarav Korpal"/>
    <s v="STU412"/>
    <s v="ENR412"/>
    <x v="4"/>
    <x v="0"/>
    <n v="4"/>
    <s v="Computer Science and Engineering"/>
    <x v="5"/>
    <n v="169000"/>
    <n v="154000"/>
    <n v="15000"/>
    <n v="0"/>
    <x v="0"/>
    <x v="0"/>
    <x v="6"/>
    <x v="3"/>
    <s v="India"/>
    <s v="farhan09@example.org"/>
    <n v="919541000000"/>
    <x v="1"/>
    <n v="73"/>
    <n v="65"/>
    <s v="AC"/>
    <x v="903"/>
    <d v="2004-08-17T00:00:00"/>
    <n v="-1.8210262828535599"/>
    <x v="5"/>
    <n v="676000"/>
    <n v="736000"/>
  </r>
  <r>
    <s v="Mahika Tiwari"/>
    <s v="STU142"/>
    <s v="ENR142"/>
    <x v="1"/>
    <x v="1"/>
    <n v="2"/>
    <s v="Computer Science Engineering"/>
    <x v="1"/>
    <n v="92000"/>
    <n v="77000"/>
    <n v="15000"/>
    <n v="0"/>
    <x v="0"/>
    <x v="0"/>
    <x v="2"/>
    <x v="2"/>
    <s v="India"/>
    <s v="zaina72@example.org"/>
    <n v="918312000000"/>
    <x v="1"/>
    <n v="73"/>
    <n v="81"/>
    <s v="AC"/>
    <x v="904"/>
    <d v="1997-07-20T00:00:00"/>
    <n v="-1.8210262828535599"/>
    <x v="9"/>
    <n v="184000"/>
    <n v="214000"/>
  </r>
  <r>
    <s v="Jivin Kamdar"/>
    <s v="STU764"/>
    <s v="ENR764"/>
    <x v="4"/>
    <x v="0"/>
    <n v="4"/>
    <s v="Computer Science and Engineering"/>
    <x v="3"/>
    <n v="169000"/>
    <n v="154000"/>
    <n v="15000"/>
    <n v="0"/>
    <x v="0"/>
    <x v="2"/>
    <x v="1"/>
    <x v="1"/>
    <s v="India"/>
    <s v="sankarfateh@example.net"/>
    <n v="919536000000"/>
    <x v="4"/>
    <n v="73"/>
    <n v="66"/>
    <s v="AC"/>
    <x v="905"/>
    <d v="2004-08-21T00:00:00"/>
    <n v="-1.8210262828535599"/>
    <x v="5"/>
    <n v="676000"/>
    <n v="736000"/>
  </r>
  <r>
    <s v="Umang Rama"/>
    <s v="STU766"/>
    <s v="ENR766"/>
    <x v="1"/>
    <x v="0"/>
    <n v="4"/>
    <s v="Computer Science and Engineering"/>
    <x v="7"/>
    <n v="169000"/>
    <n v="154000"/>
    <n v="15000"/>
    <n v="0"/>
    <x v="0"/>
    <x v="0"/>
    <x v="3"/>
    <x v="3"/>
    <s v="India"/>
    <s v="anayjoshi@example.net"/>
    <n v="918727000000"/>
    <x v="2"/>
    <n v="73"/>
    <n v="77"/>
    <s v="Non-AC"/>
    <x v="906"/>
    <d v="2001-09-14T00:00:00"/>
    <n v="-1.8210262828535599"/>
    <x v="6"/>
    <n v="676000"/>
    <n v="736000"/>
  </r>
  <r>
    <s v="Aniruddh Goswami"/>
    <s v="STU267"/>
    <s v="ENR267"/>
    <x v="5"/>
    <x v="1"/>
    <n v="2"/>
    <s v="Computer Science Engineering"/>
    <x v="3"/>
    <n v="92000"/>
    <n v="77000"/>
    <n v="15000"/>
    <n v="0"/>
    <x v="0"/>
    <x v="2"/>
    <x v="4"/>
    <x v="4"/>
    <s v="India"/>
    <s v="pseshadri@example.com"/>
    <n v="919478000000"/>
    <x v="0"/>
    <n v="73"/>
    <n v="83"/>
    <s v="AC"/>
    <x v="907"/>
    <d v="1997-11-08T00:00:00"/>
    <n v="-1.8210262828535599"/>
    <x v="9"/>
    <n v="184000"/>
    <n v="214000"/>
  </r>
  <r>
    <s v="Mohanlal Dugar"/>
    <s v="STU832"/>
    <s v="ENR832"/>
    <x v="5"/>
    <x v="0"/>
    <n v="4"/>
    <s v="Computer Science and Engineering"/>
    <x v="7"/>
    <n v="169000"/>
    <n v="154000"/>
    <n v="15000"/>
    <n v="0"/>
    <x v="0"/>
    <x v="0"/>
    <x v="6"/>
    <x v="3"/>
    <s v="India"/>
    <s v="mahika38@example.net"/>
    <n v="918511000000"/>
    <x v="0"/>
    <n v="73"/>
    <n v="64"/>
    <s v="AC"/>
    <x v="908"/>
    <d v="2001-04-27T00:00:00"/>
    <n v="-1.8210262828535599"/>
    <x v="0"/>
    <n v="676000"/>
    <n v="736000"/>
  </r>
  <r>
    <s v="Tara Wadhwa"/>
    <s v="STU517"/>
    <s v="ENR517"/>
    <x v="3"/>
    <x v="0"/>
    <n v="4"/>
    <s v="Computer Science and Engineering"/>
    <x v="1"/>
    <n v="169000"/>
    <n v="154000"/>
    <n v="15000"/>
    <n v="0"/>
    <x v="0"/>
    <x v="0"/>
    <x v="9"/>
    <x v="8"/>
    <s v="India"/>
    <s v="aayush93@example.net"/>
    <n v="919622000000"/>
    <x v="1"/>
    <n v="73"/>
    <n v="62"/>
    <s v="Non-AC"/>
    <x v="909"/>
    <d v="2002-01-18T00:00:00"/>
    <n v="-1.8210262828535599"/>
    <x v="6"/>
    <n v="676000"/>
    <n v="736000"/>
  </r>
  <r>
    <s v="Samiha Doshi"/>
    <s v="STU188"/>
    <s v="ENR188"/>
    <x v="5"/>
    <x v="0"/>
    <n v="4"/>
    <s v="Computer Science and Engineering"/>
    <x v="4"/>
    <n v="169000"/>
    <n v="154000"/>
    <n v="15000"/>
    <n v="0"/>
    <x v="0"/>
    <x v="0"/>
    <x v="0"/>
    <x v="0"/>
    <s v="India"/>
    <s v="ldevan@example.org"/>
    <n v="918911000000"/>
    <x v="3"/>
    <n v="73"/>
    <n v="90"/>
    <s v="AC"/>
    <x v="910"/>
    <d v="2006-06-24T00:00:00"/>
    <n v="-1.8210262828535599"/>
    <x v="4"/>
    <n v="676000"/>
    <n v="736000"/>
  </r>
  <r>
    <s v="Alisha Bala"/>
    <s v="STU467"/>
    <s v="ENR467"/>
    <x v="3"/>
    <x v="0"/>
    <n v="4"/>
    <s v="Computer Science and Engineering"/>
    <x v="7"/>
    <n v="169000"/>
    <n v="154000"/>
    <n v="15000"/>
    <n v="0"/>
    <x v="0"/>
    <x v="0"/>
    <x v="4"/>
    <x v="4"/>
    <s v="India"/>
    <s v="varughesetanya@example.org"/>
    <n v="919904000000"/>
    <x v="4"/>
    <n v="73"/>
    <n v="84"/>
    <s v="Non-AC"/>
    <x v="911"/>
    <d v="2003-01-02T00:00:00"/>
    <n v="-1.8210262828535599"/>
    <x v="2"/>
    <n v="676000"/>
    <n v="736000"/>
  </r>
  <r>
    <s v="Armaan Sharaf"/>
    <s v="STU587"/>
    <s v="ENR587"/>
    <x v="4"/>
    <x v="0"/>
    <n v="4"/>
    <s v="Computer Science and Engineering"/>
    <x v="6"/>
    <n v="169000"/>
    <n v="154000"/>
    <n v="15000"/>
    <n v="0"/>
    <x v="0"/>
    <x v="0"/>
    <x v="3"/>
    <x v="3"/>
    <s v="India"/>
    <s v="pkrishnamurthy@example.org"/>
    <n v="917739000000"/>
    <x v="2"/>
    <n v="73"/>
    <n v="87"/>
    <s v="AC"/>
    <x v="912"/>
    <d v="2005-12-09T00:00:00"/>
    <n v="-1.8210262828535599"/>
    <x v="4"/>
    <n v="676000"/>
    <n v="736000"/>
  </r>
  <r>
    <s v="Indrans Chada"/>
    <s v="STU143"/>
    <s v="ENR143"/>
    <x v="4"/>
    <x v="0"/>
    <n v="4"/>
    <s v="Computer Science and Engineering"/>
    <x v="9"/>
    <n v="169000"/>
    <n v="154000"/>
    <n v="15000"/>
    <n v="0"/>
    <x v="0"/>
    <x v="2"/>
    <x v="0"/>
    <x v="0"/>
    <s v="India"/>
    <s v="khalsakismat@example.com"/>
    <n v="919353000000"/>
    <x v="4"/>
    <n v="73"/>
    <n v="92"/>
    <s v="Non-AC"/>
    <x v="913"/>
    <d v="2004-07-24T00:00:00"/>
    <n v="-1.8210262828535599"/>
    <x v="5"/>
    <n v="676000"/>
    <n v="736000"/>
  </r>
  <r>
    <s v="Nakul Bakshi"/>
    <s v="STU221"/>
    <s v="ENR221"/>
    <x v="4"/>
    <x v="1"/>
    <n v="2"/>
    <s v="Computer Science Engineering"/>
    <x v="0"/>
    <n v="92000"/>
    <n v="77000"/>
    <n v="15000"/>
    <n v="0"/>
    <x v="0"/>
    <x v="2"/>
    <x v="2"/>
    <x v="2"/>
    <s v="India"/>
    <s v="aayush91@example.com"/>
    <n v="917432000000"/>
    <x v="3"/>
    <n v="73"/>
    <n v="66"/>
    <s v="AC"/>
    <x v="914"/>
    <d v="2000-11-01T00:00:00"/>
    <n v="-1.8210262828535599"/>
    <x v="0"/>
    <n v="184000"/>
    <n v="214000"/>
  </r>
  <r>
    <s v="Tiya Kapoor"/>
    <s v="STU650"/>
    <s v="ENR650"/>
    <x v="5"/>
    <x v="0"/>
    <n v="4"/>
    <s v="Computer Science and Engineering"/>
    <x v="6"/>
    <n v="169000"/>
    <n v="154000"/>
    <n v="15000"/>
    <n v="0"/>
    <x v="0"/>
    <x v="0"/>
    <x v="3"/>
    <x v="3"/>
    <s v="India"/>
    <s v="usavant@example.org"/>
    <n v="919923000000"/>
    <x v="4"/>
    <n v="73"/>
    <n v="73"/>
    <s v="AC"/>
    <x v="915"/>
    <d v="2004-01-22T00:00:00"/>
    <n v="-1.8210262828535599"/>
    <x v="3"/>
    <n v="676000"/>
    <n v="736000"/>
  </r>
  <r>
    <s v="Uthkarsh Bhavsar"/>
    <s v="STU436"/>
    <s v="ENR436"/>
    <x v="0"/>
    <x v="1"/>
    <n v="2"/>
    <s v="Computer Science Engineering"/>
    <x v="6"/>
    <n v="92000"/>
    <n v="77000"/>
    <n v="15000"/>
    <n v="0"/>
    <x v="0"/>
    <x v="1"/>
    <x v="6"/>
    <x v="3"/>
    <s v="India"/>
    <s v="malhotrahazel@example.net"/>
    <n v="919548000000"/>
    <x v="3"/>
    <n v="73"/>
    <n v="88"/>
    <s v="AC"/>
    <x v="916"/>
    <d v="1996-12-10T00:00:00"/>
    <n v="-1.8210262828535599"/>
    <x v="8"/>
    <n v="184000"/>
    <n v="214000"/>
  </r>
  <r>
    <s v="Nayantara Kalita"/>
    <s v="STU599"/>
    <s v="ENR599"/>
    <x v="1"/>
    <x v="0"/>
    <n v="4"/>
    <s v="Computer Science and Engineering"/>
    <x v="2"/>
    <n v="169000"/>
    <n v="154000"/>
    <n v="15000"/>
    <n v="0"/>
    <x v="0"/>
    <x v="1"/>
    <x v="9"/>
    <x v="8"/>
    <s v="India"/>
    <s v="priyansh86@example.net"/>
    <n v="917645000000"/>
    <x v="1"/>
    <n v="73"/>
    <n v="71"/>
    <s v="Non-AC"/>
    <x v="917"/>
    <d v="2006-05-06T00:00:00"/>
    <n v="-1.8210262828535599"/>
    <x v="4"/>
    <n v="676000"/>
    <n v="736000"/>
  </r>
  <r>
    <s v="Ivana Iyengar"/>
    <s v="STU220"/>
    <s v="ENR220"/>
    <x v="4"/>
    <x v="1"/>
    <n v="2"/>
    <s v="Computer Science Engineering"/>
    <x v="4"/>
    <n v="92000"/>
    <n v="77000"/>
    <n v="15000"/>
    <n v="0"/>
    <x v="0"/>
    <x v="1"/>
    <x v="8"/>
    <x v="7"/>
    <s v="India"/>
    <s v="vivaanbrar@example.org"/>
    <n v="917596000000"/>
    <x v="0"/>
    <n v="73"/>
    <n v="64"/>
    <s v="Non-AC"/>
    <x v="918"/>
    <d v="2001-04-21T00:00:00"/>
    <n v="-1.8210262828535599"/>
    <x v="0"/>
    <n v="184000"/>
    <n v="214000"/>
  </r>
  <r>
    <s v="Samiha Kapadia"/>
    <s v="STU141"/>
    <s v="ENR141"/>
    <x v="5"/>
    <x v="0"/>
    <n v="4"/>
    <s v="Computer Science and Engineering"/>
    <x v="0"/>
    <n v="169000"/>
    <n v="154000"/>
    <n v="15000"/>
    <n v="0"/>
    <x v="0"/>
    <x v="2"/>
    <x v="5"/>
    <x v="5"/>
    <s v="India"/>
    <s v="ranalavanya@example.net"/>
    <n v="919641000000"/>
    <x v="2"/>
    <n v="73"/>
    <n v="65"/>
    <s v="AC"/>
    <x v="919"/>
    <d v="2005-04-07T00:00:00"/>
    <n v="-1.8210262828535599"/>
    <x v="5"/>
    <n v="676000"/>
    <n v="736000"/>
  </r>
  <r>
    <s v="Ahana  Soni"/>
    <s v="STU749"/>
    <s v="ENR749"/>
    <x v="5"/>
    <x v="0"/>
    <n v="4"/>
    <s v="Computer Science and Engineering"/>
    <x v="9"/>
    <n v="169000"/>
    <n v="154000"/>
    <n v="15000"/>
    <n v="0"/>
    <x v="0"/>
    <x v="2"/>
    <x v="5"/>
    <x v="5"/>
    <s v="India"/>
    <s v="ahayer@example.net"/>
    <n v="918966000000"/>
    <x v="1"/>
    <n v="72"/>
    <n v="79"/>
    <s v="AC"/>
    <x v="920"/>
    <d v="2002-04-30T00:00:00"/>
    <n v="-2.8210262828535599"/>
    <x v="6"/>
    <n v="676000"/>
    <n v="736000"/>
  </r>
  <r>
    <s v="Madhav Lad"/>
    <s v="STU1033"/>
    <s v="ENR1033"/>
    <x v="2"/>
    <x v="0"/>
    <n v="4"/>
    <s v="Computer Science and Engineering"/>
    <x v="1"/>
    <n v="169000"/>
    <n v="154000"/>
    <n v="15000"/>
    <n v="0"/>
    <x v="0"/>
    <x v="1"/>
    <x v="8"/>
    <x v="7"/>
    <s v="India"/>
    <s v="shalvbhatt@example.com"/>
    <n v="918661000000"/>
    <x v="2"/>
    <n v="72"/>
    <n v="78"/>
    <s v="AC"/>
    <x v="921"/>
    <d v="2003-12-07T00:00:00"/>
    <n v="-2.8210262828535599"/>
    <x v="3"/>
    <n v="676000"/>
    <n v="736000"/>
  </r>
  <r>
    <s v="Vritika Sahota"/>
    <s v="STU971"/>
    <s v="ENR971"/>
    <x v="3"/>
    <x v="0"/>
    <n v="4"/>
    <s v="Computer Science and Engineering"/>
    <x v="3"/>
    <n v="169000"/>
    <n v="154000"/>
    <n v="15000"/>
    <n v="0"/>
    <x v="0"/>
    <x v="0"/>
    <x v="9"/>
    <x v="8"/>
    <s v="India"/>
    <s v="aarna65@example.net"/>
    <n v="919739000000"/>
    <x v="1"/>
    <n v="72"/>
    <n v="67"/>
    <s v="AC"/>
    <x v="922"/>
    <d v="2001-03-03T00:00:00"/>
    <n v="-2.8210262828535599"/>
    <x v="0"/>
    <n v="676000"/>
    <n v="736000"/>
  </r>
  <r>
    <s v="Eshani Dayal"/>
    <s v="STU639"/>
    <s v="ENR639"/>
    <x v="3"/>
    <x v="0"/>
    <n v="4"/>
    <s v="Computer Science and Engineering"/>
    <x v="5"/>
    <n v="169000"/>
    <n v="154000"/>
    <n v="15000"/>
    <n v="0"/>
    <x v="0"/>
    <x v="1"/>
    <x v="0"/>
    <x v="0"/>
    <s v="India"/>
    <s v="zsaraf@example.com"/>
    <n v="917202000000"/>
    <x v="2"/>
    <n v="72"/>
    <n v="87"/>
    <s v="AC"/>
    <x v="923"/>
    <d v="2004-08-26T00:00:00"/>
    <n v="-2.8210262828535599"/>
    <x v="5"/>
    <n v="676000"/>
    <n v="736000"/>
  </r>
  <r>
    <s v="Nitara Chacko"/>
    <s v="STU208"/>
    <s v="ENR208"/>
    <x v="4"/>
    <x v="1"/>
    <n v="2"/>
    <s v="Computer Science Engineering"/>
    <x v="6"/>
    <n v="92000"/>
    <n v="77000"/>
    <n v="15000"/>
    <n v="0"/>
    <x v="0"/>
    <x v="1"/>
    <x v="6"/>
    <x v="3"/>
    <s v="India"/>
    <s v="oseshadri@example.com"/>
    <n v="917736000000"/>
    <x v="0"/>
    <n v="72"/>
    <n v="89"/>
    <s v="AC"/>
    <x v="924"/>
    <d v="1997-04-11T00:00:00"/>
    <n v="-2.8210262828535599"/>
    <x v="8"/>
    <n v="184000"/>
    <n v="214000"/>
  </r>
  <r>
    <s v="Aarna Sheth"/>
    <s v="STU576"/>
    <s v="ENR576"/>
    <x v="2"/>
    <x v="0"/>
    <n v="4"/>
    <s v="Computer Science and Engineering"/>
    <x v="7"/>
    <n v="169000"/>
    <n v="154000"/>
    <n v="15000"/>
    <n v="0"/>
    <x v="0"/>
    <x v="0"/>
    <x v="0"/>
    <x v="0"/>
    <s v="India"/>
    <s v="sumersubramanian@example.net"/>
    <n v="917064000000"/>
    <x v="1"/>
    <n v="72"/>
    <n v="89"/>
    <s v="AC"/>
    <x v="925"/>
    <d v="2001-09-18T00:00:00"/>
    <n v="-2.8210262828535599"/>
    <x v="6"/>
    <n v="676000"/>
    <n v="736000"/>
  </r>
  <r>
    <s v="Ojas Kara"/>
    <s v="STU635"/>
    <s v="ENR635"/>
    <x v="3"/>
    <x v="0"/>
    <n v="4"/>
    <s v="Computer Science and Engineering"/>
    <x v="5"/>
    <n v="169000"/>
    <n v="154000"/>
    <n v="15000"/>
    <n v="0"/>
    <x v="0"/>
    <x v="1"/>
    <x v="7"/>
    <x v="6"/>
    <s v="India"/>
    <s v="tiwaritaran@example.org"/>
    <n v="918348000000"/>
    <x v="4"/>
    <n v="72"/>
    <n v="65"/>
    <s v="AC"/>
    <x v="926"/>
    <d v="2001-06-25T00:00:00"/>
    <n v="-2.8210262828535599"/>
    <x v="0"/>
    <n v="676000"/>
    <n v="736000"/>
  </r>
  <r>
    <s v="Charvi Bajaj"/>
    <s v="STU618"/>
    <s v="ENR618"/>
    <x v="4"/>
    <x v="0"/>
    <n v="4"/>
    <s v="Computer Science and Engineering"/>
    <x v="1"/>
    <n v="169000"/>
    <n v="154000"/>
    <n v="15000"/>
    <n v="0"/>
    <x v="0"/>
    <x v="0"/>
    <x v="4"/>
    <x v="4"/>
    <s v="India"/>
    <s v="sekhonpranay@example.com"/>
    <n v="918538000000"/>
    <x v="1"/>
    <n v="72"/>
    <n v="80"/>
    <s v="AC"/>
    <x v="927"/>
    <d v="2002-05-18T00:00:00"/>
    <n v="-2.8210262828535599"/>
    <x v="6"/>
    <n v="676000"/>
    <n v="736000"/>
  </r>
  <r>
    <s v="Tanya Ratti"/>
    <s v="STU339"/>
    <s v="ENR339"/>
    <x v="3"/>
    <x v="0"/>
    <n v="4"/>
    <s v="Computer Science and Engineering"/>
    <x v="9"/>
    <n v="169000"/>
    <n v="154000"/>
    <n v="15000"/>
    <n v="0"/>
    <x v="0"/>
    <x v="0"/>
    <x v="9"/>
    <x v="8"/>
    <s v="India"/>
    <s v="ydesai@example.com"/>
    <n v="917010000000"/>
    <x v="4"/>
    <n v="72"/>
    <n v="76"/>
    <s v="Non-AC"/>
    <x v="928"/>
    <d v="2002-07-08T00:00:00"/>
    <n v="-2.8210262828535599"/>
    <x v="6"/>
    <n v="676000"/>
    <n v="736000"/>
  </r>
  <r>
    <s v="Mishti Chaudhry"/>
    <s v="STU141"/>
    <s v="ENR141"/>
    <x v="2"/>
    <x v="1"/>
    <n v="2"/>
    <s v="Computer Science Engineering"/>
    <x v="5"/>
    <n v="92000"/>
    <n v="77000"/>
    <n v="15000"/>
    <n v="0"/>
    <x v="0"/>
    <x v="0"/>
    <x v="4"/>
    <x v="4"/>
    <s v="India"/>
    <s v="nbose@example.com"/>
    <n v="918301000000"/>
    <x v="4"/>
    <n v="72"/>
    <n v="85"/>
    <s v="AC"/>
    <x v="929"/>
    <d v="2000-02-16T00:00:00"/>
    <n v="-2.8210262828535599"/>
    <x v="1"/>
    <n v="184000"/>
    <n v="214000"/>
  </r>
  <r>
    <s v="Ela Handa"/>
    <s v="STU762"/>
    <s v="ENR762"/>
    <x v="0"/>
    <x v="0"/>
    <n v="4"/>
    <s v="Computer Science and Engineering"/>
    <x v="0"/>
    <n v="169000"/>
    <n v="154000"/>
    <n v="15000"/>
    <n v="0"/>
    <x v="0"/>
    <x v="0"/>
    <x v="5"/>
    <x v="5"/>
    <s v="India"/>
    <s v="tushar19@example.net"/>
    <n v="918835000000"/>
    <x v="4"/>
    <n v="72"/>
    <n v="83"/>
    <s v="Non-AC"/>
    <x v="930"/>
    <d v="2005-02-20T00:00:00"/>
    <n v="-2.8210262828535599"/>
    <x v="5"/>
    <n v="676000"/>
    <n v="736000"/>
  </r>
  <r>
    <s v="Mahika Mane"/>
    <s v="STU254"/>
    <s v="ENR254"/>
    <x v="2"/>
    <x v="0"/>
    <n v="4"/>
    <s v="Computer Science and Engineering"/>
    <x v="1"/>
    <n v="169000"/>
    <n v="154000"/>
    <n v="15000"/>
    <n v="0"/>
    <x v="0"/>
    <x v="1"/>
    <x v="9"/>
    <x v="8"/>
    <s v="India"/>
    <s v="tiyaanne@example.com"/>
    <n v="919287000000"/>
    <x v="2"/>
    <n v="72"/>
    <n v="66"/>
    <s v="AC"/>
    <x v="931"/>
    <d v="2000-08-15T00:00:00"/>
    <n v="-2.8210262828535599"/>
    <x v="0"/>
    <n v="676000"/>
    <n v="736000"/>
  </r>
  <r>
    <s v="Tiya Kota"/>
    <s v="STU627"/>
    <s v="ENR627"/>
    <x v="1"/>
    <x v="0"/>
    <n v="4"/>
    <s v="Computer Science and Engineering"/>
    <x v="1"/>
    <n v="169000"/>
    <n v="154000"/>
    <n v="15000"/>
    <n v="0"/>
    <x v="0"/>
    <x v="1"/>
    <x v="7"/>
    <x v="6"/>
    <s v="India"/>
    <s v="nchadha@example.net"/>
    <n v="919921000000"/>
    <x v="4"/>
    <n v="72"/>
    <n v="71"/>
    <s v="AC"/>
    <x v="932"/>
    <d v="2001-03-15T00:00:00"/>
    <n v="-2.8210262828535599"/>
    <x v="0"/>
    <n v="676000"/>
    <n v="736000"/>
  </r>
  <r>
    <s v="Trisha Batta"/>
    <s v="STU395"/>
    <s v="ENR395"/>
    <x v="3"/>
    <x v="1"/>
    <n v="2"/>
    <s v="Computer Science Engineering"/>
    <x v="6"/>
    <n v="92000"/>
    <n v="77000"/>
    <n v="15000"/>
    <n v="0"/>
    <x v="0"/>
    <x v="2"/>
    <x v="0"/>
    <x v="0"/>
    <s v="India"/>
    <s v="miraya48@example.com"/>
    <n v="918410000000"/>
    <x v="4"/>
    <n v="72"/>
    <n v="83"/>
    <s v="Non-AC"/>
    <x v="933"/>
    <d v="2002-01-16T00:00:00"/>
    <n v="-2.8210262828535599"/>
    <x v="6"/>
    <n v="184000"/>
    <n v="214000"/>
  </r>
  <r>
    <s v="Ira Khurana"/>
    <s v="STU738"/>
    <s v="ENR738"/>
    <x v="5"/>
    <x v="0"/>
    <n v="4"/>
    <s v="Computer Science and Engineering"/>
    <x v="9"/>
    <n v="169000"/>
    <n v="154000"/>
    <n v="15000"/>
    <n v="0"/>
    <x v="0"/>
    <x v="1"/>
    <x v="2"/>
    <x v="2"/>
    <s v="India"/>
    <s v="mehul37@example.net"/>
    <n v="918941000000"/>
    <x v="4"/>
    <n v="72"/>
    <n v="88"/>
    <s v="AC"/>
    <x v="934"/>
    <d v="2005-05-02T00:00:00"/>
    <n v="-2.8210262828535599"/>
    <x v="5"/>
    <n v="676000"/>
    <n v="736000"/>
  </r>
  <r>
    <s v="Ryan Ramaswamy"/>
    <s v="STU722"/>
    <s v="ENR722"/>
    <x v="4"/>
    <x v="0"/>
    <n v="4"/>
    <s v="Computer Science and Engineering"/>
    <x v="0"/>
    <n v="169000"/>
    <n v="154000"/>
    <n v="15000"/>
    <n v="0"/>
    <x v="0"/>
    <x v="1"/>
    <x v="4"/>
    <x v="4"/>
    <s v="India"/>
    <s v="bsamra@example.net"/>
    <n v="918617000000"/>
    <x v="0"/>
    <n v="72"/>
    <n v="84"/>
    <s v="Non-AC"/>
    <x v="935"/>
    <d v="2003-12-29T00:00:00"/>
    <n v="-2.8210262828535599"/>
    <x v="3"/>
    <n v="676000"/>
    <n v="736000"/>
  </r>
  <r>
    <s v="Yuvraj  Raju"/>
    <s v="STU321"/>
    <s v="ENR321"/>
    <x v="5"/>
    <x v="0"/>
    <n v="4"/>
    <s v="Computer Science and Engineering"/>
    <x v="3"/>
    <n v="169000"/>
    <n v="154000"/>
    <n v="15000"/>
    <n v="0"/>
    <x v="0"/>
    <x v="0"/>
    <x v="4"/>
    <x v="4"/>
    <s v="India"/>
    <s v="kjaggi@example.com"/>
    <n v="917429000000"/>
    <x v="4"/>
    <n v="72"/>
    <n v="90"/>
    <s v="AC"/>
    <x v="936"/>
    <d v="2003-08-14T00:00:00"/>
    <n v="-2.8210262828535599"/>
    <x v="3"/>
    <n v="676000"/>
    <n v="736000"/>
  </r>
  <r>
    <s v="Yuvaan Tata"/>
    <s v="STU226"/>
    <s v="ENR226"/>
    <x v="4"/>
    <x v="0"/>
    <n v="4"/>
    <s v="Computer Science and Engineering"/>
    <x v="3"/>
    <n v="169000"/>
    <n v="154000"/>
    <n v="15000"/>
    <n v="0"/>
    <x v="0"/>
    <x v="1"/>
    <x v="0"/>
    <x v="0"/>
    <s v="India"/>
    <s v="samar92@example.com"/>
    <n v="918933000000"/>
    <x v="2"/>
    <n v="72"/>
    <n v="68"/>
    <s v="AC"/>
    <x v="937"/>
    <d v="2003-03-06T00:00:00"/>
    <n v="-2.8210262828535599"/>
    <x v="2"/>
    <n v="676000"/>
    <n v="736000"/>
  </r>
  <r>
    <s v="Arhaan Mandal"/>
    <s v="STU180"/>
    <s v="ENR180"/>
    <x v="4"/>
    <x v="1"/>
    <n v="2"/>
    <s v="Computer Science Engineering"/>
    <x v="1"/>
    <n v="92000"/>
    <n v="77000"/>
    <n v="15000"/>
    <n v="0"/>
    <x v="0"/>
    <x v="1"/>
    <x v="2"/>
    <x v="2"/>
    <s v="India"/>
    <s v="rattadivit@example.net"/>
    <n v="917133000000"/>
    <x v="0"/>
    <n v="72"/>
    <n v="76"/>
    <s v="AC"/>
    <x v="938"/>
    <d v="1998-04-15T00:00:00"/>
    <n v="-2.8210262828535599"/>
    <x v="9"/>
    <n v="184000"/>
    <n v="214000"/>
  </r>
  <r>
    <s v="Kismat Bhatnagar"/>
    <s v="STU223"/>
    <s v="ENR223"/>
    <x v="4"/>
    <x v="1"/>
    <n v="2"/>
    <s v="Computer Science Engineering"/>
    <x v="6"/>
    <n v="92000"/>
    <n v="77000"/>
    <n v="15000"/>
    <n v="0"/>
    <x v="0"/>
    <x v="1"/>
    <x v="0"/>
    <x v="0"/>
    <s v="India"/>
    <s v="dhaliwalmishti@example.org"/>
    <n v="918078000000"/>
    <x v="3"/>
    <n v="72"/>
    <n v="77"/>
    <s v="AC"/>
    <x v="939"/>
    <d v="1999-11-09T00:00:00"/>
    <n v="-2.8210262828535599"/>
    <x v="1"/>
    <n v="184000"/>
    <n v="214000"/>
  </r>
  <r>
    <s v="Eva Lata"/>
    <s v="STU661"/>
    <s v="ENR661"/>
    <x v="2"/>
    <x v="0"/>
    <n v="4"/>
    <s v="Computer Science and Engineering"/>
    <x v="4"/>
    <n v="169000"/>
    <n v="154000"/>
    <n v="15000"/>
    <n v="0"/>
    <x v="0"/>
    <x v="0"/>
    <x v="4"/>
    <x v="4"/>
    <s v="India"/>
    <s v="bdhar@example.net"/>
    <n v="917549000000"/>
    <x v="1"/>
    <n v="72"/>
    <n v="81"/>
    <s v="AC"/>
    <x v="940"/>
    <d v="2002-02-19T00:00:00"/>
    <n v="-2.8210262828535599"/>
    <x v="6"/>
    <n v="676000"/>
    <n v="736000"/>
  </r>
  <r>
    <s v="Jayan Loyal"/>
    <s v="STU694"/>
    <s v="ENR694"/>
    <x v="2"/>
    <x v="0"/>
    <n v="4"/>
    <s v="Computer Science and Engineering"/>
    <x v="4"/>
    <n v="169000"/>
    <n v="154000"/>
    <n v="15000"/>
    <n v="0"/>
    <x v="0"/>
    <x v="0"/>
    <x v="3"/>
    <x v="3"/>
    <s v="India"/>
    <s v="seherviswanathan@example.com"/>
    <n v="919509000000"/>
    <x v="3"/>
    <n v="72"/>
    <n v="70"/>
    <s v="AC"/>
    <x v="941"/>
    <d v="2005-03-25T00:00:00"/>
    <n v="-2.8210262828535599"/>
    <x v="5"/>
    <n v="676000"/>
    <n v="736000"/>
  </r>
  <r>
    <s v="Pari Vyas"/>
    <s v="STU695"/>
    <s v="ENR695"/>
    <x v="0"/>
    <x v="0"/>
    <n v="4"/>
    <s v="Computer Science and Engineering"/>
    <x v="3"/>
    <n v="169000"/>
    <n v="154000"/>
    <n v="15000"/>
    <n v="0"/>
    <x v="0"/>
    <x v="1"/>
    <x v="3"/>
    <x v="3"/>
    <s v="India"/>
    <s v="tbarad@example.net"/>
    <n v="917166000000"/>
    <x v="3"/>
    <n v="72"/>
    <n v="79"/>
    <s v="Non-AC"/>
    <x v="942"/>
    <d v="2001-02-08T00:00:00"/>
    <n v="-2.8210262828535599"/>
    <x v="0"/>
    <n v="676000"/>
    <n v="736000"/>
  </r>
  <r>
    <s v="Sahil Randhawa"/>
    <s v="STU377"/>
    <s v="ENR377"/>
    <x v="2"/>
    <x v="1"/>
    <n v="2"/>
    <s v="Computer Science Engineering"/>
    <x v="4"/>
    <n v="92000"/>
    <n v="77000"/>
    <n v="15000"/>
    <n v="0"/>
    <x v="0"/>
    <x v="2"/>
    <x v="5"/>
    <x v="5"/>
    <s v="India"/>
    <s v="sloke@example.org"/>
    <n v="917804000000"/>
    <x v="4"/>
    <n v="72"/>
    <n v="61"/>
    <s v="Non-AC"/>
    <x v="943"/>
    <d v="2000-03-21T00:00:00"/>
    <n v="-2.8210262828535599"/>
    <x v="1"/>
    <n v="184000"/>
    <n v="214000"/>
  </r>
  <r>
    <s v="Trisha Sawhney"/>
    <s v="STU225"/>
    <s v="ENR225"/>
    <x v="5"/>
    <x v="0"/>
    <n v="4"/>
    <s v="Computer Science and Engineering"/>
    <x v="4"/>
    <n v="169000"/>
    <n v="154000"/>
    <n v="15000"/>
    <n v="0"/>
    <x v="0"/>
    <x v="0"/>
    <x v="1"/>
    <x v="1"/>
    <s v="India"/>
    <s v="aainakapoor@example.com"/>
    <n v="918910000000"/>
    <x v="3"/>
    <n v="72"/>
    <n v="82"/>
    <s v="Non-AC"/>
    <x v="944"/>
    <d v="2003-06-23T00:00:00"/>
    <n v="-2.8210262828535599"/>
    <x v="2"/>
    <n v="676000"/>
    <n v="736000"/>
  </r>
  <r>
    <s v="Indrans Gill"/>
    <s v="STU209"/>
    <s v="ENR209"/>
    <x v="2"/>
    <x v="1"/>
    <n v="2"/>
    <s v="Computer Science Engineering"/>
    <x v="6"/>
    <n v="92000"/>
    <n v="77000"/>
    <n v="15000"/>
    <n v="0"/>
    <x v="0"/>
    <x v="2"/>
    <x v="0"/>
    <x v="0"/>
    <s v="India"/>
    <s v="myragrewal@example.com"/>
    <n v="918097000000"/>
    <x v="1"/>
    <n v="72"/>
    <n v="67"/>
    <s v="AC"/>
    <x v="945"/>
    <d v="1997-03-28T00:00:00"/>
    <n v="-2.8210262828535599"/>
    <x v="8"/>
    <n v="184000"/>
    <n v="214000"/>
  </r>
  <r>
    <s v="Dhanush Gopal"/>
    <s v="STU271"/>
    <s v="ENR271"/>
    <x v="2"/>
    <x v="0"/>
    <n v="4"/>
    <s v="Computer Science and Engineering"/>
    <x v="3"/>
    <n v="169000"/>
    <n v="154000"/>
    <n v="15000"/>
    <n v="0"/>
    <x v="0"/>
    <x v="2"/>
    <x v="9"/>
    <x v="8"/>
    <s v="India"/>
    <s v="rramanathan@example.com"/>
    <n v="917539000000"/>
    <x v="3"/>
    <n v="72"/>
    <n v="92"/>
    <s v="AC"/>
    <x v="946"/>
    <d v="2002-04-15T00:00:00"/>
    <n v="-2.8210262828535599"/>
    <x v="6"/>
    <n v="676000"/>
    <n v="736000"/>
  </r>
  <r>
    <s v="Yasmin Vasa"/>
    <s v="STU554"/>
    <s v="ENR554"/>
    <x v="0"/>
    <x v="0"/>
    <n v="4"/>
    <s v="Computer Science and Engineering"/>
    <x v="4"/>
    <n v="169000"/>
    <n v="154000"/>
    <n v="15000"/>
    <n v="0"/>
    <x v="0"/>
    <x v="2"/>
    <x v="3"/>
    <x v="3"/>
    <s v="India"/>
    <s v="rlall@example.net"/>
    <n v="917021000000"/>
    <x v="2"/>
    <n v="72"/>
    <n v="64"/>
    <s v="Non-AC"/>
    <x v="947"/>
    <d v="2000-08-20T00:00:00"/>
    <n v="-2.8210262828535599"/>
    <x v="0"/>
    <n v="676000"/>
    <n v="736000"/>
  </r>
  <r>
    <s v="Indrans Majumdar"/>
    <s v="STU712"/>
    <s v="ENR712"/>
    <x v="2"/>
    <x v="0"/>
    <n v="4"/>
    <s v="Computer Science and Engineering"/>
    <x v="0"/>
    <n v="169000"/>
    <n v="154000"/>
    <n v="15000"/>
    <n v="0"/>
    <x v="0"/>
    <x v="2"/>
    <x v="0"/>
    <x v="0"/>
    <s v="India"/>
    <s v="balakashvi@example.org"/>
    <n v="917780000000"/>
    <x v="1"/>
    <n v="72"/>
    <n v="81"/>
    <s v="AC"/>
    <x v="948"/>
    <d v="2005-07-28T00:00:00"/>
    <n v="-2.8210262828535599"/>
    <x v="4"/>
    <n v="676000"/>
    <n v="736000"/>
  </r>
  <r>
    <s v="Tarini Gandhi"/>
    <s v="STU607"/>
    <s v="ENR607"/>
    <x v="4"/>
    <x v="0"/>
    <n v="4"/>
    <s v="Computer Science and Engineering"/>
    <x v="9"/>
    <n v="169000"/>
    <n v="154000"/>
    <n v="15000"/>
    <n v="0"/>
    <x v="0"/>
    <x v="0"/>
    <x v="2"/>
    <x v="2"/>
    <s v="India"/>
    <s v="myradani@example.net"/>
    <n v="919578000000"/>
    <x v="4"/>
    <n v="72"/>
    <n v="79"/>
    <s v="Non-AC"/>
    <x v="949"/>
    <d v="2000-09-04T00:00:00"/>
    <n v="-2.8210262828535599"/>
    <x v="0"/>
    <n v="676000"/>
    <n v="736000"/>
  </r>
  <r>
    <s v="Veer Chawla"/>
    <s v="STU1011"/>
    <s v="ENR1011"/>
    <x v="5"/>
    <x v="0"/>
    <n v="4"/>
    <s v="Computer Science and Engineering"/>
    <x v="3"/>
    <n v="169000"/>
    <n v="154000"/>
    <n v="15000"/>
    <n v="0"/>
    <x v="0"/>
    <x v="0"/>
    <x v="8"/>
    <x v="7"/>
    <s v="India"/>
    <s v="alal@example.net"/>
    <n v="917697000000"/>
    <x v="1"/>
    <n v="72"/>
    <n v="74"/>
    <s v="Non-AC"/>
    <x v="950"/>
    <d v="2001-01-03T00:00:00"/>
    <n v="-2.8210262828535599"/>
    <x v="0"/>
    <n v="676000"/>
    <n v="736000"/>
  </r>
  <r>
    <s v="Charvi Jani"/>
    <s v="STU251"/>
    <s v="ENR251"/>
    <x v="4"/>
    <x v="1"/>
    <n v="2"/>
    <s v="Computer Science Engineering"/>
    <x v="6"/>
    <n v="92000"/>
    <n v="77000"/>
    <n v="15000"/>
    <n v="0"/>
    <x v="0"/>
    <x v="0"/>
    <x v="1"/>
    <x v="1"/>
    <s v="India"/>
    <s v="darshitkar@example.org"/>
    <n v="919939000000"/>
    <x v="0"/>
    <n v="72"/>
    <n v="61"/>
    <s v="Non-AC"/>
    <x v="951"/>
    <d v="2000-03-30T00:00:00"/>
    <n v="-2.8210262828535599"/>
    <x v="1"/>
    <n v="184000"/>
    <n v="214000"/>
  </r>
  <r>
    <s v="Lagan Acharya"/>
    <s v="STU092"/>
    <s v="ENR092"/>
    <x v="2"/>
    <x v="0"/>
    <n v="4"/>
    <s v="Computer Science and Engineering"/>
    <x v="3"/>
    <n v="169000"/>
    <n v="154000"/>
    <n v="15000"/>
    <n v="0"/>
    <x v="0"/>
    <x v="1"/>
    <x v="7"/>
    <x v="6"/>
    <s v="India"/>
    <s v="balayaarush@example.org"/>
    <n v="919122000000"/>
    <x v="2"/>
    <n v="72"/>
    <n v="92"/>
    <s v="AC"/>
    <x v="952"/>
    <d v="2006-03-08T00:00:00"/>
    <n v="-2.8210262828535599"/>
    <x v="4"/>
    <n v="676000"/>
    <n v="736000"/>
  </r>
  <r>
    <s v="Riaan Acharya"/>
    <s v="STU1046"/>
    <s v="ENR1046"/>
    <x v="2"/>
    <x v="0"/>
    <n v="4"/>
    <s v="Computer Science and Engineering"/>
    <x v="1"/>
    <n v="169000"/>
    <n v="154000"/>
    <n v="15000"/>
    <n v="0"/>
    <x v="0"/>
    <x v="0"/>
    <x v="1"/>
    <x v="1"/>
    <s v="India"/>
    <s v="abramdubey@example.com"/>
    <n v="919200000000"/>
    <x v="2"/>
    <n v="72"/>
    <n v="79"/>
    <s v="Non-AC"/>
    <x v="953"/>
    <d v="2002-06-14T00:00:00"/>
    <n v="-2.8210262828535599"/>
    <x v="6"/>
    <n v="676000"/>
    <n v="736000"/>
  </r>
  <r>
    <s v="Shayak Atwal"/>
    <s v="STU287"/>
    <s v="ENR287"/>
    <x v="3"/>
    <x v="1"/>
    <n v="2"/>
    <s v="Computer Science Engineering"/>
    <x v="5"/>
    <n v="92000"/>
    <n v="77000"/>
    <n v="15000"/>
    <n v="0"/>
    <x v="0"/>
    <x v="0"/>
    <x v="7"/>
    <x v="6"/>
    <s v="India"/>
    <s v="etalwar@example.com"/>
    <n v="918512000000"/>
    <x v="3"/>
    <n v="72"/>
    <n v="63"/>
    <s v="Non-AC"/>
    <x v="954"/>
    <d v="2000-01-06T00:00:00"/>
    <n v="-2.8210262828535599"/>
    <x v="1"/>
    <n v="184000"/>
    <n v="214000"/>
  </r>
  <r>
    <s v="Misha Ramakrishnan"/>
    <s v="STU167"/>
    <s v="ENR167"/>
    <x v="2"/>
    <x v="0"/>
    <n v="4"/>
    <s v="Computer Science and Engineering"/>
    <x v="2"/>
    <n v="169000"/>
    <n v="154000"/>
    <n v="15000"/>
    <n v="0"/>
    <x v="0"/>
    <x v="2"/>
    <x v="2"/>
    <x v="2"/>
    <s v="India"/>
    <s v="dhruvchand@example.org"/>
    <n v="918238000000"/>
    <x v="2"/>
    <n v="72"/>
    <n v="60"/>
    <s v="Non-AC"/>
    <x v="955"/>
    <d v="2003-08-09T00:00:00"/>
    <n v="-2.8210262828535599"/>
    <x v="3"/>
    <n v="676000"/>
    <n v="736000"/>
  </r>
  <r>
    <s v="Emir Barad"/>
    <s v="STU857"/>
    <s v="ENR857"/>
    <x v="2"/>
    <x v="0"/>
    <n v="4"/>
    <s v="Computer Science and Engineering"/>
    <x v="2"/>
    <n v="169000"/>
    <n v="154000"/>
    <n v="15000"/>
    <n v="0"/>
    <x v="0"/>
    <x v="1"/>
    <x v="0"/>
    <x v="0"/>
    <s v="India"/>
    <s v="arhaanravi@example.net"/>
    <n v="919744000000"/>
    <x v="4"/>
    <n v="72"/>
    <n v="92"/>
    <s v="AC"/>
    <x v="956"/>
    <d v="2006-01-29T00:00:00"/>
    <n v="-2.8210262828535599"/>
    <x v="4"/>
    <n v="676000"/>
    <n v="736000"/>
  </r>
  <r>
    <s v="Nitya Magar"/>
    <s v="STU849"/>
    <s v="ENR849"/>
    <x v="4"/>
    <x v="0"/>
    <n v="4"/>
    <s v="Computer Science and Engineering"/>
    <x v="8"/>
    <n v="169000"/>
    <n v="154000"/>
    <n v="15000"/>
    <n v="0"/>
    <x v="0"/>
    <x v="1"/>
    <x v="2"/>
    <x v="2"/>
    <s v="India"/>
    <s v="rdate@example.org"/>
    <n v="919880000000"/>
    <x v="4"/>
    <n v="72"/>
    <n v="87"/>
    <s v="AC"/>
    <x v="957"/>
    <d v="2001-01-26T00:00:00"/>
    <n v="-2.8210262828535599"/>
    <x v="0"/>
    <n v="676000"/>
    <n v="736000"/>
  </r>
  <r>
    <s v="Aniruddh Agate"/>
    <s v="STU174"/>
    <s v="ENR174"/>
    <x v="4"/>
    <x v="0"/>
    <n v="4"/>
    <s v="Computer Science and Engineering"/>
    <x v="2"/>
    <n v="169000"/>
    <n v="154000"/>
    <n v="15000"/>
    <n v="0"/>
    <x v="0"/>
    <x v="0"/>
    <x v="3"/>
    <x v="3"/>
    <s v="India"/>
    <s v="lkala@example.net"/>
    <n v="918728000000"/>
    <x v="3"/>
    <n v="72"/>
    <n v="88"/>
    <s v="Non-AC"/>
    <x v="958"/>
    <d v="2005-02-28T00:00:00"/>
    <n v="-2.8210262828535599"/>
    <x v="5"/>
    <n v="676000"/>
    <n v="736000"/>
  </r>
  <r>
    <s v="Kiara Banik"/>
    <s v="STU845"/>
    <s v="ENR845"/>
    <x v="3"/>
    <x v="0"/>
    <n v="4"/>
    <s v="Computer Science and Engineering"/>
    <x v="8"/>
    <n v="169000"/>
    <n v="154000"/>
    <n v="15000"/>
    <n v="0"/>
    <x v="0"/>
    <x v="2"/>
    <x v="2"/>
    <x v="2"/>
    <s v="India"/>
    <s v="hegdefateh@example.org"/>
    <n v="919852000000"/>
    <x v="1"/>
    <n v="72"/>
    <n v="64"/>
    <s v="AC"/>
    <x v="959"/>
    <d v="2006-03-24T00:00:00"/>
    <n v="-2.8210262828535599"/>
    <x v="4"/>
    <n v="676000"/>
    <n v="736000"/>
  </r>
  <r>
    <s v="Manjari Wason"/>
    <s v="STU480"/>
    <s v="ENR480"/>
    <x v="0"/>
    <x v="1"/>
    <n v="2"/>
    <s v="Computer Science Engineering"/>
    <x v="4"/>
    <n v="92000"/>
    <n v="77000"/>
    <n v="15000"/>
    <n v="0"/>
    <x v="0"/>
    <x v="2"/>
    <x v="0"/>
    <x v="0"/>
    <s v="India"/>
    <s v="rati40@example.net"/>
    <n v="917631000000"/>
    <x v="4"/>
    <n v="72"/>
    <n v="84"/>
    <s v="Non-AC"/>
    <x v="960"/>
    <d v="1998-03-22T00:00:00"/>
    <n v="-2.8210262828535599"/>
    <x v="9"/>
    <n v="184000"/>
    <n v="214000"/>
  </r>
  <r>
    <s v="Kartik Rajagopalan"/>
    <s v="STU371"/>
    <s v="ENR371"/>
    <x v="1"/>
    <x v="0"/>
    <n v="4"/>
    <s v="Computer Science and Engineering"/>
    <x v="0"/>
    <n v="169000"/>
    <n v="154000"/>
    <n v="15000"/>
    <n v="0"/>
    <x v="0"/>
    <x v="2"/>
    <x v="7"/>
    <x v="6"/>
    <s v="India"/>
    <s v="sreddy@example.net"/>
    <n v="917596000000"/>
    <x v="0"/>
    <n v="72"/>
    <n v="61"/>
    <s v="Non-AC"/>
    <x v="961"/>
    <d v="2001-11-14T00:00:00"/>
    <n v="-2.8210262828535599"/>
    <x v="6"/>
    <n v="676000"/>
    <n v="736000"/>
  </r>
  <r>
    <s v="Taran Suresh"/>
    <s v="STU484"/>
    <s v="ENR484"/>
    <x v="4"/>
    <x v="1"/>
    <n v="2"/>
    <s v="Computer Science Engineering"/>
    <x v="3"/>
    <n v="92000"/>
    <n v="77000"/>
    <n v="15000"/>
    <n v="0"/>
    <x v="0"/>
    <x v="1"/>
    <x v="6"/>
    <x v="3"/>
    <s v="India"/>
    <s v="hjoshi@example.org"/>
    <n v="917726000000"/>
    <x v="1"/>
    <n v="72"/>
    <n v="85"/>
    <s v="Non-AC"/>
    <x v="962"/>
    <d v="1997-04-13T00:00:00"/>
    <n v="-2.8210262828535599"/>
    <x v="8"/>
    <n v="184000"/>
    <n v="214000"/>
  </r>
  <r>
    <s v="Prerak Solanki"/>
    <s v="STU868"/>
    <s v="ENR868"/>
    <x v="2"/>
    <x v="0"/>
    <n v="4"/>
    <s v="Computer Science and Engineering"/>
    <x v="0"/>
    <n v="169000"/>
    <n v="154000"/>
    <n v="15000"/>
    <n v="0"/>
    <x v="0"/>
    <x v="1"/>
    <x v="0"/>
    <x v="0"/>
    <s v="India"/>
    <s v="seshadriishaan@example.org"/>
    <n v="917114000000"/>
    <x v="0"/>
    <n v="72"/>
    <n v="66"/>
    <s v="Non-AC"/>
    <x v="963"/>
    <d v="2000-10-04T00:00:00"/>
    <n v="-2.8210262828535599"/>
    <x v="0"/>
    <n v="676000"/>
    <n v="736000"/>
  </r>
  <r>
    <s v="Anay Acharya"/>
    <s v="STU1179"/>
    <s v="ENR1179"/>
    <x v="1"/>
    <x v="0"/>
    <n v="4"/>
    <s v="Computer Science and Engineering"/>
    <x v="0"/>
    <n v="169000"/>
    <n v="154000"/>
    <n v="15000"/>
    <n v="0"/>
    <x v="0"/>
    <x v="2"/>
    <x v="4"/>
    <x v="4"/>
    <s v="India"/>
    <s v="shalv86@example.net"/>
    <n v="917066000000"/>
    <x v="4"/>
    <n v="72"/>
    <n v="60"/>
    <s v="Non-AC"/>
    <x v="964"/>
    <d v="2004-06-25T00:00:00"/>
    <n v="-2.8210262828535599"/>
    <x v="3"/>
    <n v="676000"/>
    <n v="736000"/>
  </r>
  <r>
    <s v="Shalv Bhavsar"/>
    <s v="STU1100"/>
    <s v="ENR1100"/>
    <x v="5"/>
    <x v="0"/>
    <n v="4"/>
    <s v="Computer Science and Engineering"/>
    <x v="4"/>
    <n v="169000"/>
    <n v="154000"/>
    <n v="15000"/>
    <n v="0"/>
    <x v="0"/>
    <x v="0"/>
    <x v="0"/>
    <x v="0"/>
    <s v="India"/>
    <s v="aayushtandon@example.com"/>
    <n v="918476000000"/>
    <x v="4"/>
    <n v="72"/>
    <n v="89"/>
    <s v="AC"/>
    <x v="965"/>
    <d v="2004-03-12T00:00:00"/>
    <n v="-2.8210262828535599"/>
    <x v="3"/>
    <n v="676000"/>
    <n v="736000"/>
  </r>
  <r>
    <s v="Misha Gandhi"/>
    <s v="STU813"/>
    <s v="ENR813"/>
    <x v="3"/>
    <x v="0"/>
    <n v="4"/>
    <s v="Computer Science and Engineering"/>
    <x v="0"/>
    <n v="169000"/>
    <n v="154000"/>
    <n v="15000"/>
    <n v="0"/>
    <x v="0"/>
    <x v="1"/>
    <x v="3"/>
    <x v="3"/>
    <s v="India"/>
    <s v="qsankar@example.org"/>
    <n v="917526000000"/>
    <x v="4"/>
    <n v="72"/>
    <n v="62"/>
    <s v="Non-AC"/>
    <x v="966"/>
    <d v="2001-04-10T00:00:00"/>
    <n v="-2.8210262828535599"/>
    <x v="0"/>
    <n v="676000"/>
    <n v="736000"/>
  </r>
  <r>
    <s v="Ivana Kapadia"/>
    <s v="STU1141"/>
    <s v="ENR1141"/>
    <x v="4"/>
    <x v="0"/>
    <n v="4"/>
    <s v="Computer Science and Engineering"/>
    <x v="1"/>
    <n v="169000"/>
    <n v="154000"/>
    <n v="15000"/>
    <n v="0"/>
    <x v="0"/>
    <x v="0"/>
    <x v="5"/>
    <x v="5"/>
    <s v="India"/>
    <s v="ehsaanmangat@example.net"/>
    <n v="917253000000"/>
    <x v="0"/>
    <n v="72"/>
    <n v="85"/>
    <s v="Non-AC"/>
    <x v="967"/>
    <d v="2005-02-23T00:00:00"/>
    <n v="-2.8210262828535599"/>
    <x v="5"/>
    <n v="676000"/>
    <n v="736000"/>
  </r>
  <r>
    <s v="Rania Aurora"/>
    <s v="STU1102"/>
    <s v="ENR1102"/>
    <x v="5"/>
    <x v="0"/>
    <n v="4"/>
    <s v="Computer Science and Engineering"/>
    <x v="9"/>
    <n v="169000"/>
    <n v="154000"/>
    <n v="15000"/>
    <n v="0"/>
    <x v="0"/>
    <x v="1"/>
    <x v="7"/>
    <x v="6"/>
    <s v="India"/>
    <s v="ndeol@example.org"/>
    <n v="917932000000"/>
    <x v="4"/>
    <n v="72"/>
    <n v="60"/>
    <s v="Non-AC"/>
    <x v="968"/>
    <d v="2005-01-02T00:00:00"/>
    <n v="-2.8210262828535599"/>
    <x v="5"/>
    <n v="676000"/>
    <n v="736000"/>
  </r>
  <r>
    <s v="Kartik Aurora"/>
    <s v="STU382"/>
    <s v="ENR382"/>
    <x v="5"/>
    <x v="0"/>
    <n v="4"/>
    <s v="Computer Science and Engineering"/>
    <x v="9"/>
    <n v="169000"/>
    <n v="154000"/>
    <n v="15000"/>
    <n v="0"/>
    <x v="0"/>
    <x v="1"/>
    <x v="2"/>
    <x v="2"/>
    <s v="India"/>
    <s v="riaan96@example.com"/>
    <n v="918099000000"/>
    <x v="4"/>
    <n v="72"/>
    <n v="91"/>
    <s v="AC"/>
    <x v="969"/>
    <d v="2004-10-25T00:00:00"/>
    <n v="-2.8210262828535599"/>
    <x v="5"/>
    <n v="676000"/>
    <n v="736000"/>
  </r>
  <r>
    <s v="Hrishita Taneja"/>
    <s v="STU867"/>
    <s v="ENR867"/>
    <x v="0"/>
    <x v="0"/>
    <n v="4"/>
    <s v="Computer Science and Engineering"/>
    <x v="7"/>
    <n v="169000"/>
    <n v="154000"/>
    <n v="15000"/>
    <n v="0"/>
    <x v="0"/>
    <x v="2"/>
    <x v="9"/>
    <x v="8"/>
    <s v="India"/>
    <s v="shalvchaudhari@example.net"/>
    <n v="918618000000"/>
    <x v="2"/>
    <n v="72"/>
    <n v="76"/>
    <s v="Non-AC"/>
    <x v="970"/>
    <d v="2005-11-30T00:00:00"/>
    <n v="-2.8210262828535599"/>
    <x v="4"/>
    <n v="676000"/>
    <n v="736000"/>
  </r>
  <r>
    <s v="Jayesh Goda"/>
    <s v="STU848"/>
    <s v="ENR848"/>
    <x v="4"/>
    <x v="0"/>
    <n v="4"/>
    <s v="Computer Science and Engineering"/>
    <x v="6"/>
    <n v="169000"/>
    <n v="154000"/>
    <n v="15000"/>
    <n v="0"/>
    <x v="0"/>
    <x v="0"/>
    <x v="0"/>
    <x v="0"/>
    <s v="India"/>
    <s v="boaseinaaya@example.org"/>
    <n v="918593000000"/>
    <x v="2"/>
    <n v="72"/>
    <n v="63"/>
    <s v="AC"/>
    <x v="971"/>
    <d v="2003-09-28T00:00:00"/>
    <n v="-2.8210262828535599"/>
    <x v="3"/>
    <n v="676000"/>
    <n v="736000"/>
  </r>
  <r>
    <s v="Ranbir Raju"/>
    <s v="STU914"/>
    <s v="ENR914"/>
    <x v="3"/>
    <x v="0"/>
    <n v="4"/>
    <s v="Computer Science and Engineering"/>
    <x v="3"/>
    <n v="169000"/>
    <n v="154000"/>
    <n v="15000"/>
    <n v="0"/>
    <x v="0"/>
    <x v="1"/>
    <x v="1"/>
    <x v="1"/>
    <s v="India"/>
    <s v="agarwalpihu@example.org"/>
    <n v="919618000000"/>
    <x v="1"/>
    <n v="72"/>
    <n v="76"/>
    <s v="Non-AC"/>
    <x v="972"/>
    <d v="2003-11-03T00:00:00"/>
    <n v="-2.8210262828535599"/>
    <x v="3"/>
    <n v="676000"/>
    <n v="736000"/>
  </r>
  <r>
    <s v="Vivaan Madan"/>
    <s v="STU497"/>
    <s v="ENR497"/>
    <x v="5"/>
    <x v="1"/>
    <n v="2"/>
    <s v="Computer Science Engineering"/>
    <x v="3"/>
    <n v="92000"/>
    <n v="77000"/>
    <n v="15000"/>
    <n v="0"/>
    <x v="0"/>
    <x v="1"/>
    <x v="7"/>
    <x v="6"/>
    <s v="India"/>
    <s v="buchkashvi@example.org"/>
    <n v="917596000000"/>
    <x v="2"/>
    <n v="72"/>
    <n v="78"/>
    <s v="AC"/>
    <x v="973"/>
    <d v="1997-04-05T00:00:00"/>
    <n v="-2.8210262828535599"/>
    <x v="8"/>
    <n v="184000"/>
    <n v="214000"/>
  </r>
  <r>
    <s v="Seher Saraf"/>
    <s v="STU049"/>
    <s v="ENR049"/>
    <x v="5"/>
    <x v="0"/>
    <n v="4"/>
    <s v="Computer Science and Engineering"/>
    <x v="3"/>
    <n v="169000"/>
    <n v="154000"/>
    <n v="15000"/>
    <n v="0"/>
    <x v="0"/>
    <x v="0"/>
    <x v="6"/>
    <x v="3"/>
    <s v="India"/>
    <s v="dugardivit@example.net"/>
    <n v="919923000000"/>
    <x v="3"/>
    <n v="72"/>
    <n v="81"/>
    <s v="Non-AC"/>
    <x v="974"/>
    <d v="2004-07-22T00:00:00"/>
    <n v="-2.8210262828535599"/>
    <x v="5"/>
    <n v="676000"/>
    <n v="736000"/>
  </r>
  <r>
    <s v="Hiran Dass"/>
    <s v="STU085"/>
    <s v="ENR085"/>
    <x v="3"/>
    <x v="0"/>
    <n v="4"/>
    <s v="Computer Science and Engineering"/>
    <x v="4"/>
    <n v="169000"/>
    <n v="154000"/>
    <n v="15000"/>
    <n v="0"/>
    <x v="0"/>
    <x v="2"/>
    <x v="6"/>
    <x v="3"/>
    <s v="India"/>
    <s v="aradhyagara@example.org"/>
    <n v="918679000000"/>
    <x v="1"/>
    <n v="72"/>
    <n v="74"/>
    <s v="Non-AC"/>
    <x v="975"/>
    <d v="2005-10-07T00:00:00"/>
    <n v="-2.8210262828535599"/>
    <x v="4"/>
    <n v="676000"/>
    <n v="736000"/>
  </r>
  <r>
    <s v="Bhamini Venkatesh"/>
    <s v="STU509"/>
    <s v="ENR509"/>
    <x v="4"/>
    <x v="0"/>
    <n v="4"/>
    <s v="Computer Science and Engineering"/>
    <x v="2"/>
    <n v="169000"/>
    <n v="154000"/>
    <n v="15000"/>
    <n v="0"/>
    <x v="0"/>
    <x v="2"/>
    <x v="7"/>
    <x v="6"/>
    <s v="India"/>
    <s v="dishani57@example.net"/>
    <n v="918343000000"/>
    <x v="1"/>
    <n v="72"/>
    <n v="72"/>
    <s v="AC"/>
    <x v="976"/>
    <d v="2006-01-21T00:00:00"/>
    <n v="-2.8210262828535599"/>
    <x v="4"/>
    <n v="676000"/>
    <n v="736000"/>
  </r>
  <r>
    <s v="Adira Varkey"/>
    <s v="STU1088"/>
    <s v="ENR1088"/>
    <x v="5"/>
    <x v="0"/>
    <n v="4"/>
    <s v="Computer Science and Engineering"/>
    <x v="3"/>
    <n v="169000"/>
    <n v="154000"/>
    <n v="15000"/>
    <n v="0"/>
    <x v="0"/>
    <x v="0"/>
    <x v="6"/>
    <x v="3"/>
    <s v="India"/>
    <s v="bijudesai@example.net"/>
    <n v="917638000000"/>
    <x v="4"/>
    <n v="72"/>
    <n v="81"/>
    <s v="Non-AC"/>
    <x v="977"/>
    <d v="2001-08-15T00:00:00"/>
    <n v="-2.8210262828535599"/>
    <x v="6"/>
    <n v="676000"/>
    <n v="736000"/>
  </r>
  <r>
    <s v="Umang Chauhan"/>
    <s v="STU778"/>
    <s v="ENR778"/>
    <x v="5"/>
    <x v="0"/>
    <n v="4"/>
    <s v="Computer Science and Engineering"/>
    <x v="0"/>
    <n v="169000"/>
    <n v="154000"/>
    <n v="15000"/>
    <n v="0"/>
    <x v="0"/>
    <x v="2"/>
    <x v="2"/>
    <x v="2"/>
    <s v="India"/>
    <s v="oorjawason@example.net"/>
    <n v="919016000000"/>
    <x v="1"/>
    <n v="72"/>
    <n v="60"/>
    <s v="Non-AC"/>
    <x v="978"/>
    <d v="2002-07-09T00:00:00"/>
    <n v="-2.8210262828535599"/>
    <x v="2"/>
    <n v="676000"/>
    <n v="736000"/>
  </r>
  <r>
    <s v="Mannat Chacko"/>
    <s v="STU367"/>
    <s v="ENR367"/>
    <x v="3"/>
    <x v="0"/>
    <n v="4"/>
    <s v="Computer Science and Engineering"/>
    <x v="7"/>
    <n v="169000"/>
    <n v="154000"/>
    <n v="15000"/>
    <n v="0"/>
    <x v="0"/>
    <x v="0"/>
    <x v="1"/>
    <x v="1"/>
    <s v="India"/>
    <s v="charvi92@example.org"/>
    <n v="918631000000"/>
    <x v="1"/>
    <n v="72"/>
    <n v="60"/>
    <s v="AC"/>
    <x v="979"/>
    <d v="2001-04-05T00:00:00"/>
    <n v="-2.8210262828535599"/>
    <x v="0"/>
    <n v="676000"/>
    <n v="736000"/>
  </r>
  <r>
    <s v="Nitya Randhawa"/>
    <s v="STU893"/>
    <s v="ENR893"/>
    <x v="2"/>
    <x v="0"/>
    <n v="4"/>
    <s v="Computer Science and Engineering"/>
    <x v="8"/>
    <n v="169000"/>
    <n v="154000"/>
    <n v="15000"/>
    <n v="0"/>
    <x v="0"/>
    <x v="0"/>
    <x v="3"/>
    <x v="3"/>
    <s v="India"/>
    <s v="kaira21@example.org"/>
    <n v="919077000000"/>
    <x v="4"/>
    <n v="72"/>
    <n v="88"/>
    <s v="AC"/>
    <x v="980"/>
    <d v="2005-03-07T00:00:00"/>
    <n v="-2.8210262828535599"/>
    <x v="5"/>
    <n v="676000"/>
    <n v="736000"/>
  </r>
  <r>
    <s v="Miraan Uppal"/>
    <s v="STU292"/>
    <s v="ENR292"/>
    <x v="4"/>
    <x v="1"/>
    <n v="2"/>
    <s v="Computer Science Engineering"/>
    <x v="6"/>
    <n v="92000"/>
    <n v="77000"/>
    <n v="15000"/>
    <n v="0"/>
    <x v="0"/>
    <x v="0"/>
    <x v="7"/>
    <x v="6"/>
    <s v="India"/>
    <s v="inaaya-98@example.org"/>
    <n v="918097000000"/>
    <x v="0"/>
    <n v="71"/>
    <n v="78"/>
    <s v="AC"/>
    <x v="981"/>
    <d v="2002-03-14T00:00:00"/>
    <n v="-3.8210262828535599"/>
    <x v="6"/>
    <n v="184000"/>
    <n v="214000"/>
  </r>
  <r>
    <s v="Charvi Talwar"/>
    <s v="STU190"/>
    <s v="ENR190"/>
    <x v="4"/>
    <x v="1"/>
    <n v="2"/>
    <s v="Computer Science Engineering"/>
    <x v="5"/>
    <n v="92000"/>
    <n v="77000"/>
    <n v="15000"/>
    <n v="0"/>
    <x v="0"/>
    <x v="2"/>
    <x v="0"/>
    <x v="0"/>
    <s v="India"/>
    <s v="kuppal@example.net"/>
    <n v="918407000000"/>
    <x v="4"/>
    <n v="71"/>
    <n v="72"/>
    <s v="AC"/>
    <x v="982"/>
    <d v="2000-02-20T00:00:00"/>
    <n v="-3.8210262828535599"/>
    <x v="1"/>
    <n v="184000"/>
    <n v="214000"/>
  </r>
  <r>
    <s v="Yakshit Yohannan"/>
    <s v="STU192"/>
    <s v="ENR192"/>
    <x v="4"/>
    <x v="0"/>
    <n v="4"/>
    <s v="Computer Science and Engineering"/>
    <x v="3"/>
    <n v="169000"/>
    <n v="154000"/>
    <n v="15000"/>
    <n v="0"/>
    <x v="0"/>
    <x v="1"/>
    <x v="6"/>
    <x v="3"/>
    <s v="India"/>
    <s v="rania77@example.org"/>
    <n v="919461000000"/>
    <x v="1"/>
    <n v="71"/>
    <n v="86"/>
    <s v="Non-AC"/>
    <x v="983"/>
    <d v="2001-01-02T00:00:00"/>
    <n v="-3.8210262828535599"/>
    <x v="0"/>
    <n v="676000"/>
    <n v="736000"/>
  </r>
  <r>
    <s v="Dhanush Chopra"/>
    <s v="STU233"/>
    <s v="ENR233"/>
    <x v="0"/>
    <x v="1"/>
    <n v="2"/>
    <s v="Computer Science Engineering"/>
    <x v="6"/>
    <n v="92000"/>
    <n v="77000"/>
    <n v="15000"/>
    <n v="0"/>
    <x v="0"/>
    <x v="0"/>
    <x v="4"/>
    <x v="4"/>
    <s v="India"/>
    <s v="kjohal@example.org"/>
    <n v="919383000000"/>
    <x v="4"/>
    <n v="71"/>
    <n v="87"/>
    <s v="AC"/>
    <x v="984"/>
    <d v="1997-06-13T00:00:00"/>
    <n v="-3.8210262828535599"/>
    <x v="8"/>
    <n v="184000"/>
    <n v="214000"/>
  </r>
  <r>
    <s v="Anika Ganesan"/>
    <s v="STU418"/>
    <s v="ENR418"/>
    <x v="5"/>
    <x v="0"/>
    <n v="4"/>
    <s v="Computer Science and Engineering"/>
    <x v="8"/>
    <n v="169000"/>
    <n v="154000"/>
    <n v="15000"/>
    <n v="0"/>
    <x v="0"/>
    <x v="1"/>
    <x v="5"/>
    <x v="5"/>
    <s v="India"/>
    <s v="lchokshi@example.net"/>
    <n v="918133000000"/>
    <x v="0"/>
    <n v="71"/>
    <n v="92"/>
    <s v="AC"/>
    <x v="985"/>
    <d v="2002-05-27T00:00:00"/>
    <n v="-3.8210262828535599"/>
    <x v="6"/>
    <n v="676000"/>
    <n v="736000"/>
  </r>
  <r>
    <s v="Nirvi Golla"/>
    <s v="STU137"/>
    <s v="ENR137"/>
    <x v="5"/>
    <x v="0"/>
    <n v="4"/>
    <s v="Computer Science and Engineering"/>
    <x v="6"/>
    <n v="169000"/>
    <n v="154000"/>
    <n v="15000"/>
    <n v="0"/>
    <x v="0"/>
    <x v="0"/>
    <x v="0"/>
    <x v="0"/>
    <s v="India"/>
    <s v="ramakrishnanstuvan@example.org"/>
    <n v="918945000000"/>
    <x v="2"/>
    <n v="71"/>
    <n v="72"/>
    <s v="AC"/>
    <x v="986"/>
    <d v="2002-02-07T00:00:00"/>
    <n v="-3.8210262828535599"/>
    <x v="6"/>
    <n v="676000"/>
    <n v="736000"/>
  </r>
  <r>
    <s v="Advika Das"/>
    <s v="STU1125"/>
    <s v="ENR1125"/>
    <x v="3"/>
    <x v="0"/>
    <n v="4"/>
    <s v="Computer Science and Engineering"/>
    <x v="0"/>
    <n v="169000"/>
    <n v="154000"/>
    <n v="15000"/>
    <n v="0"/>
    <x v="0"/>
    <x v="2"/>
    <x v="4"/>
    <x v="4"/>
    <s v="India"/>
    <s v="indrans37@example.org"/>
    <n v="917349000000"/>
    <x v="0"/>
    <n v="71"/>
    <n v="66"/>
    <s v="AC"/>
    <x v="987"/>
    <d v="2002-05-25T00:00:00"/>
    <n v="-3.8210262828535599"/>
    <x v="6"/>
    <n v="676000"/>
    <n v="736000"/>
  </r>
  <r>
    <s v="Rania Batra"/>
    <s v="STU596"/>
    <s v="ENR596"/>
    <x v="0"/>
    <x v="0"/>
    <n v="4"/>
    <s v="Computer Science and Engineering"/>
    <x v="0"/>
    <n v="169000"/>
    <n v="154000"/>
    <n v="15000"/>
    <n v="0"/>
    <x v="0"/>
    <x v="2"/>
    <x v="6"/>
    <x v="3"/>
    <s v="India"/>
    <s v="amiraamble@example.com"/>
    <n v="917967000000"/>
    <x v="0"/>
    <n v="71"/>
    <n v="91"/>
    <s v="Non-AC"/>
    <x v="988"/>
    <d v="2001-11-14T00:00:00"/>
    <n v="-3.8210262828535599"/>
    <x v="6"/>
    <n v="676000"/>
    <n v="736000"/>
  </r>
  <r>
    <s v="Reyansh Lall"/>
    <s v="STU018"/>
    <s v="ENR018"/>
    <x v="3"/>
    <x v="0"/>
    <n v="4"/>
    <s v="Computer Science and Engineering"/>
    <x v="1"/>
    <n v="169000"/>
    <n v="154000"/>
    <n v="15000"/>
    <n v="0"/>
    <x v="0"/>
    <x v="0"/>
    <x v="1"/>
    <x v="1"/>
    <s v="India"/>
    <s v="hanshkoshy@example.com"/>
    <n v="919580000000"/>
    <x v="0"/>
    <n v="71"/>
    <n v="90"/>
    <s v="AC"/>
    <x v="989"/>
    <d v="2005-04-14T00:00:00"/>
    <n v="-3.8210262828535599"/>
    <x v="5"/>
    <n v="676000"/>
    <n v="736000"/>
  </r>
  <r>
    <s v="Aniruddh Som"/>
    <s v="STU425"/>
    <s v="ENR425"/>
    <x v="5"/>
    <x v="0"/>
    <n v="4"/>
    <s v="Computer Science and Engineering"/>
    <x v="0"/>
    <n v="169000"/>
    <n v="154000"/>
    <n v="15000"/>
    <n v="0"/>
    <x v="0"/>
    <x v="2"/>
    <x v="5"/>
    <x v="5"/>
    <s v="India"/>
    <s v="kashvi62@example.net"/>
    <n v="917031000000"/>
    <x v="1"/>
    <n v="71"/>
    <n v="74"/>
    <s v="AC"/>
    <x v="990"/>
    <d v="2005-05-05T00:00:00"/>
    <n v="-3.8210262828535599"/>
    <x v="5"/>
    <n v="676000"/>
    <n v="736000"/>
  </r>
  <r>
    <s v="Heer Saxena"/>
    <s v="STU1040"/>
    <s v="ENR1040"/>
    <x v="5"/>
    <x v="0"/>
    <n v="4"/>
    <s v="Computer Science and Engineering"/>
    <x v="1"/>
    <n v="169000"/>
    <n v="154000"/>
    <n v="15000"/>
    <n v="0"/>
    <x v="0"/>
    <x v="0"/>
    <x v="8"/>
    <x v="7"/>
    <s v="India"/>
    <s v="surakanav@example.com"/>
    <n v="918290000000"/>
    <x v="0"/>
    <n v="71"/>
    <n v="62"/>
    <s v="AC"/>
    <x v="991"/>
    <d v="2004-12-20T00:00:00"/>
    <n v="-3.8210262828535599"/>
    <x v="5"/>
    <n v="676000"/>
    <n v="736000"/>
  </r>
  <r>
    <s v="Arnav Luthra"/>
    <s v="STU843"/>
    <s v="ENR843"/>
    <x v="1"/>
    <x v="0"/>
    <n v="4"/>
    <s v="Computer Science and Engineering"/>
    <x v="5"/>
    <n v="169000"/>
    <n v="154000"/>
    <n v="15000"/>
    <n v="0"/>
    <x v="0"/>
    <x v="1"/>
    <x v="3"/>
    <x v="3"/>
    <s v="India"/>
    <s v="khushi35@example.org"/>
    <n v="918461000000"/>
    <x v="4"/>
    <n v="71"/>
    <n v="78"/>
    <s v="Non-AC"/>
    <x v="992"/>
    <d v="2002-08-17T00:00:00"/>
    <n v="-3.8210262828535599"/>
    <x v="2"/>
    <n v="676000"/>
    <n v="736000"/>
  </r>
  <r>
    <s v="Samarth Mahajan"/>
    <s v="STU232"/>
    <s v="ENR232"/>
    <x v="4"/>
    <x v="0"/>
    <n v="4"/>
    <s v="Computer Science and Engineering"/>
    <x v="5"/>
    <n v="169000"/>
    <n v="154000"/>
    <n v="15000"/>
    <n v="0"/>
    <x v="0"/>
    <x v="1"/>
    <x v="6"/>
    <x v="3"/>
    <s v="India"/>
    <s v="sara53@example.org"/>
    <n v="918975000000"/>
    <x v="1"/>
    <n v="71"/>
    <n v="72"/>
    <s v="AC"/>
    <x v="993"/>
    <d v="2002-02-27T00:00:00"/>
    <n v="-3.8210262828535599"/>
    <x v="6"/>
    <n v="676000"/>
    <n v="736000"/>
  </r>
  <r>
    <s v="Kabir Krishnan"/>
    <s v="STU658"/>
    <s v="ENR658"/>
    <x v="1"/>
    <x v="0"/>
    <n v="4"/>
    <s v="Computer Science and Engineering"/>
    <x v="3"/>
    <n v="169000"/>
    <n v="154000"/>
    <n v="15000"/>
    <n v="0"/>
    <x v="0"/>
    <x v="2"/>
    <x v="2"/>
    <x v="2"/>
    <s v="India"/>
    <s v="lakshitdasgupta@example.net"/>
    <n v="918810000000"/>
    <x v="2"/>
    <n v="71"/>
    <n v="90"/>
    <s v="Non-AC"/>
    <x v="994"/>
    <d v="2003-04-29T00:00:00"/>
    <n v="-3.8210262828535599"/>
    <x v="2"/>
    <n v="676000"/>
    <n v="736000"/>
  </r>
  <r>
    <s v="Ahana  Gala"/>
    <s v="STU136"/>
    <s v="ENR136"/>
    <x v="5"/>
    <x v="0"/>
    <n v="4"/>
    <s v="Computer Science and Engineering"/>
    <x v="9"/>
    <n v="169000"/>
    <n v="154000"/>
    <n v="15000"/>
    <n v="0"/>
    <x v="0"/>
    <x v="1"/>
    <x v="6"/>
    <x v="3"/>
    <s v="India"/>
    <s v="duayuvraj@example.net"/>
    <n v="917197000000"/>
    <x v="2"/>
    <n v="71"/>
    <n v="71"/>
    <s v="AC"/>
    <x v="995"/>
    <d v="2005-10-05T00:00:00"/>
    <n v="-3.8210262828535599"/>
    <x v="4"/>
    <n v="676000"/>
    <n v="736000"/>
  </r>
  <r>
    <s v="Chirag Kapur"/>
    <s v="STU634"/>
    <s v="ENR634"/>
    <x v="2"/>
    <x v="0"/>
    <n v="4"/>
    <s v="Computer Science and Engineering"/>
    <x v="1"/>
    <n v="169000"/>
    <n v="154000"/>
    <n v="15000"/>
    <n v="0"/>
    <x v="0"/>
    <x v="1"/>
    <x v="5"/>
    <x v="5"/>
    <s v="India"/>
    <s v="umangramesh@example.com"/>
    <n v="917331000000"/>
    <x v="4"/>
    <n v="71"/>
    <n v="63"/>
    <s v="Non-AC"/>
    <x v="996"/>
    <d v="2005-01-03T00:00:00"/>
    <n v="-3.8210262828535599"/>
    <x v="5"/>
    <n v="676000"/>
    <n v="736000"/>
  </r>
  <r>
    <s v="Rasha Srinivasan"/>
    <s v="STU598"/>
    <s v="ENR598"/>
    <x v="0"/>
    <x v="0"/>
    <n v="4"/>
    <s v="Computer Science and Engineering"/>
    <x v="0"/>
    <n v="169000"/>
    <n v="154000"/>
    <n v="15000"/>
    <n v="0"/>
    <x v="0"/>
    <x v="2"/>
    <x v="4"/>
    <x v="4"/>
    <s v="India"/>
    <s v="bhavinsura@example.org"/>
    <n v="917812000000"/>
    <x v="1"/>
    <n v="71"/>
    <n v="92"/>
    <s v="AC"/>
    <x v="997"/>
    <d v="2001-06-14T00:00:00"/>
    <n v="-3.8210262828535599"/>
    <x v="0"/>
    <n v="676000"/>
    <n v="736000"/>
  </r>
  <r>
    <s v="Pranay Mannan"/>
    <s v="STU023"/>
    <s v="ENR023"/>
    <x v="2"/>
    <x v="0"/>
    <n v="4"/>
    <s v="Computer Science and Engineering"/>
    <x v="6"/>
    <n v="169000"/>
    <n v="154000"/>
    <n v="15000"/>
    <n v="0"/>
    <x v="0"/>
    <x v="1"/>
    <x v="3"/>
    <x v="3"/>
    <s v="India"/>
    <s v="anayabanerjee@example.com"/>
    <n v="918886000000"/>
    <x v="2"/>
    <n v="71"/>
    <n v="63"/>
    <s v="Non-AC"/>
    <x v="998"/>
    <d v="2001-05-07T00:00:00"/>
    <n v="-3.8210262828535599"/>
    <x v="0"/>
    <n v="676000"/>
    <n v="736000"/>
  </r>
  <r>
    <s v="Ivana Sha"/>
    <s v="STU445"/>
    <s v="ENR445"/>
    <x v="3"/>
    <x v="0"/>
    <n v="4"/>
    <s v="Computer Science and Engineering"/>
    <x v="0"/>
    <n v="169000"/>
    <n v="154000"/>
    <n v="15000"/>
    <n v="0"/>
    <x v="0"/>
    <x v="2"/>
    <x v="7"/>
    <x v="6"/>
    <s v="India"/>
    <s v="vedikadalal@example.com"/>
    <n v="918048000000"/>
    <x v="3"/>
    <n v="71"/>
    <n v="64"/>
    <s v="AC"/>
    <x v="999"/>
    <d v="2006-05-26T00:00:00"/>
    <n v="-3.8210262828535599"/>
    <x v="4"/>
    <n v="676000"/>
    <n v="736000"/>
  </r>
  <r>
    <s v="Mahika Krishnan"/>
    <s v="STU1131"/>
    <s v="ENR1131"/>
    <x v="5"/>
    <x v="0"/>
    <n v="4"/>
    <s v="Computer Science and Engineering"/>
    <x v="2"/>
    <n v="169000"/>
    <n v="154000"/>
    <n v="15000"/>
    <n v="0"/>
    <x v="0"/>
    <x v="2"/>
    <x v="3"/>
    <x v="3"/>
    <s v="India"/>
    <s v="chayer@example.com"/>
    <n v="919129000000"/>
    <x v="3"/>
    <n v="71"/>
    <n v="86"/>
    <s v="AC"/>
    <x v="1000"/>
    <d v="2002-05-15T00:00:00"/>
    <n v="-3.8210262828535599"/>
    <x v="6"/>
    <n v="676000"/>
    <n v="736000"/>
  </r>
  <r>
    <s v="Ivan Chaudhary"/>
    <s v="STU1020"/>
    <s v="ENR1020"/>
    <x v="0"/>
    <x v="0"/>
    <n v="4"/>
    <s v="Computer Science and Engineering"/>
    <x v="1"/>
    <n v="169000"/>
    <n v="154000"/>
    <n v="15000"/>
    <n v="0"/>
    <x v="0"/>
    <x v="2"/>
    <x v="7"/>
    <x v="6"/>
    <s v="India"/>
    <s v="tejas81@example.org"/>
    <n v="919813000000"/>
    <x v="2"/>
    <n v="71"/>
    <n v="60"/>
    <s v="AC"/>
    <x v="1001"/>
    <d v="2005-03-13T00:00:00"/>
    <n v="-3.8210262828535599"/>
    <x v="5"/>
    <n v="676000"/>
    <n v="736000"/>
  </r>
  <r>
    <s v="Yuvaan Shroff"/>
    <s v="STU1083"/>
    <s v="ENR1083"/>
    <x v="5"/>
    <x v="0"/>
    <n v="4"/>
    <s v="Computer Science and Engineering"/>
    <x v="2"/>
    <n v="169000"/>
    <n v="154000"/>
    <n v="15000"/>
    <n v="0"/>
    <x v="0"/>
    <x v="0"/>
    <x v="0"/>
    <x v="0"/>
    <s v="India"/>
    <s v="uthkarshbakshi@example.com"/>
    <n v="918479000000"/>
    <x v="4"/>
    <n v="71"/>
    <n v="64"/>
    <s v="Non-AC"/>
    <x v="1002"/>
    <d v="2005-05-01T00:00:00"/>
    <n v="-3.8210262828535599"/>
    <x v="5"/>
    <n v="676000"/>
    <n v="736000"/>
  </r>
  <r>
    <s v="Hiran Upadhyay"/>
    <s v="STU917"/>
    <s v="ENR917"/>
    <x v="3"/>
    <x v="0"/>
    <n v="4"/>
    <s v="Computer Science and Engineering"/>
    <x v="3"/>
    <n v="169000"/>
    <n v="154000"/>
    <n v="15000"/>
    <n v="0"/>
    <x v="0"/>
    <x v="0"/>
    <x v="0"/>
    <x v="0"/>
    <s v="India"/>
    <s v="behlhridaan@example.net"/>
    <n v="919079000000"/>
    <x v="0"/>
    <n v="71"/>
    <n v="87"/>
    <s v="Non-AC"/>
    <x v="1003"/>
    <d v="2001-01-29T00:00:00"/>
    <n v="-3.8210262828535599"/>
    <x v="0"/>
    <n v="676000"/>
    <n v="736000"/>
  </r>
  <r>
    <s v="Ishaan Doshi"/>
    <s v="STU333"/>
    <s v="ENR333"/>
    <x v="2"/>
    <x v="0"/>
    <n v="4"/>
    <s v="Computer Science and Engineering"/>
    <x v="5"/>
    <n v="169000"/>
    <n v="154000"/>
    <n v="15000"/>
    <n v="0"/>
    <x v="0"/>
    <x v="2"/>
    <x v="3"/>
    <x v="3"/>
    <s v="India"/>
    <s v="kashvi25@example.net"/>
    <n v="918355000000"/>
    <x v="3"/>
    <n v="71"/>
    <n v="73"/>
    <s v="AC"/>
    <x v="1004"/>
    <d v="2002-08-29T00:00:00"/>
    <n v="-3.8210262828535599"/>
    <x v="2"/>
    <n v="676000"/>
    <n v="736000"/>
  </r>
  <r>
    <s v="Yasmin Cheema"/>
    <s v="STU795"/>
    <s v="ENR795"/>
    <x v="4"/>
    <x v="0"/>
    <n v="4"/>
    <s v="Computer Science and Engineering"/>
    <x v="1"/>
    <n v="169000"/>
    <n v="154000"/>
    <n v="15000"/>
    <n v="0"/>
    <x v="0"/>
    <x v="1"/>
    <x v="8"/>
    <x v="7"/>
    <s v="India"/>
    <s v="tejasbarad@example.org"/>
    <n v="919249000000"/>
    <x v="1"/>
    <n v="71"/>
    <n v="65"/>
    <s v="AC"/>
    <x v="1005"/>
    <d v="2003-03-28T00:00:00"/>
    <n v="-3.8210262828535599"/>
    <x v="2"/>
    <n v="676000"/>
    <n v="736000"/>
  </r>
  <r>
    <s v="Romil Talwar"/>
    <s v="STU155"/>
    <s v="ENR155"/>
    <x v="2"/>
    <x v="1"/>
    <n v="2"/>
    <s v="Computer Science Engineering"/>
    <x v="6"/>
    <n v="92000"/>
    <n v="77000"/>
    <n v="15000"/>
    <n v="0"/>
    <x v="0"/>
    <x v="0"/>
    <x v="4"/>
    <x v="4"/>
    <s v="India"/>
    <s v="gokulmall@example.org"/>
    <n v="917762000000"/>
    <x v="2"/>
    <n v="71"/>
    <n v="63"/>
    <s v="Non-AC"/>
    <x v="1006"/>
    <d v="2001-12-12T00:00:00"/>
    <n v="-3.8210262828535599"/>
    <x v="6"/>
    <n v="184000"/>
    <n v="214000"/>
  </r>
  <r>
    <s v="Samaira Ramesh"/>
    <s v="STU736"/>
    <s v="ENR736"/>
    <x v="4"/>
    <x v="0"/>
    <n v="4"/>
    <s v="Computer Science and Engineering"/>
    <x v="3"/>
    <n v="169000"/>
    <n v="154000"/>
    <n v="15000"/>
    <n v="0"/>
    <x v="0"/>
    <x v="2"/>
    <x v="2"/>
    <x v="2"/>
    <s v="India"/>
    <s v="samihakorpal@example.org"/>
    <n v="918532000000"/>
    <x v="4"/>
    <n v="71"/>
    <n v="91"/>
    <s v="AC"/>
    <x v="1007"/>
    <d v="2006-06-05T00:00:00"/>
    <n v="-3.8210262828535599"/>
    <x v="4"/>
    <n v="676000"/>
    <n v="736000"/>
  </r>
  <r>
    <s v="Akarsh Dhawan"/>
    <s v="STU324"/>
    <s v="ENR324"/>
    <x v="1"/>
    <x v="0"/>
    <n v="4"/>
    <s v="Computer Science and Engineering"/>
    <x v="4"/>
    <n v="169000"/>
    <n v="154000"/>
    <n v="15000"/>
    <n v="0"/>
    <x v="0"/>
    <x v="2"/>
    <x v="5"/>
    <x v="5"/>
    <s v="India"/>
    <s v="lataalia@example.com"/>
    <n v="917804000000"/>
    <x v="0"/>
    <n v="71"/>
    <n v="69"/>
    <s v="Non-AC"/>
    <x v="1008"/>
    <d v="2004-05-30T00:00:00"/>
    <n v="-3.8210262828535599"/>
    <x v="3"/>
    <n v="676000"/>
    <n v="736000"/>
  </r>
  <r>
    <s v="Renee Dhillon"/>
    <s v="STU358"/>
    <s v="ENR358"/>
    <x v="0"/>
    <x v="1"/>
    <n v="2"/>
    <s v="Computer Science Engineering"/>
    <x v="5"/>
    <n v="92000"/>
    <n v="77000"/>
    <n v="15000"/>
    <n v="0"/>
    <x v="0"/>
    <x v="1"/>
    <x v="2"/>
    <x v="2"/>
    <s v="India"/>
    <s v="nayantararaman@example.org"/>
    <n v="918888000000"/>
    <x v="0"/>
    <n v="71"/>
    <n v="62"/>
    <s v="Non-AC"/>
    <x v="1009"/>
    <d v="1998-02-01T00:00:00"/>
    <n v="-3.8210262828535599"/>
    <x v="9"/>
    <n v="184000"/>
    <n v="214000"/>
  </r>
  <r>
    <s v="Jiya Chakrabarti"/>
    <s v="STU328"/>
    <s v="ENR328"/>
    <x v="2"/>
    <x v="0"/>
    <n v="4"/>
    <s v="Computer Science and Engineering"/>
    <x v="9"/>
    <n v="169000"/>
    <n v="154000"/>
    <n v="15000"/>
    <n v="0"/>
    <x v="0"/>
    <x v="0"/>
    <x v="9"/>
    <x v="8"/>
    <s v="India"/>
    <s v="onkar65@example.com"/>
    <n v="919043000000"/>
    <x v="3"/>
    <n v="71"/>
    <n v="85"/>
    <s v="AC"/>
    <x v="1010"/>
    <d v="2004-07-18T00:00:00"/>
    <n v="-3.8210262828535599"/>
    <x v="5"/>
    <n v="676000"/>
    <n v="736000"/>
  </r>
  <r>
    <s v="Eshani Basak"/>
    <s v="STU081"/>
    <s v="ENR081"/>
    <x v="2"/>
    <x v="0"/>
    <n v="4"/>
    <s v="Computer Science and Engineering"/>
    <x v="8"/>
    <n v="169000"/>
    <n v="154000"/>
    <n v="15000"/>
    <n v="0"/>
    <x v="0"/>
    <x v="2"/>
    <x v="0"/>
    <x v="0"/>
    <s v="India"/>
    <s v="nayantara21@example.org"/>
    <n v="919079000000"/>
    <x v="4"/>
    <n v="71"/>
    <n v="89"/>
    <s v="Non-AC"/>
    <x v="1011"/>
    <d v="2004-08-03T00:00:00"/>
    <n v="-3.8210262828535599"/>
    <x v="5"/>
    <n v="676000"/>
    <n v="736000"/>
  </r>
  <r>
    <s v="Zeeshan Sem"/>
    <s v="STU420"/>
    <s v="ENR420"/>
    <x v="1"/>
    <x v="1"/>
    <n v="2"/>
    <s v="Computer Science Engineering"/>
    <x v="1"/>
    <n v="92000"/>
    <n v="77000"/>
    <n v="15000"/>
    <n v="0"/>
    <x v="0"/>
    <x v="1"/>
    <x v="3"/>
    <x v="3"/>
    <s v="India"/>
    <s v="raunakdugar@example.net"/>
    <n v="918119000000"/>
    <x v="3"/>
    <n v="71"/>
    <n v="86"/>
    <s v="AC"/>
    <x v="1012"/>
    <d v="2001-03-15T00:00:00"/>
    <n v="-3.8210262828535599"/>
    <x v="0"/>
    <n v="184000"/>
    <n v="214000"/>
  </r>
  <r>
    <s v="Oorja Kibe"/>
    <s v="STU472"/>
    <s v="ENR472"/>
    <x v="1"/>
    <x v="1"/>
    <n v="2"/>
    <s v="Computer Science Engineering"/>
    <x v="3"/>
    <n v="92000"/>
    <n v="77000"/>
    <n v="15000"/>
    <n v="0"/>
    <x v="0"/>
    <x v="0"/>
    <x v="7"/>
    <x v="6"/>
    <s v="India"/>
    <s v="suleanya@example.org"/>
    <n v="917680000000"/>
    <x v="3"/>
    <n v="71"/>
    <n v="70"/>
    <s v="AC"/>
    <x v="1013"/>
    <d v="1997-04-17T00:00:00"/>
    <n v="-3.8210262828535599"/>
    <x v="8"/>
    <n v="184000"/>
    <n v="214000"/>
  </r>
  <r>
    <s v="Dhruv Din"/>
    <s v="STU1089"/>
    <s v="ENR1089"/>
    <x v="4"/>
    <x v="0"/>
    <n v="4"/>
    <s v="Computer Science and Engineering"/>
    <x v="8"/>
    <n v="169000"/>
    <n v="154000"/>
    <n v="15000"/>
    <n v="0"/>
    <x v="0"/>
    <x v="0"/>
    <x v="7"/>
    <x v="6"/>
    <s v="India"/>
    <s v="doshinitya@example.com"/>
    <n v="918201000000"/>
    <x v="2"/>
    <n v="71"/>
    <n v="61"/>
    <s v="AC"/>
    <x v="1014"/>
    <d v="2004-03-08T00:00:00"/>
    <n v="-3.8210262828535599"/>
    <x v="3"/>
    <n v="676000"/>
    <n v="736000"/>
  </r>
  <r>
    <s v="Romil Joshi"/>
    <s v="STU963"/>
    <s v="ENR963"/>
    <x v="1"/>
    <x v="0"/>
    <n v="4"/>
    <s v="Computer Science and Engineering"/>
    <x v="2"/>
    <n v="169000"/>
    <n v="154000"/>
    <n v="15000"/>
    <n v="0"/>
    <x v="0"/>
    <x v="2"/>
    <x v="1"/>
    <x v="1"/>
    <s v="India"/>
    <s v="rajagopalansumer@example.com"/>
    <n v="919844000000"/>
    <x v="3"/>
    <n v="71"/>
    <n v="88"/>
    <s v="AC"/>
    <x v="1015"/>
    <d v="2004-08-17T00:00:00"/>
    <n v="-3.8210262828535599"/>
    <x v="5"/>
    <n v="676000"/>
    <n v="736000"/>
  </r>
  <r>
    <s v="Zeeshan Raman"/>
    <s v="STU962"/>
    <s v="ENR962"/>
    <x v="4"/>
    <x v="0"/>
    <n v="4"/>
    <s v="Computer Science and Engineering"/>
    <x v="6"/>
    <n v="169000"/>
    <n v="154000"/>
    <n v="15000"/>
    <n v="0"/>
    <x v="0"/>
    <x v="1"/>
    <x v="5"/>
    <x v="5"/>
    <s v="India"/>
    <s v="ojasganguly@example.org"/>
    <n v="917145000000"/>
    <x v="3"/>
    <n v="71"/>
    <n v="71"/>
    <s v="Non-AC"/>
    <x v="1016"/>
    <d v="2001-12-26T00:00:00"/>
    <n v="-3.8210262828535599"/>
    <x v="6"/>
    <n v="676000"/>
    <n v="736000"/>
  </r>
  <r>
    <s v="Jayant Chaudhry"/>
    <s v="STU347"/>
    <s v="ENR347"/>
    <x v="4"/>
    <x v="1"/>
    <n v="2"/>
    <s v="Computer Science Engineering"/>
    <x v="5"/>
    <n v="92000"/>
    <n v="77000"/>
    <n v="15000"/>
    <n v="0"/>
    <x v="0"/>
    <x v="0"/>
    <x v="3"/>
    <x v="3"/>
    <s v="India"/>
    <s v="advika24@example.org"/>
    <n v="917003000000"/>
    <x v="0"/>
    <n v="71"/>
    <n v="91"/>
    <s v="Non-AC"/>
    <x v="1017"/>
    <d v="1999-02-02T00:00:00"/>
    <n v="-3.8210262828535599"/>
    <x v="7"/>
    <n v="184000"/>
    <n v="214000"/>
  </r>
  <r>
    <s v="Sahil Sodhi"/>
    <s v="STU086"/>
    <s v="ENR086"/>
    <x v="3"/>
    <x v="0"/>
    <n v="4"/>
    <s v="Computer Science and Engineering"/>
    <x v="5"/>
    <n v="169000"/>
    <n v="154000"/>
    <n v="15000"/>
    <n v="0"/>
    <x v="0"/>
    <x v="0"/>
    <x v="1"/>
    <x v="1"/>
    <s v="India"/>
    <s v="pchhabra@example.org"/>
    <n v="919550000000"/>
    <x v="4"/>
    <n v="71"/>
    <n v="69"/>
    <s v="Non-AC"/>
    <x v="1018"/>
    <d v="2003-06-01T00:00:00"/>
    <n v="-3.8210262828535599"/>
    <x v="2"/>
    <n v="676000"/>
    <n v="736000"/>
  </r>
  <r>
    <s v="Bhavin Master"/>
    <s v="STU982"/>
    <s v="ENR982"/>
    <x v="3"/>
    <x v="0"/>
    <n v="4"/>
    <s v="Computer Science and Engineering"/>
    <x v="9"/>
    <n v="169000"/>
    <n v="154000"/>
    <n v="15000"/>
    <n v="0"/>
    <x v="0"/>
    <x v="0"/>
    <x v="2"/>
    <x v="2"/>
    <s v="India"/>
    <s v="dharhridaan@example.org"/>
    <n v="917453000000"/>
    <x v="1"/>
    <n v="71"/>
    <n v="62"/>
    <s v="AC"/>
    <x v="1019"/>
    <d v="2005-01-23T00:00:00"/>
    <n v="-3.8210262828535599"/>
    <x v="5"/>
    <n v="676000"/>
    <n v="736000"/>
  </r>
  <r>
    <s v="Tushar Boase"/>
    <s v="STU466"/>
    <s v="ENR466"/>
    <x v="5"/>
    <x v="1"/>
    <n v="2"/>
    <s v="Computer Science Engineering"/>
    <x v="3"/>
    <n v="92000"/>
    <n v="77000"/>
    <n v="15000"/>
    <n v="0"/>
    <x v="0"/>
    <x v="0"/>
    <x v="8"/>
    <x v="7"/>
    <s v="India"/>
    <s v="jivinmammen@example.net"/>
    <n v="918481000000"/>
    <x v="4"/>
    <n v="71"/>
    <n v="71"/>
    <s v="Non-AC"/>
    <x v="1020"/>
    <d v="2000-09-04T00:00:00"/>
    <n v="-3.8210262828535599"/>
    <x v="0"/>
    <n v="184000"/>
    <n v="214000"/>
  </r>
  <r>
    <s v="Vidur Sethi"/>
    <s v="STU323"/>
    <s v="ENR323"/>
    <x v="0"/>
    <x v="1"/>
    <n v="2"/>
    <s v="Computer Science Engineering"/>
    <x v="4"/>
    <n v="92000"/>
    <n v="77000"/>
    <n v="15000"/>
    <n v="0"/>
    <x v="0"/>
    <x v="1"/>
    <x v="5"/>
    <x v="5"/>
    <s v="India"/>
    <s v="sundaramzoya@example.net"/>
    <n v="917342000000"/>
    <x v="2"/>
    <n v="71"/>
    <n v="69"/>
    <s v="AC"/>
    <x v="1021"/>
    <d v="1998-11-13T00:00:00"/>
    <n v="-3.8210262828535599"/>
    <x v="7"/>
    <n v="184000"/>
    <n v="214000"/>
  </r>
  <r>
    <s v="Rati Srivastava"/>
    <s v="STU470"/>
    <s v="ENR470"/>
    <x v="4"/>
    <x v="0"/>
    <n v="4"/>
    <s v="Computer Science and Engineering"/>
    <x v="6"/>
    <n v="169000"/>
    <n v="154000"/>
    <n v="15000"/>
    <n v="0"/>
    <x v="0"/>
    <x v="1"/>
    <x v="6"/>
    <x v="3"/>
    <s v="India"/>
    <s v="hazel32@example.net"/>
    <n v="919778000000"/>
    <x v="3"/>
    <n v="71"/>
    <n v="77"/>
    <s v="Non-AC"/>
    <x v="1022"/>
    <d v="2006-05-01T00:00:00"/>
    <n v="-3.8210262828535599"/>
    <x v="4"/>
    <n v="676000"/>
    <n v="736000"/>
  </r>
  <r>
    <s v="Yashvi Mann"/>
    <s v="STU249"/>
    <s v="ENR249"/>
    <x v="3"/>
    <x v="1"/>
    <n v="2"/>
    <s v="Computer Science Engineering"/>
    <x v="6"/>
    <n v="92000"/>
    <n v="77000"/>
    <n v="15000"/>
    <n v="0"/>
    <x v="0"/>
    <x v="1"/>
    <x v="1"/>
    <x v="1"/>
    <s v="India"/>
    <s v="qmammen@example.org"/>
    <n v="918404000000"/>
    <x v="2"/>
    <n v="71"/>
    <n v="67"/>
    <s v="AC"/>
    <x v="1023"/>
    <d v="2001-07-11T00:00:00"/>
    <n v="-3.8210262828535599"/>
    <x v="6"/>
    <n v="184000"/>
    <n v="214000"/>
  </r>
  <r>
    <s v="Diya Jhaveri"/>
    <s v="STU240"/>
    <s v="ENR240"/>
    <x v="5"/>
    <x v="1"/>
    <n v="2"/>
    <s v="Computer Science Engineering"/>
    <x v="1"/>
    <n v="92000"/>
    <n v="77000"/>
    <n v="15000"/>
    <n v="0"/>
    <x v="0"/>
    <x v="0"/>
    <x v="1"/>
    <x v="1"/>
    <s v="India"/>
    <s v="ishaankumer@example.net"/>
    <n v="919822000000"/>
    <x v="3"/>
    <n v="71"/>
    <n v="63"/>
    <s v="Non-AC"/>
    <x v="1024"/>
    <d v="1998-01-16T00:00:00"/>
    <n v="-3.8210262828535599"/>
    <x v="9"/>
    <n v="184000"/>
    <n v="214000"/>
  </r>
  <r>
    <s v="Zara Agarwal"/>
    <s v="STU481"/>
    <s v="ENR481"/>
    <x v="5"/>
    <x v="0"/>
    <n v="4"/>
    <s v="Computer Science and Engineering"/>
    <x v="5"/>
    <n v="169000"/>
    <n v="154000"/>
    <n v="15000"/>
    <n v="0"/>
    <x v="0"/>
    <x v="1"/>
    <x v="2"/>
    <x v="2"/>
    <s v="India"/>
    <s v="asetty@example.net"/>
    <n v="919336000000"/>
    <x v="3"/>
    <n v="71"/>
    <n v="70"/>
    <s v="AC"/>
    <x v="1025"/>
    <d v="2001-08-30T00:00:00"/>
    <n v="-3.8210262828535599"/>
    <x v="6"/>
    <n v="676000"/>
    <n v="736000"/>
  </r>
  <r>
    <s v="Anya Grover"/>
    <s v="STU927"/>
    <s v="ENR927"/>
    <x v="4"/>
    <x v="0"/>
    <n v="4"/>
    <s v="Computer Science and Engineering"/>
    <x v="2"/>
    <n v="169000"/>
    <n v="154000"/>
    <n v="15000"/>
    <n v="0"/>
    <x v="0"/>
    <x v="1"/>
    <x v="6"/>
    <x v="3"/>
    <s v="India"/>
    <s v="jivin14@example.org"/>
    <n v="917662000000"/>
    <x v="4"/>
    <n v="71"/>
    <n v="83"/>
    <s v="AC"/>
    <x v="1026"/>
    <d v="2004-08-25T00:00:00"/>
    <n v="-3.8210262828535599"/>
    <x v="5"/>
    <n v="676000"/>
    <n v="736000"/>
  </r>
  <r>
    <s v="Kimaya Dara"/>
    <s v="STU241"/>
    <s v="ENR241"/>
    <x v="3"/>
    <x v="1"/>
    <n v="2"/>
    <s v="Computer Science Engineering"/>
    <x v="1"/>
    <n v="92000"/>
    <n v="77000"/>
    <n v="15000"/>
    <n v="0"/>
    <x v="0"/>
    <x v="2"/>
    <x v="5"/>
    <x v="5"/>
    <s v="India"/>
    <s v="anaysubramaniam@example.org"/>
    <n v="918081000000"/>
    <x v="4"/>
    <n v="71"/>
    <n v="71"/>
    <s v="AC"/>
    <x v="1027"/>
    <d v="2001-05-02T00:00:00"/>
    <n v="-3.8210262828535599"/>
    <x v="0"/>
    <n v="184000"/>
    <n v="214000"/>
  </r>
  <r>
    <s v="Parinaaz Date"/>
    <s v="STU484"/>
    <s v="ENR484"/>
    <x v="2"/>
    <x v="0"/>
    <n v="4"/>
    <s v="Computer Science and Engineering"/>
    <x v="6"/>
    <n v="169000"/>
    <n v="154000"/>
    <n v="15000"/>
    <n v="0"/>
    <x v="0"/>
    <x v="1"/>
    <x v="1"/>
    <x v="1"/>
    <s v="India"/>
    <s v="rajanayesha@example.com"/>
    <n v="919062000000"/>
    <x v="2"/>
    <n v="71"/>
    <n v="87"/>
    <s v="AC"/>
    <x v="1028"/>
    <d v="2002-12-19T00:00:00"/>
    <n v="-3.8210262828535599"/>
    <x v="2"/>
    <n v="676000"/>
    <n v="736000"/>
  </r>
  <r>
    <s v="Mahika Sura"/>
    <s v="STU333"/>
    <s v="ENR333"/>
    <x v="5"/>
    <x v="1"/>
    <n v="2"/>
    <s v="Computer Science Engineering"/>
    <x v="4"/>
    <n v="92000"/>
    <n v="77000"/>
    <n v="15000"/>
    <n v="0"/>
    <x v="0"/>
    <x v="1"/>
    <x v="5"/>
    <x v="5"/>
    <s v="India"/>
    <s v="divyanshbansal@example.com"/>
    <n v="919096000000"/>
    <x v="1"/>
    <n v="70"/>
    <n v="92"/>
    <s v="Non-AC"/>
    <x v="1029"/>
    <d v="2001-12-09T00:00:00"/>
    <n v="-4.8210262828535599"/>
    <x v="6"/>
    <n v="184000"/>
    <n v="214000"/>
  </r>
  <r>
    <s v="Ayesha Sama"/>
    <s v="STU444"/>
    <s v="ENR444"/>
    <x v="0"/>
    <x v="1"/>
    <n v="2"/>
    <s v="Computer Science Engineering"/>
    <x v="5"/>
    <n v="92000"/>
    <n v="77000"/>
    <n v="15000"/>
    <n v="0"/>
    <x v="0"/>
    <x v="1"/>
    <x v="7"/>
    <x v="6"/>
    <s v="India"/>
    <s v="abramkumar@example.net"/>
    <n v="918380000000"/>
    <x v="1"/>
    <n v="70"/>
    <n v="64"/>
    <s v="Non-AC"/>
    <x v="1030"/>
    <d v="1999-01-04T00:00:00"/>
    <n v="-4.8210262828535599"/>
    <x v="7"/>
    <n v="184000"/>
    <n v="214000"/>
  </r>
  <r>
    <s v="Saksham Sharma"/>
    <s v="STU207"/>
    <s v="ENR207"/>
    <x v="1"/>
    <x v="1"/>
    <n v="2"/>
    <s v="Computer Science Engineering"/>
    <x v="4"/>
    <n v="92000"/>
    <n v="77000"/>
    <n v="15000"/>
    <n v="0"/>
    <x v="0"/>
    <x v="1"/>
    <x v="7"/>
    <x v="6"/>
    <s v="India"/>
    <s v="riaan45@example.net"/>
    <n v="917324000000"/>
    <x v="0"/>
    <n v="70"/>
    <n v="72"/>
    <s v="AC"/>
    <x v="1031"/>
    <d v="1998-09-07T00:00:00"/>
    <n v="-4.8210262828535599"/>
    <x v="7"/>
    <n v="184000"/>
    <n v="214000"/>
  </r>
  <r>
    <s v="Mahika Barad"/>
    <s v="STU204"/>
    <s v="ENR204"/>
    <x v="5"/>
    <x v="1"/>
    <n v="2"/>
    <s v="Computer Science Engineering"/>
    <x v="5"/>
    <n v="92000"/>
    <n v="77000"/>
    <n v="15000"/>
    <n v="0"/>
    <x v="0"/>
    <x v="2"/>
    <x v="9"/>
    <x v="8"/>
    <s v="India"/>
    <s v="jayesh97@example.net"/>
    <n v="919251000000"/>
    <x v="3"/>
    <n v="70"/>
    <n v="82"/>
    <s v="Non-AC"/>
    <x v="1032"/>
    <d v="1997-05-23T00:00:00"/>
    <n v="-4.8210262828535599"/>
    <x v="8"/>
    <n v="184000"/>
    <n v="214000"/>
  </r>
  <r>
    <s v="Anay Chadha"/>
    <s v="STU375"/>
    <s v="ENR375"/>
    <x v="5"/>
    <x v="1"/>
    <n v="2"/>
    <s v="Computer Science Engineering"/>
    <x v="5"/>
    <n v="92000"/>
    <n v="77000"/>
    <n v="15000"/>
    <n v="0"/>
    <x v="0"/>
    <x v="0"/>
    <x v="4"/>
    <x v="4"/>
    <s v="India"/>
    <s v="bdatta@example.com"/>
    <n v="919055000000"/>
    <x v="4"/>
    <n v="70"/>
    <n v="71"/>
    <s v="Non-AC"/>
    <x v="1033"/>
    <d v="1997-12-29T00:00:00"/>
    <n v="-4.8210262828535599"/>
    <x v="9"/>
    <n v="184000"/>
    <n v="214000"/>
  </r>
  <r>
    <s v="Kabir Kala"/>
    <s v="STU411"/>
    <s v="ENR411"/>
    <x v="3"/>
    <x v="1"/>
    <n v="2"/>
    <s v="Computer Science Engineering"/>
    <x v="1"/>
    <n v="92000"/>
    <n v="77000"/>
    <n v="15000"/>
    <n v="0"/>
    <x v="0"/>
    <x v="0"/>
    <x v="7"/>
    <x v="6"/>
    <s v="India"/>
    <s v="hrege@example.com"/>
    <n v="918882000000"/>
    <x v="2"/>
    <n v="70"/>
    <n v="82"/>
    <s v="AC"/>
    <x v="1034"/>
    <d v="2000-10-23T00:00:00"/>
    <n v="-4.8210262828535599"/>
    <x v="0"/>
    <n v="184000"/>
    <n v="214000"/>
  </r>
  <r>
    <s v="Siya Chad"/>
    <s v="STU254"/>
    <s v="ENR254"/>
    <x v="3"/>
    <x v="1"/>
    <n v="2"/>
    <s v="Computer Science Engineering"/>
    <x v="4"/>
    <n v="92000"/>
    <n v="77000"/>
    <n v="15000"/>
    <n v="0"/>
    <x v="0"/>
    <x v="0"/>
    <x v="4"/>
    <x v="4"/>
    <s v="India"/>
    <s v="rati22@example.com"/>
    <n v="917323000000"/>
    <x v="2"/>
    <n v="70"/>
    <n v="68"/>
    <s v="Non-AC"/>
    <x v="1035"/>
    <d v="1998-03-18T00:00:00"/>
    <n v="-4.8210262828535599"/>
    <x v="9"/>
    <n v="184000"/>
    <n v="214000"/>
  </r>
  <r>
    <s v="Nehmat Bhasin"/>
    <s v="STU167"/>
    <s v="ENR167"/>
    <x v="4"/>
    <x v="1"/>
    <n v="2"/>
    <s v="Computer Science Engineering"/>
    <x v="1"/>
    <n v="92000"/>
    <n v="77000"/>
    <n v="15000"/>
    <n v="0"/>
    <x v="0"/>
    <x v="1"/>
    <x v="9"/>
    <x v="8"/>
    <s v="India"/>
    <s v="indrajitgulati@example.net"/>
    <n v="917432000000"/>
    <x v="3"/>
    <n v="70"/>
    <n v="79"/>
    <s v="AC"/>
    <x v="1036"/>
    <d v="1998-02-03T00:00:00"/>
    <n v="-4.8210262828535599"/>
    <x v="9"/>
    <n v="184000"/>
    <n v="214000"/>
  </r>
  <r>
    <s v="Aaina Shankar"/>
    <s v="STU151"/>
    <s v="ENR151"/>
    <x v="0"/>
    <x v="1"/>
    <n v="2"/>
    <s v="Computer Science Engineering"/>
    <x v="0"/>
    <n v="92000"/>
    <n v="77000"/>
    <n v="15000"/>
    <n v="0"/>
    <x v="0"/>
    <x v="0"/>
    <x v="5"/>
    <x v="5"/>
    <s v="India"/>
    <s v="jivintank@example.net"/>
    <n v="919518000000"/>
    <x v="1"/>
    <n v="70"/>
    <n v="89"/>
    <s v="AC"/>
    <x v="1037"/>
    <d v="1999-10-31T00:00:00"/>
    <n v="-4.8210262828535599"/>
    <x v="1"/>
    <n v="184000"/>
    <n v="214000"/>
  </r>
  <r>
    <s v="Aniruddh Raval"/>
    <s v="STU1187"/>
    <s v="ENR1187"/>
    <x v="2"/>
    <x v="0"/>
    <n v="4"/>
    <s v="Computer Science and Engineering"/>
    <x v="2"/>
    <n v="169000"/>
    <n v="154000"/>
    <n v="15000"/>
    <n v="0"/>
    <x v="0"/>
    <x v="2"/>
    <x v="3"/>
    <x v="3"/>
    <s v="India"/>
    <s v="manjariwagle@example.net"/>
    <n v="917551000000"/>
    <x v="4"/>
    <n v="70"/>
    <n v="87"/>
    <s v="Non-AC"/>
    <x v="1038"/>
    <d v="2004-11-18T00:00:00"/>
    <n v="-4.8210262828535599"/>
    <x v="5"/>
    <n v="676000"/>
    <n v="736000"/>
  </r>
  <r>
    <s v="Navya Brahmbhatt"/>
    <s v="STU306"/>
    <s v="ENR306"/>
    <x v="5"/>
    <x v="1"/>
    <n v="2"/>
    <s v="Computer Science Engineering"/>
    <x v="5"/>
    <n v="92000"/>
    <n v="77000"/>
    <n v="15000"/>
    <n v="0"/>
    <x v="0"/>
    <x v="0"/>
    <x v="7"/>
    <x v="6"/>
    <s v="India"/>
    <s v="kabir24@example.net"/>
    <n v="919361000000"/>
    <x v="2"/>
    <n v="70"/>
    <n v="60"/>
    <s v="AC"/>
    <x v="1039"/>
    <d v="1996-07-28T00:00:00"/>
    <n v="-4.8210262828535599"/>
    <x v="8"/>
    <n v="184000"/>
    <n v="214000"/>
  </r>
  <r>
    <s v="Ayesha Balasubramanian"/>
    <s v="STU1180"/>
    <s v="ENR1180"/>
    <x v="3"/>
    <x v="0"/>
    <n v="4"/>
    <s v="Computer Science and Engineering"/>
    <x v="7"/>
    <n v="169000"/>
    <n v="154000"/>
    <n v="15000"/>
    <n v="0"/>
    <x v="0"/>
    <x v="2"/>
    <x v="1"/>
    <x v="1"/>
    <s v="India"/>
    <s v="vanya60@example.org"/>
    <n v="918926000000"/>
    <x v="2"/>
    <n v="70"/>
    <n v="84"/>
    <s v="AC"/>
    <x v="1040"/>
    <d v="2001-08-02T00:00:00"/>
    <n v="-4.8210262828535599"/>
    <x v="6"/>
    <n v="676000"/>
    <n v="736000"/>
  </r>
  <r>
    <s v="Shayak Datta"/>
    <s v="STU1182"/>
    <s v="ENR1182"/>
    <x v="1"/>
    <x v="0"/>
    <n v="4"/>
    <s v="Computer Science and Engineering"/>
    <x v="6"/>
    <n v="169000"/>
    <n v="154000"/>
    <n v="15000"/>
    <n v="0"/>
    <x v="0"/>
    <x v="0"/>
    <x v="1"/>
    <x v="1"/>
    <s v="India"/>
    <s v="odayal@example.org"/>
    <n v="919634000000"/>
    <x v="0"/>
    <n v="70"/>
    <n v="73"/>
    <s v="Non-AC"/>
    <x v="1041"/>
    <d v="2001-10-15T00:00:00"/>
    <n v="-4.8210262828535599"/>
    <x v="6"/>
    <n v="676000"/>
    <n v="736000"/>
  </r>
  <r>
    <s v="Uthkarsh Dara"/>
    <s v="STU374"/>
    <s v="ENR374"/>
    <x v="0"/>
    <x v="1"/>
    <n v="2"/>
    <s v="Computer Science Engineering"/>
    <x v="6"/>
    <n v="92000"/>
    <n v="77000"/>
    <n v="15000"/>
    <n v="0"/>
    <x v="0"/>
    <x v="2"/>
    <x v="8"/>
    <x v="7"/>
    <s v="India"/>
    <s v="agoyal@example.net"/>
    <n v="918030000000"/>
    <x v="0"/>
    <n v="70"/>
    <n v="66"/>
    <s v="AC"/>
    <x v="1042"/>
    <d v="2001-01-25T00:00:00"/>
    <n v="-4.8210262828535599"/>
    <x v="0"/>
    <n v="184000"/>
    <n v="214000"/>
  </r>
  <r>
    <s v="Elakshi Tank"/>
    <s v="STU1168"/>
    <s v="ENR1168"/>
    <x v="1"/>
    <x v="0"/>
    <n v="4"/>
    <s v="Computer Science and Engineering"/>
    <x v="5"/>
    <n v="169000"/>
    <n v="154000"/>
    <n v="15000"/>
    <n v="0"/>
    <x v="0"/>
    <x v="2"/>
    <x v="0"/>
    <x v="0"/>
    <s v="India"/>
    <s v="taran31@example.org"/>
    <n v="917528000000"/>
    <x v="0"/>
    <n v="70"/>
    <n v="62"/>
    <s v="AC"/>
    <x v="1043"/>
    <d v="2003-03-30T00:00:00"/>
    <n v="-4.8210262828535599"/>
    <x v="2"/>
    <n v="676000"/>
    <n v="736000"/>
  </r>
  <r>
    <s v="Shaan Batra"/>
    <s v="STU800"/>
    <s v="ENR800"/>
    <x v="3"/>
    <x v="0"/>
    <n v="4"/>
    <s v="Computer Science and Engineering"/>
    <x v="6"/>
    <n v="169000"/>
    <n v="154000"/>
    <n v="15000"/>
    <n v="0"/>
    <x v="0"/>
    <x v="0"/>
    <x v="3"/>
    <x v="3"/>
    <s v="India"/>
    <s v="aarush61@example.com"/>
    <n v="919734000000"/>
    <x v="2"/>
    <n v="70"/>
    <n v="73"/>
    <s v="AC"/>
    <x v="1044"/>
    <d v="2001-12-30T00:00:00"/>
    <n v="-4.8210262828535599"/>
    <x v="6"/>
    <n v="676000"/>
    <n v="736000"/>
  </r>
  <r>
    <s v="Advik Verma"/>
    <s v="STU898"/>
    <s v="ENR898"/>
    <x v="4"/>
    <x v="0"/>
    <n v="4"/>
    <s v="Computer Science and Engineering"/>
    <x v="7"/>
    <n v="169000"/>
    <n v="154000"/>
    <n v="15000"/>
    <n v="0"/>
    <x v="0"/>
    <x v="2"/>
    <x v="5"/>
    <x v="5"/>
    <s v="India"/>
    <s v="nsaha@example.com"/>
    <n v="919370000000"/>
    <x v="4"/>
    <n v="70"/>
    <n v="89"/>
    <s v="Non-AC"/>
    <x v="1045"/>
    <d v="2005-04-20T00:00:00"/>
    <n v="-4.8210262828535599"/>
    <x v="5"/>
    <n v="676000"/>
    <n v="736000"/>
  </r>
  <r>
    <s v="Tiya Dyal"/>
    <s v="STU664"/>
    <s v="ENR664"/>
    <x v="1"/>
    <x v="0"/>
    <n v="4"/>
    <s v="Computer Science and Engineering"/>
    <x v="0"/>
    <n v="169000"/>
    <n v="154000"/>
    <n v="15000"/>
    <n v="0"/>
    <x v="0"/>
    <x v="2"/>
    <x v="3"/>
    <x v="3"/>
    <s v="India"/>
    <s v="sachdevaanika@example.org"/>
    <n v="919213000000"/>
    <x v="2"/>
    <n v="70"/>
    <n v="75"/>
    <s v="AC"/>
    <x v="1046"/>
    <d v="2005-01-09T00:00:00"/>
    <n v="-4.8210262828535599"/>
    <x v="5"/>
    <n v="676000"/>
    <n v="736000"/>
  </r>
  <r>
    <s v="Seher Hayer"/>
    <s v="STU977"/>
    <s v="ENR977"/>
    <x v="2"/>
    <x v="0"/>
    <n v="4"/>
    <s v="Computer Science and Engineering"/>
    <x v="6"/>
    <n v="169000"/>
    <n v="154000"/>
    <n v="15000"/>
    <n v="0"/>
    <x v="0"/>
    <x v="1"/>
    <x v="7"/>
    <x v="6"/>
    <s v="India"/>
    <s v="keershlok@example.com"/>
    <n v="919035000000"/>
    <x v="3"/>
    <n v="70"/>
    <n v="89"/>
    <s v="Non-AC"/>
    <x v="1047"/>
    <d v="2005-01-12T00:00:00"/>
    <n v="-4.8210262828535599"/>
    <x v="5"/>
    <n v="676000"/>
    <n v="736000"/>
  </r>
  <r>
    <s v="Jayesh Sur"/>
    <s v="STU902"/>
    <s v="ENR902"/>
    <x v="2"/>
    <x v="0"/>
    <n v="4"/>
    <s v="Computer Science and Engineering"/>
    <x v="8"/>
    <n v="169000"/>
    <n v="154000"/>
    <n v="15000"/>
    <n v="0"/>
    <x v="0"/>
    <x v="1"/>
    <x v="9"/>
    <x v="8"/>
    <s v="India"/>
    <s v="ssundaram@example.org"/>
    <n v="918196000000"/>
    <x v="3"/>
    <n v="70"/>
    <n v="74"/>
    <s v="AC"/>
    <x v="1048"/>
    <d v="2001-09-26T00:00:00"/>
    <n v="-4.8210262828535599"/>
    <x v="6"/>
    <n v="676000"/>
    <n v="736000"/>
  </r>
  <r>
    <s v="Hridaan Bakshi"/>
    <s v="STU669"/>
    <s v="ENR669"/>
    <x v="0"/>
    <x v="0"/>
    <n v="4"/>
    <s v="Computer Science and Engineering"/>
    <x v="5"/>
    <n v="169000"/>
    <n v="154000"/>
    <n v="15000"/>
    <n v="0"/>
    <x v="0"/>
    <x v="2"/>
    <x v="9"/>
    <x v="8"/>
    <s v="India"/>
    <s v="kgoda@example.org"/>
    <n v="917235000000"/>
    <x v="0"/>
    <n v="70"/>
    <n v="78"/>
    <s v="Non-AC"/>
    <x v="1049"/>
    <d v="2002-08-16T00:00:00"/>
    <n v="-4.8210262828535599"/>
    <x v="2"/>
    <n v="676000"/>
    <n v="736000"/>
  </r>
  <r>
    <s v="Gokul Sethi"/>
    <s v="STU811"/>
    <s v="ENR811"/>
    <x v="3"/>
    <x v="0"/>
    <n v="4"/>
    <s v="Computer Science and Engineering"/>
    <x v="3"/>
    <n v="169000"/>
    <n v="154000"/>
    <n v="15000"/>
    <n v="0"/>
    <x v="0"/>
    <x v="2"/>
    <x v="3"/>
    <x v="3"/>
    <s v="India"/>
    <s v="walimohanlal@example.org"/>
    <n v="919281000000"/>
    <x v="1"/>
    <n v="70"/>
    <n v="69"/>
    <s v="Non-AC"/>
    <x v="1050"/>
    <d v="2002-08-09T00:00:00"/>
    <n v="-4.8210262828535599"/>
    <x v="2"/>
    <n v="676000"/>
    <n v="736000"/>
  </r>
  <r>
    <s v="Jivika Bhasin"/>
    <s v="STU969"/>
    <s v="ENR969"/>
    <x v="0"/>
    <x v="0"/>
    <n v="4"/>
    <s v="Computer Science and Engineering"/>
    <x v="8"/>
    <n v="169000"/>
    <n v="154000"/>
    <n v="15000"/>
    <n v="0"/>
    <x v="0"/>
    <x v="0"/>
    <x v="2"/>
    <x v="2"/>
    <s v="India"/>
    <s v="htrivedi@example.org"/>
    <n v="917584000000"/>
    <x v="0"/>
    <n v="70"/>
    <n v="74"/>
    <s v="AC"/>
    <x v="1051"/>
    <d v="2005-01-22T00:00:00"/>
    <n v="-4.8210262828535599"/>
    <x v="5"/>
    <n v="676000"/>
    <n v="736000"/>
  </r>
  <r>
    <s v="Zoya Gole"/>
    <s v="STU042"/>
    <s v="ENR042"/>
    <x v="3"/>
    <x v="0"/>
    <n v="4"/>
    <s v="Computer Science and Engineering"/>
    <x v="2"/>
    <n v="169000"/>
    <n v="154000"/>
    <n v="15000"/>
    <n v="0"/>
    <x v="0"/>
    <x v="0"/>
    <x v="3"/>
    <x v="3"/>
    <s v="India"/>
    <s v="deolmamooty@example.net"/>
    <n v="919778000000"/>
    <x v="1"/>
    <n v="70"/>
    <n v="72"/>
    <s v="AC"/>
    <x v="1052"/>
    <d v="2004-05-09T00:00:00"/>
    <n v="-4.8210262828535599"/>
    <x v="3"/>
    <n v="676000"/>
    <n v="736000"/>
  </r>
  <r>
    <s v="Shray Tiwari"/>
    <s v="STU472"/>
    <s v="ENR472"/>
    <x v="0"/>
    <x v="0"/>
    <n v="4"/>
    <s v="Computer Science and Engineering"/>
    <x v="0"/>
    <n v="169000"/>
    <n v="154000"/>
    <n v="15000"/>
    <n v="0"/>
    <x v="0"/>
    <x v="0"/>
    <x v="4"/>
    <x v="4"/>
    <s v="India"/>
    <s v="ivanganguly@example.com"/>
    <n v="917775000000"/>
    <x v="3"/>
    <n v="70"/>
    <n v="61"/>
    <s v="Non-AC"/>
    <x v="1053"/>
    <d v="2004-02-04T00:00:00"/>
    <n v="-4.8210262828535599"/>
    <x v="3"/>
    <n v="676000"/>
    <n v="736000"/>
  </r>
  <r>
    <s v="Adira De"/>
    <s v="STU044"/>
    <s v="ENR044"/>
    <x v="3"/>
    <x v="0"/>
    <n v="4"/>
    <s v="Computer Science and Engineering"/>
    <x v="4"/>
    <n v="169000"/>
    <n v="154000"/>
    <n v="15000"/>
    <n v="0"/>
    <x v="0"/>
    <x v="1"/>
    <x v="4"/>
    <x v="4"/>
    <s v="India"/>
    <s v="gbumb@example.org"/>
    <n v="919731000000"/>
    <x v="3"/>
    <n v="70"/>
    <n v="74"/>
    <s v="Non-AC"/>
    <x v="1054"/>
    <d v="2004-10-18T00:00:00"/>
    <n v="-4.8210262828535599"/>
    <x v="5"/>
    <n v="676000"/>
    <n v="736000"/>
  </r>
  <r>
    <s v="Jivika Kara"/>
    <s v="STU913"/>
    <s v="ENR913"/>
    <x v="4"/>
    <x v="0"/>
    <n v="4"/>
    <s v="Computer Science and Engineering"/>
    <x v="7"/>
    <n v="169000"/>
    <n v="154000"/>
    <n v="15000"/>
    <n v="0"/>
    <x v="0"/>
    <x v="2"/>
    <x v="8"/>
    <x v="7"/>
    <s v="India"/>
    <s v="kadeaaina@example.org"/>
    <n v="918267000000"/>
    <x v="0"/>
    <n v="70"/>
    <n v="85"/>
    <s v="Non-AC"/>
    <x v="1055"/>
    <d v="2006-01-26T00:00:00"/>
    <n v="-4.8210262828535599"/>
    <x v="4"/>
    <n v="676000"/>
    <n v="736000"/>
  </r>
  <r>
    <s v="Charvi Wadhwa"/>
    <s v="STU064"/>
    <s v="ENR064"/>
    <x v="1"/>
    <x v="0"/>
    <n v="4"/>
    <s v="Computer Science and Engineering"/>
    <x v="3"/>
    <n v="169000"/>
    <n v="154000"/>
    <n v="15000"/>
    <n v="0"/>
    <x v="0"/>
    <x v="0"/>
    <x v="6"/>
    <x v="3"/>
    <s v="India"/>
    <s v="mchoudhury@example.net"/>
    <n v="918188000000"/>
    <x v="2"/>
    <n v="70"/>
    <n v="69"/>
    <s v="AC"/>
    <x v="1056"/>
    <d v="2006-05-31T00:00:00"/>
    <n v="-4.8210262828535599"/>
    <x v="4"/>
    <n v="676000"/>
    <n v="736000"/>
  </r>
  <r>
    <s v="Nirvaan Dixit"/>
    <s v="STU319"/>
    <s v="ENR319"/>
    <x v="4"/>
    <x v="0"/>
    <n v="4"/>
    <s v="Computer Science and Engineering"/>
    <x v="2"/>
    <n v="169000"/>
    <n v="154000"/>
    <n v="15000"/>
    <n v="0"/>
    <x v="0"/>
    <x v="2"/>
    <x v="8"/>
    <x v="7"/>
    <s v="India"/>
    <s v="sunderkabir@example.net"/>
    <n v="919947000000"/>
    <x v="0"/>
    <n v="70"/>
    <n v="68"/>
    <s v="Non-AC"/>
    <x v="1057"/>
    <d v="2003-11-13T00:00:00"/>
    <n v="-4.8210262828535599"/>
    <x v="3"/>
    <n v="676000"/>
    <n v="736000"/>
  </r>
  <r>
    <s v="Keya Solanki"/>
    <s v="STU223"/>
    <s v="ENR223"/>
    <x v="3"/>
    <x v="0"/>
    <n v="4"/>
    <s v="Computer Science and Engineering"/>
    <x v="5"/>
    <n v="169000"/>
    <n v="154000"/>
    <n v="15000"/>
    <n v="0"/>
    <x v="0"/>
    <x v="1"/>
    <x v="5"/>
    <x v="5"/>
    <s v="India"/>
    <s v="kismatreddy@example.com"/>
    <n v="918874000000"/>
    <x v="2"/>
    <n v="70"/>
    <n v="84"/>
    <s v="Non-AC"/>
    <x v="1058"/>
    <d v="2002-03-08T00:00:00"/>
    <n v="-4.8210262828535599"/>
    <x v="6"/>
    <n v="676000"/>
    <n v="736000"/>
  </r>
  <r>
    <s v="Nirvaan Chaudhry"/>
    <s v="STU300"/>
    <s v="ENR300"/>
    <x v="2"/>
    <x v="0"/>
    <n v="4"/>
    <s v="Computer Science and Engineering"/>
    <x v="0"/>
    <n v="169000"/>
    <n v="154000"/>
    <n v="15000"/>
    <n v="0"/>
    <x v="0"/>
    <x v="2"/>
    <x v="4"/>
    <x v="4"/>
    <s v="India"/>
    <s v="dayalmyra@example.com"/>
    <n v="918578000000"/>
    <x v="4"/>
    <n v="70"/>
    <n v="76"/>
    <s v="AC"/>
    <x v="1059"/>
    <d v="2004-02-22T00:00:00"/>
    <n v="-4.8210262828535599"/>
    <x v="3"/>
    <n v="676000"/>
    <n v="736000"/>
  </r>
  <r>
    <s v="Zara Shan"/>
    <s v="STU052"/>
    <s v="ENR052"/>
    <x v="4"/>
    <x v="0"/>
    <n v="4"/>
    <s v="Computer Science and Engineering"/>
    <x v="8"/>
    <n v="169000"/>
    <n v="154000"/>
    <n v="15000"/>
    <n v="0"/>
    <x v="0"/>
    <x v="2"/>
    <x v="0"/>
    <x v="0"/>
    <s v="India"/>
    <s v="anahitashenoy@example.net"/>
    <n v="919021000000"/>
    <x v="3"/>
    <n v="70"/>
    <n v="81"/>
    <s v="Non-AC"/>
    <x v="1060"/>
    <d v="2005-11-23T00:00:00"/>
    <n v="-4.8210262828535599"/>
    <x v="4"/>
    <n v="676000"/>
    <n v="736000"/>
  </r>
  <r>
    <s v="Neelofar Raval"/>
    <s v="STU928"/>
    <s v="ENR928"/>
    <x v="3"/>
    <x v="0"/>
    <n v="4"/>
    <s v="Computer Science and Engineering"/>
    <x v="3"/>
    <n v="169000"/>
    <n v="154000"/>
    <n v="15000"/>
    <n v="0"/>
    <x v="0"/>
    <x v="1"/>
    <x v="6"/>
    <x v="3"/>
    <s v="India"/>
    <s v="bbatta@example.net"/>
    <n v="919851000000"/>
    <x v="1"/>
    <n v="70"/>
    <n v="84"/>
    <s v="Non-AC"/>
    <x v="1061"/>
    <d v="2003-01-06T00:00:00"/>
    <n v="-4.8210262828535599"/>
    <x v="2"/>
    <n v="676000"/>
    <n v="736000"/>
  </r>
  <r>
    <s v="Anya Walla"/>
    <s v="STU567"/>
    <s v="ENR567"/>
    <x v="3"/>
    <x v="0"/>
    <n v="4"/>
    <s v="Computer Science and Engineering"/>
    <x v="6"/>
    <n v="169000"/>
    <n v="154000"/>
    <n v="15000"/>
    <n v="0"/>
    <x v="0"/>
    <x v="2"/>
    <x v="7"/>
    <x v="6"/>
    <s v="India"/>
    <s v="vigmadhup@example.org"/>
    <n v="919933000000"/>
    <x v="2"/>
    <n v="70"/>
    <n v="78"/>
    <s v="Non-AC"/>
    <x v="1062"/>
    <d v="2006-04-03T00:00:00"/>
    <n v="-4.8210262828535599"/>
    <x v="4"/>
    <n v="676000"/>
    <n v="736000"/>
  </r>
  <r>
    <s v="Nirvaan Aggarwal"/>
    <s v="STU686"/>
    <s v="ENR686"/>
    <x v="5"/>
    <x v="0"/>
    <n v="4"/>
    <s v="Computer Science and Engineering"/>
    <x v="5"/>
    <n v="169000"/>
    <n v="154000"/>
    <n v="15000"/>
    <n v="0"/>
    <x v="0"/>
    <x v="1"/>
    <x v="5"/>
    <x v="5"/>
    <s v="India"/>
    <s v="navya12@example.com"/>
    <n v="919090000000"/>
    <x v="0"/>
    <n v="70"/>
    <n v="70"/>
    <s v="AC"/>
    <x v="1063"/>
    <d v="2004-10-11T00:00:00"/>
    <n v="-4.8210262828535599"/>
    <x v="5"/>
    <n v="676000"/>
    <n v="736000"/>
  </r>
  <r>
    <s v="Amani Khosla"/>
    <s v="STU099"/>
    <s v="ENR099"/>
    <x v="0"/>
    <x v="0"/>
    <n v="4"/>
    <s v="Computer Science and Engineering"/>
    <x v="4"/>
    <n v="169000"/>
    <n v="154000"/>
    <n v="15000"/>
    <n v="0"/>
    <x v="0"/>
    <x v="1"/>
    <x v="2"/>
    <x v="2"/>
    <s v="India"/>
    <s v="pdivan@example.net"/>
    <n v="917730000000"/>
    <x v="3"/>
    <n v="70"/>
    <n v="88"/>
    <s v="Non-AC"/>
    <x v="1064"/>
    <d v="2002-08-31T00:00:00"/>
    <n v="-4.8210262828535599"/>
    <x v="2"/>
    <n v="676000"/>
    <n v="736000"/>
  </r>
  <r>
    <s v="Dhanuk Vasa"/>
    <s v="STU771"/>
    <s v="ENR771"/>
    <x v="0"/>
    <x v="0"/>
    <n v="4"/>
    <s v="Computer Science and Engineering"/>
    <x v="4"/>
    <n v="169000"/>
    <n v="154000"/>
    <n v="15000"/>
    <n v="0"/>
    <x v="0"/>
    <x v="1"/>
    <x v="4"/>
    <x v="4"/>
    <s v="India"/>
    <s v="anya26@example.org"/>
    <n v="919988000000"/>
    <x v="2"/>
    <n v="70"/>
    <n v="61"/>
    <s v="AC"/>
    <x v="1065"/>
    <d v="2004-03-10T00:00:00"/>
    <n v="-4.8210262828535599"/>
    <x v="3"/>
    <n v="676000"/>
    <n v="736000"/>
  </r>
  <r>
    <s v="Siya Chowdhury"/>
    <s v="STU389"/>
    <s v="ENR389"/>
    <x v="2"/>
    <x v="0"/>
    <n v="4"/>
    <s v="Computer Science and Engineering"/>
    <x v="1"/>
    <n v="169000"/>
    <n v="154000"/>
    <n v="15000"/>
    <n v="0"/>
    <x v="0"/>
    <x v="0"/>
    <x v="6"/>
    <x v="3"/>
    <s v="India"/>
    <s v="samradarshit@example.net"/>
    <n v="918222000000"/>
    <x v="2"/>
    <n v="70"/>
    <n v="60"/>
    <s v="Non-AC"/>
    <x v="1066"/>
    <d v="2004-11-17T00:00:00"/>
    <n v="-4.8210262828535599"/>
    <x v="5"/>
    <n v="676000"/>
    <n v="736000"/>
  </r>
  <r>
    <s v="Pari Lata"/>
    <s v="STU246"/>
    <s v="ENR246"/>
    <x v="4"/>
    <x v="0"/>
    <n v="4"/>
    <s v="Computer Science and Engineering"/>
    <x v="6"/>
    <n v="169000"/>
    <n v="154000"/>
    <n v="15000"/>
    <n v="0"/>
    <x v="0"/>
    <x v="2"/>
    <x v="8"/>
    <x v="7"/>
    <s v="India"/>
    <s v="nehmatgoyal@example.com"/>
    <n v="919776000000"/>
    <x v="4"/>
    <n v="70"/>
    <n v="61"/>
    <s v="AC"/>
    <x v="1067"/>
    <d v="2002-10-17T00:00:00"/>
    <n v="-4.8210262828535599"/>
    <x v="2"/>
    <n v="676000"/>
    <n v="736000"/>
  </r>
  <r>
    <s v="Samarth Banik"/>
    <s v="STU083"/>
    <s v="ENR083"/>
    <x v="5"/>
    <x v="0"/>
    <n v="4"/>
    <s v="Computer Science and Engineering"/>
    <x v="8"/>
    <n v="169000"/>
    <n v="154000"/>
    <n v="15000"/>
    <n v="0"/>
    <x v="0"/>
    <x v="0"/>
    <x v="4"/>
    <x v="4"/>
    <s v="India"/>
    <s v="nakul49@example.org"/>
    <n v="919449000000"/>
    <x v="0"/>
    <n v="70"/>
    <n v="92"/>
    <s v="Non-AC"/>
    <x v="1068"/>
    <d v="2001-03-03T00:00:00"/>
    <n v="-4.8210262828535599"/>
    <x v="0"/>
    <n v="676000"/>
    <n v="736000"/>
  </r>
  <r>
    <s v="Zaina Venkataraman"/>
    <s v="STU093"/>
    <s v="ENR093"/>
    <x v="3"/>
    <x v="0"/>
    <n v="4"/>
    <s v="Computer Science and Engineering"/>
    <x v="8"/>
    <n v="169000"/>
    <n v="154000"/>
    <n v="15000"/>
    <n v="0"/>
    <x v="0"/>
    <x v="2"/>
    <x v="9"/>
    <x v="8"/>
    <s v="India"/>
    <s v="lavanya15@example.net"/>
    <n v="918176000000"/>
    <x v="4"/>
    <n v="70"/>
    <n v="81"/>
    <s v="AC"/>
    <x v="1069"/>
    <d v="2003-02-28T00:00:00"/>
    <n v="-4.8210262828535599"/>
    <x v="2"/>
    <n v="676000"/>
    <n v="736000"/>
  </r>
  <r>
    <s v="Shlok Bhatnagar"/>
    <s v="STU847"/>
    <s v="ENR847"/>
    <x v="0"/>
    <x v="0"/>
    <n v="4"/>
    <s v="Computer Science and Engineering"/>
    <x v="2"/>
    <n v="169000"/>
    <n v="154000"/>
    <n v="15000"/>
    <n v="0"/>
    <x v="0"/>
    <x v="2"/>
    <x v="7"/>
    <x v="6"/>
    <s v="India"/>
    <s v="etata@example.org"/>
    <n v="918353000000"/>
    <x v="4"/>
    <n v="70"/>
    <n v="65"/>
    <s v="Non-AC"/>
    <x v="1070"/>
    <d v="2002-11-09T00:00:00"/>
    <n v="-4.8210262828535599"/>
    <x v="2"/>
    <n v="676000"/>
    <n v="736000"/>
  </r>
  <r>
    <s v="Adira Wagle"/>
    <s v="STU785"/>
    <s v="ENR785"/>
    <x v="3"/>
    <x v="0"/>
    <n v="4"/>
    <s v="Computer Science and Engineering"/>
    <x v="4"/>
    <n v="169000"/>
    <n v="154000"/>
    <n v="15000"/>
    <n v="0"/>
    <x v="0"/>
    <x v="2"/>
    <x v="5"/>
    <x v="5"/>
    <s v="India"/>
    <s v="taransethi@example.net"/>
    <n v="918327000000"/>
    <x v="1"/>
    <n v="70"/>
    <n v="87"/>
    <s v="Non-AC"/>
    <x v="1071"/>
    <d v="2002-12-27T00:00:00"/>
    <n v="-4.8210262828535599"/>
    <x v="2"/>
    <n v="676000"/>
    <n v="736000"/>
  </r>
  <r>
    <s v="Damini Bains"/>
    <s v="STU1143"/>
    <s v="ENR1143"/>
    <x v="4"/>
    <x v="0"/>
    <n v="4"/>
    <s v="Computer Science and Engineering"/>
    <x v="6"/>
    <n v="169000"/>
    <n v="154000"/>
    <n v="15000"/>
    <n v="0"/>
    <x v="0"/>
    <x v="1"/>
    <x v="5"/>
    <x v="5"/>
    <s v="India"/>
    <s v="asodhi@example.net"/>
    <n v="917560000000"/>
    <x v="0"/>
    <n v="69"/>
    <n v="86"/>
    <s v="Non-AC"/>
    <x v="1072"/>
    <d v="2005-11-09T00:00:00"/>
    <n v="-5.8210262828535599"/>
    <x v="4"/>
    <n v="676000"/>
    <n v="736000"/>
  </r>
  <r>
    <s v="Dhanuk Srivastava"/>
    <s v="STU261"/>
    <s v="ENR261"/>
    <x v="2"/>
    <x v="1"/>
    <n v="2"/>
    <s v="Computer Science Engineering"/>
    <x v="1"/>
    <n v="92000"/>
    <n v="77000"/>
    <n v="15000"/>
    <n v="0"/>
    <x v="0"/>
    <x v="1"/>
    <x v="0"/>
    <x v="0"/>
    <s v="India"/>
    <s v="gokul18@example.org"/>
    <n v="918285000000"/>
    <x v="3"/>
    <n v="69"/>
    <n v="79"/>
    <s v="Non-AC"/>
    <x v="1073"/>
    <d v="1997-10-18T00:00:00"/>
    <n v="-5.8210262828535599"/>
    <x v="9"/>
    <n v="184000"/>
    <n v="214000"/>
  </r>
  <r>
    <s v="Saanvi De"/>
    <s v="STU1142"/>
    <s v="ENR1142"/>
    <x v="4"/>
    <x v="0"/>
    <n v="4"/>
    <s v="Computer Science and Engineering"/>
    <x v="3"/>
    <n v="169000"/>
    <n v="154000"/>
    <n v="15000"/>
    <n v="0"/>
    <x v="0"/>
    <x v="0"/>
    <x v="5"/>
    <x v="5"/>
    <s v="India"/>
    <s v="guhasara@example.net"/>
    <n v="918160000000"/>
    <x v="3"/>
    <n v="69"/>
    <n v="86"/>
    <s v="AC"/>
    <x v="1074"/>
    <d v="2001-11-01T00:00:00"/>
    <n v="-5.8210262828535599"/>
    <x v="6"/>
    <n v="676000"/>
    <n v="736000"/>
  </r>
  <r>
    <s v="Seher Mand"/>
    <s v="STU1104"/>
    <s v="ENR1104"/>
    <x v="0"/>
    <x v="0"/>
    <n v="4"/>
    <s v="Computer Science and Engineering"/>
    <x v="0"/>
    <n v="169000"/>
    <n v="154000"/>
    <n v="15000"/>
    <n v="0"/>
    <x v="0"/>
    <x v="1"/>
    <x v="1"/>
    <x v="1"/>
    <s v="India"/>
    <s v="xsarraf@example.com"/>
    <n v="918433000000"/>
    <x v="0"/>
    <n v="69"/>
    <n v="82"/>
    <s v="Non-AC"/>
    <x v="1075"/>
    <d v="2001-09-08T00:00:00"/>
    <n v="-5.8210262828535599"/>
    <x v="6"/>
    <n v="676000"/>
    <n v="736000"/>
  </r>
  <r>
    <s v="Seher Sahni"/>
    <s v="STU255"/>
    <s v="ENR255"/>
    <x v="3"/>
    <x v="0"/>
    <n v="4"/>
    <s v="Computer Science and Engineering"/>
    <x v="5"/>
    <n v="169000"/>
    <n v="154000"/>
    <n v="15000"/>
    <n v="0"/>
    <x v="0"/>
    <x v="2"/>
    <x v="4"/>
    <x v="4"/>
    <s v="India"/>
    <s v="tailordishani@example.com"/>
    <n v="917513000000"/>
    <x v="3"/>
    <n v="69"/>
    <n v="81"/>
    <s v="AC"/>
    <x v="1076"/>
    <d v="2002-10-28T00:00:00"/>
    <n v="-5.8210262828535599"/>
    <x v="2"/>
    <n v="676000"/>
    <n v="736000"/>
  </r>
  <r>
    <s v="Sahil Rana"/>
    <s v="STU530"/>
    <s v="ENR530"/>
    <x v="1"/>
    <x v="0"/>
    <n v="4"/>
    <s v="Computer Science and Engineering"/>
    <x v="4"/>
    <n v="169000"/>
    <n v="154000"/>
    <n v="15000"/>
    <n v="0"/>
    <x v="0"/>
    <x v="2"/>
    <x v="8"/>
    <x v="7"/>
    <s v="India"/>
    <s v="shraydada@example.org"/>
    <n v="919362000000"/>
    <x v="0"/>
    <n v="69"/>
    <n v="69"/>
    <s v="Non-AC"/>
    <x v="1077"/>
    <d v="2001-09-09T00:00:00"/>
    <n v="-5.8210262828535599"/>
    <x v="6"/>
    <n v="676000"/>
    <n v="736000"/>
  </r>
  <r>
    <s v="Ahana  Shere"/>
    <s v="STU258"/>
    <s v="ENR258"/>
    <x v="2"/>
    <x v="0"/>
    <n v="4"/>
    <s v="Computer Science and Engineering"/>
    <x v="4"/>
    <n v="169000"/>
    <n v="154000"/>
    <n v="15000"/>
    <n v="0"/>
    <x v="0"/>
    <x v="2"/>
    <x v="9"/>
    <x v="8"/>
    <s v="India"/>
    <s v="kurianjayant@example.net"/>
    <n v="919780000000"/>
    <x v="2"/>
    <n v="69"/>
    <n v="62"/>
    <s v="AC"/>
    <x v="1078"/>
    <d v="2004-07-30T00:00:00"/>
    <n v="-5.8210262828535599"/>
    <x v="5"/>
    <n v="676000"/>
    <n v="736000"/>
  </r>
  <r>
    <s v="Elakshi Chauhan"/>
    <s v="STU532"/>
    <s v="ENR532"/>
    <x v="1"/>
    <x v="0"/>
    <n v="4"/>
    <s v="Computer Science and Engineering"/>
    <x v="7"/>
    <n v="169000"/>
    <n v="154000"/>
    <n v="15000"/>
    <n v="0"/>
    <x v="0"/>
    <x v="0"/>
    <x v="6"/>
    <x v="3"/>
    <s v="India"/>
    <s v="yasminwali@example.net"/>
    <n v="917187000000"/>
    <x v="4"/>
    <n v="69"/>
    <n v="87"/>
    <s v="AC"/>
    <x v="1079"/>
    <d v="2004-02-22T00:00:00"/>
    <n v="-5.8210262828535599"/>
    <x v="3"/>
    <n v="676000"/>
    <n v="736000"/>
  </r>
  <r>
    <s v="Vivaan Bhat"/>
    <s v="STU127"/>
    <s v="ENR127"/>
    <x v="0"/>
    <x v="1"/>
    <n v="2"/>
    <s v="Computer Science Engineering"/>
    <x v="3"/>
    <n v="92000"/>
    <n v="77000"/>
    <n v="15000"/>
    <n v="0"/>
    <x v="0"/>
    <x v="2"/>
    <x v="1"/>
    <x v="1"/>
    <s v="India"/>
    <s v="tchopra@example.net"/>
    <n v="917694000000"/>
    <x v="2"/>
    <n v="69"/>
    <n v="60"/>
    <s v="AC"/>
    <x v="1080"/>
    <d v="1998-04-20T00:00:00"/>
    <n v="-5.8210262828535599"/>
    <x v="9"/>
    <n v="184000"/>
    <n v="214000"/>
  </r>
  <r>
    <s v="Anika Kaur"/>
    <s v="STU590"/>
    <s v="ENR590"/>
    <x v="5"/>
    <x v="0"/>
    <n v="4"/>
    <s v="Computer Science and Engineering"/>
    <x v="4"/>
    <n v="169000"/>
    <n v="154000"/>
    <n v="15000"/>
    <n v="0"/>
    <x v="0"/>
    <x v="1"/>
    <x v="8"/>
    <x v="7"/>
    <s v="India"/>
    <s v="wasonarnav@example.com"/>
    <n v="917797000000"/>
    <x v="2"/>
    <n v="69"/>
    <n v="68"/>
    <s v="Non-AC"/>
    <x v="1081"/>
    <d v="2004-01-04T00:00:00"/>
    <n v="-5.8210262828535599"/>
    <x v="3"/>
    <n v="676000"/>
    <n v="736000"/>
  </r>
  <r>
    <s v="Vritika Mammen"/>
    <s v="STU078"/>
    <s v="ENR078"/>
    <x v="2"/>
    <x v="0"/>
    <n v="4"/>
    <s v="Computer Science and Engineering"/>
    <x v="4"/>
    <n v="169000"/>
    <n v="154000"/>
    <n v="15000"/>
    <n v="0"/>
    <x v="0"/>
    <x v="1"/>
    <x v="1"/>
    <x v="1"/>
    <s v="India"/>
    <s v="ishaansule@example.org"/>
    <n v="918272000000"/>
    <x v="0"/>
    <n v="69"/>
    <n v="89"/>
    <s v="Non-AC"/>
    <x v="1082"/>
    <d v="2001-02-01T00:00:00"/>
    <n v="-5.8210262828535599"/>
    <x v="0"/>
    <n v="676000"/>
    <n v="736000"/>
  </r>
  <r>
    <s v="Aaryahi Hayer"/>
    <s v="STU1045"/>
    <s v="ENR1045"/>
    <x v="2"/>
    <x v="0"/>
    <n v="4"/>
    <s v="Computer Science and Engineering"/>
    <x v="4"/>
    <n v="169000"/>
    <n v="154000"/>
    <n v="15000"/>
    <n v="0"/>
    <x v="0"/>
    <x v="0"/>
    <x v="2"/>
    <x v="2"/>
    <s v="India"/>
    <s v="pari51@example.net"/>
    <n v="917795000000"/>
    <x v="3"/>
    <n v="69"/>
    <n v="78"/>
    <s v="Non-AC"/>
    <x v="1083"/>
    <d v="2003-08-08T00:00:00"/>
    <n v="-5.8210262828535599"/>
    <x v="3"/>
    <n v="676000"/>
    <n v="736000"/>
  </r>
  <r>
    <s v="Divyansh Deol"/>
    <s v="STU069"/>
    <s v="ENR069"/>
    <x v="5"/>
    <x v="0"/>
    <n v="4"/>
    <s v="Computer Science and Engineering"/>
    <x v="8"/>
    <n v="169000"/>
    <n v="154000"/>
    <n v="15000"/>
    <n v="0"/>
    <x v="0"/>
    <x v="1"/>
    <x v="2"/>
    <x v="2"/>
    <s v="India"/>
    <s v="nakul52@example.net"/>
    <n v="917284000000"/>
    <x v="1"/>
    <n v="69"/>
    <n v="60"/>
    <s v="AC"/>
    <x v="1084"/>
    <d v="2000-08-25T00:00:00"/>
    <n v="-5.8210262828535599"/>
    <x v="0"/>
    <n v="676000"/>
    <n v="736000"/>
  </r>
  <r>
    <s v="Eva Dutta"/>
    <s v="STU583"/>
    <s v="ENR583"/>
    <x v="0"/>
    <x v="0"/>
    <n v="4"/>
    <s v="Computer Science and Engineering"/>
    <x v="1"/>
    <n v="169000"/>
    <n v="154000"/>
    <n v="15000"/>
    <n v="0"/>
    <x v="0"/>
    <x v="1"/>
    <x v="3"/>
    <x v="3"/>
    <s v="India"/>
    <s v="navyadada@example.com"/>
    <n v="917679000000"/>
    <x v="3"/>
    <n v="69"/>
    <n v="82"/>
    <s v="Non-AC"/>
    <x v="1085"/>
    <d v="2005-02-17T00:00:00"/>
    <n v="-5.8210262828535599"/>
    <x v="5"/>
    <n v="676000"/>
    <n v="736000"/>
  </r>
  <r>
    <s v="Ranbir Bassi"/>
    <s v="STU379"/>
    <s v="ENR379"/>
    <x v="2"/>
    <x v="1"/>
    <n v="2"/>
    <s v="Computer Science Engineering"/>
    <x v="3"/>
    <n v="92000"/>
    <n v="77000"/>
    <n v="15000"/>
    <n v="0"/>
    <x v="0"/>
    <x v="2"/>
    <x v="6"/>
    <x v="3"/>
    <s v="India"/>
    <s v="khannarhea@example.net"/>
    <n v="918218000000"/>
    <x v="1"/>
    <n v="69"/>
    <n v="75"/>
    <s v="Non-AC"/>
    <x v="1086"/>
    <d v="2000-12-26T00:00:00"/>
    <n v="-5.8210262828535599"/>
    <x v="0"/>
    <n v="184000"/>
    <n v="214000"/>
  </r>
  <r>
    <s v="Shanaya Kohli"/>
    <s v="STU1127"/>
    <s v="ENR1127"/>
    <x v="2"/>
    <x v="0"/>
    <n v="4"/>
    <s v="Computer Science and Engineering"/>
    <x v="2"/>
    <n v="169000"/>
    <n v="154000"/>
    <n v="15000"/>
    <n v="0"/>
    <x v="0"/>
    <x v="0"/>
    <x v="9"/>
    <x v="8"/>
    <s v="India"/>
    <s v="indransmangat@example.org"/>
    <n v="919177000000"/>
    <x v="0"/>
    <n v="69"/>
    <n v="71"/>
    <s v="AC"/>
    <x v="1087"/>
    <d v="2002-02-16T00:00:00"/>
    <n v="-5.8210262828535599"/>
    <x v="6"/>
    <n v="676000"/>
    <n v="736000"/>
  </r>
  <r>
    <s v="Eshani Apte"/>
    <s v="STU058"/>
    <s v="ENR058"/>
    <x v="1"/>
    <x v="0"/>
    <n v="4"/>
    <s v="Computer Science and Engineering"/>
    <x v="3"/>
    <n v="169000"/>
    <n v="154000"/>
    <n v="15000"/>
    <n v="0"/>
    <x v="0"/>
    <x v="2"/>
    <x v="5"/>
    <x v="5"/>
    <s v="India"/>
    <s v="gmani@example.net"/>
    <n v="918611000000"/>
    <x v="3"/>
    <n v="69"/>
    <n v="83"/>
    <s v="Non-AC"/>
    <x v="1088"/>
    <d v="2002-12-28T00:00:00"/>
    <n v="-5.8210262828535599"/>
    <x v="2"/>
    <n v="676000"/>
    <n v="736000"/>
  </r>
  <r>
    <s v="Sahil Khatri"/>
    <s v="STU643"/>
    <s v="ENR643"/>
    <x v="5"/>
    <x v="0"/>
    <n v="4"/>
    <s v="Computer Science and Engineering"/>
    <x v="3"/>
    <n v="169000"/>
    <n v="154000"/>
    <n v="15000"/>
    <n v="0"/>
    <x v="0"/>
    <x v="1"/>
    <x v="8"/>
    <x v="7"/>
    <s v="India"/>
    <s v="htiwari@example.com"/>
    <n v="919006000000"/>
    <x v="1"/>
    <n v="69"/>
    <n v="84"/>
    <s v="Non-AC"/>
    <x v="1089"/>
    <d v="2006-01-13T00:00:00"/>
    <n v="-5.8210262828535599"/>
    <x v="4"/>
    <n v="676000"/>
    <n v="736000"/>
  </r>
  <r>
    <s v="Vaibhav Virk"/>
    <s v="STU482"/>
    <s v="ENR482"/>
    <x v="1"/>
    <x v="1"/>
    <n v="2"/>
    <s v="Computer Science Engineering"/>
    <x v="5"/>
    <n v="92000"/>
    <n v="77000"/>
    <n v="15000"/>
    <n v="0"/>
    <x v="0"/>
    <x v="0"/>
    <x v="3"/>
    <x v="3"/>
    <s v="India"/>
    <s v="riya42@example.net"/>
    <n v="918567000000"/>
    <x v="1"/>
    <n v="69"/>
    <n v="87"/>
    <s v="AC"/>
    <x v="1090"/>
    <d v="2000-08-07T00:00:00"/>
    <n v="-5.8210262828535599"/>
    <x v="0"/>
    <n v="184000"/>
    <n v="214000"/>
  </r>
  <r>
    <s v="Indrans Chaudry"/>
    <s v="STU570"/>
    <s v="ENR570"/>
    <x v="3"/>
    <x v="0"/>
    <n v="4"/>
    <s v="Computer Science and Engineering"/>
    <x v="1"/>
    <n v="169000"/>
    <n v="154000"/>
    <n v="15000"/>
    <n v="0"/>
    <x v="0"/>
    <x v="0"/>
    <x v="7"/>
    <x v="6"/>
    <s v="India"/>
    <s v="seher37@example.org"/>
    <n v="919073000000"/>
    <x v="1"/>
    <n v="69"/>
    <n v="67"/>
    <s v="Non-AC"/>
    <x v="1091"/>
    <d v="2003-10-29T00:00:00"/>
    <n v="-5.8210262828535599"/>
    <x v="3"/>
    <n v="676000"/>
    <n v="736000"/>
  </r>
  <r>
    <s v="Miraya Atwal"/>
    <s v="STU709"/>
    <s v="ENR709"/>
    <x v="5"/>
    <x v="0"/>
    <n v="4"/>
    <s v="Computer Science and Engineering"/>
    <x v="2"/>
    <n v="169000"/>
    <n v="154000"/>
    <n v="15000"/>
    <n v="0"/>
    <x v="0"/>
    <x v="0"/>
    <x v="8"/>
    <x v="7"/>
    <s v="India"/>
    <s v="nehmat57@example.net"/>
    <n v="917579000000"/>
    <x v="0"/>
    <n v="69"/>
    <n v="84"/>
    <s v="AC"/>
    <x v="1092"/>
    <d v="2005-04-21T00:00:00"/>
    <n v="-5.8210262828535599"/>
    <x v="5"/>
    <n v="676000"/>
    <n v="736000"/>
  </r>
  <r>
    <s v="Mohanlal Mandal"/>
    <s v="STU248"/>
    <s v="ENR248"/>
    <x v="5"/>
    <x v="0"/>
    <n v="4"/>
    <s v="Computer Science and Engineering"/>
    <x v="5"/>
    <n v="169000"/>
    <n v="154000"/>
    <n v="15000"/>
    <n v="0"/>
    <x v="0"/>
    <x v="1"/>
    <x v="2"/>
    <x v="2"/>
    <s v="India"/>
    <s v="anvidalal@example.com"/>
    <n v="918399000000"/>
    <x v="0"/>
    <n v="69"/>
    <n v="75"/>
    <s v="AC"/>
    <x v="1093"/>
    <d v="2005-09-29T00:00:00"/>
    <n v="-5.8210262828535599"/>
    <x v="4"/>
    <n v="676000"/>
    <n v="736000"/>
  </r>
  <r>
    <s v="Advika Sarkar"/>
    <s v="STU1145"/>
    <s v="ENR1145"/>
    <x v="5"/>
    <x v="0"/>
    <n v="4"/>
    <s v="Computer Science and Engineering"/>
    <x v="0"/>
    <n v="169000"/>
    <n v="154000"/>
    <n v="15000"/>
    <n v="0"/>
    <x v="0"/>
    <x v="2"/>
    <x v="7"/>
    <x v="6"/>
    <s v="India"/>
    <s v="malhotrapari@example.org"/>
    <n v="919919000000"/>
    <x v="2"/>
    <n v="69"/>
    <n v="72"/>
    <s v="Non-AC"/>
    <x v="1094"/>
    <d v="2005-11-20T00:00:00"/>
    <n v="-5.8210262828535599"/>
    <x v="4"/>
    <n v="676000"/>
    <n v="736000"/>
  </r>
  <r>
    <s v="Trisha Gala"/>
    <s v="STU352"/>
    <s v="ENR352"/>
    <x v="1"/>
    <x v="0"/>
    <n v="4"/>
    <s v="Computer Science and Engineering"/>
    <x v="5"/>
    <n v="169000"/>
    <n v="154000"/>
    <n v="15000"/>
    <n v="0"/>
    <x v="0"/>
    <x v="2"/>
    <x v="3"/>
    <x v="3"/>
    <s v="India"/>
    <s v="nityamani@example.com"/>
    <n v="918343000000"/>
    <x v="2"/>
    <n v="69"/>
    <n v="78"/>
    <s v="AC"/>
    <x v="1095"/>
    <d v="2002-03-12T00:00:00"/>
    <n v="-5.8210262828535599"/>
    <x v="6"/>
    <n v="676000"/>
    <n v="736000"/>
  </r>
  <r>
    <s v="Yuvraj  Rastogi"/>
    <s v="STU426"/>
    <s v="ENR426"/>
    <x v="1"/>
    <x v="0"/>
    <n v="4"/>
    <s v="Computer Science and Engineering"/>
    <x v="4"/>
    <n v="169000"/>
    <n v="154000"/>
    <n v="15000"/>
    <n v="0"/>
    <x v="0"/>
    <x v="0"/>
    <x v="0"/>
    <x v="0"/>
    <s v="India"/>
    <s v="zeeshan70@example.org"/>
    <n v="918160000000"/>
    <x v="1"/>
    <n v="69"/>
    <n v="89"/>
    <s v="AC"/>
    <x v="1096"/>
    <d v="2003-10-15T00:00:00"/>
    <n v="-5.8210262828535599"/>
    <x v="3"/>
    <n v="676000"/>
    <n v="736000"/>
  </r>
  <r>
    <s v="Bhamini Lad"/>
    <s v="STU178"/>
    <s v="ENR178"/>
    <x v="2"/>
    <x v="0"/>
    <n v="4"/>
    <s v="Computer Science and Engineering"/>
    <x v="1"/>
    <n v="169000"/>
    <n v="154000"/>
    <n v="15000"/>
    <n v="0"/>
    <x v="0"/>
    <x v="2"/>
    <x v="8"/>
    <x v="7"/>
    <s v="India"/>
    <s v="yuvaankrishnan@example.org"/>
    <n v="917352000000"/>
    <x v="0"/>
    <n v="69"/>
    <n v="75"/>
    <s v="AC"/>
    <x v="1097"/>
    <d v="2002-03-27T00:00:00"/>
    <n v="-5.8210262828535599"/>
    <x v="6"/>
    <n v="676000"/>
    <n v="736000"/>
  </r>
  <r>
    <s v="Mamooty Ganguly"/>
    <s v="STU1007"/>
    <s v="ENR1007"/>
    <x v="2"/>
    <x v="0"/>
    <n v="4"/>
    <s v="Computer Science and Engineering"/>
    <x v="5"/>
    <n v="169000"/>
    <n v="154000"/>
    <n v="15000"/>
    <n v="0"/>
    <x v="0"/>
    <x v="2"/>
    <x v="9"/>
    <x v="8"/>
    <s v="India"/>
    <s v="fganesh@example.com"/>
    <n v="919481000000"/>
    <x v="2"/>
    <n v="69"/>
    <n v="60"/>
    <s v="Non-AC"/>
    <x v="1098"/>
    <d v="2003-06-02T00:00:00"/>
    <n v="-5.8210262828535599"/>
    <x v="2"/>
    <n v="676000"/>
    <n v="736000"/>
  </r>
  <r>
    <s v="Shray Zacharia"/>
    <s v="STU441"/>
    <s v="ENR441"/>
    <x v="3"/>
    <x v="1"/>
    <n v="2"/>
    <s v="Computer Science Engineering"/>
    <x v="3"/>
    <n v="92000"/>
    <n v="77000"/>
    <n v="15000"/>
    <n v="0"/>
    <x v="0"/>
    <x v="2"/>
    <x v="6"/>
    <x v="3"/>
    <s v="India"/>
    <s v="hchahal@example.net"/>
    <n v="917789000000"/>
    <x v="4"/>
    <n v="69"/>
    <n v="84"/>
    <s v="AC"/>
    <x v="1099"/>
    <d v="1997-11-12T00:00:00"/>
    <n v="-5.8210262828535599"/>
    <x v="9"/>
    <n v="184000"/>
    <n v="214000"/>
  </r>
  <r>
    <s v="Bhamini Sami"/>
    <s v="STU143"/>
    <s v="ENR143"/>
    <x v="2"/>
    <x v="1"/>
    <n v="2"/>
    <s v="Computer Science Engineering"/>
    <x v="5"/>
    <n v="92000"/>
    <n v="77000"/>
    <n v="15000"/>
    <n v="0"/>
    <x v="0"/>
    <x v="2"/>
    <x v="7"/>
    <x v="6"/>
    <s v="India"/>
    <s v="psubramanian@example.com"/>
    <n v="918774000000"/>
    <x v="2"/>
    <n v="69"/>
    <n v="85"/>
    <s v="Non-AC"/>
    <x v="1100"/>
    <d v="1997-12-26T00:00:00"/>
    <n v="-5.8210262828535599"/>
    <x v="9"/>
    <n v="184000"/>
    <n v="214000"/>
  </r>
  <r>
    <s v="Riya Kara"/>
    <s v="STU984"/>
    <s v="ENR984"/>
    <x v="2"/>
    <x v="0"/>
    <n v="4"/>
    <s v="Computer Science and Engineering"/>
    <x v="0"/>
    <n v="169000"/>
    <n v="154000"/>
    <n v="15000"/>
    <n v="0"/>
    <x v="0"/>
    <x v="0"/>
    <x v="0"/>
    <x v="0"/>
    <s v="India"/>
    <s v="emir40@example.net"/>
    <n v="919179000000"/>
    <x v="2"/>
    <n v="69"/>
    <n v="89"/>
    <s v="AC"/>
    <x v="1101"/>
    <d v="2004-08-03T00:00:00"/>
    <n v="-5.8210262828535599"/>
    <x v="5"/>
    <n v="676000"/>
    <n v="736000"/>
  </r>
  <r>
    <s v="Taimur Dhaliwal"/>
    <s v="STU205"/>
    <s v="ENR205"/>
    <x v="0"/>
    <x v="0"/>
    <n v="4"/>
    <s v="Computer Science and Engineering"/>
    <x v="9"/>
    <n v="169000"/>
    <n v="154000"/>
    <n v="15000"/>
    <n v="0"/>
    <x v="0"/>
    <x v="2"/>
    <x v="6"/>
    <x v="3"/>
    <s v="India"/>
    <s v="divij02@example.org"/>
    <n v="917003000000"/>
    <x v="0"/>
    <n v="69"/>
    <n v="70"/>
    <s v="AC"/>
    <x v="1102"/>
    <d v="2004-02-28T00:00:00"/>
    <n v="-5.8210262828535599"/>
    <x v="3"/>
    <n v="676000"/>
    <n v="736000"/>
  </r>
  <r>
    <s v="Advika Goel"/>
    <s v="STU746"/>
    <s v="ENR746"/>
    <x v="2"/>
    <x v="0"/>
    <n v="4"/>
    <s v="Computer Science and Engineering"/>
    <x v="5"/>
    <n v="169000"/>
    <n v="154000"/>
    <n v="15000"/>
    <n v="0"/>
    <x v="0"/>
    <x v="1"/>
    <x v="9"/>
    <x v="8"/>
    <s v="India"/>
    <s v="oahluwalia@example.com"/>
    <n v="918151000000"/>
    <x v="4"/>
    <n v="69"/>
    <n v="70"/>
    <s v="Non-AC"/>
    <x v="1103"/>
    <d v="2001-07-18T00:00:00"/>
    <n v="-5.8210262828535599"/>
    <x v="6"/>
    <n v="676000"/>
    <n v="736000"/>
  </r>
  <r>
    <s v="Ranbir Sami"/>
    <s v="STU1061"/>
    <s v="ENR1061"/>
    <x v="3"/>
    <x v="0"/>
    <n v="4"/>
    <s v="Computer Science and Engineering"/>
    <x v="4"/>
    <n v="169000"/>
    <n v="154000"/>
    <n v="15000"/>
    <n v="0"/>
    <x v="0"/>
    <x v="1"/>
    <x v="6"/>
    <x v="3"/>
    <s v="India"/>
    <s v="bahlvritika@example.com"/>
    <n v="917674000000"/>
    <x v="3"/>
    <n v="69"/>
    <n v="68"/>
    <s v="Non-AC"/>
    <x v="1104"/>
    <d v="2004-09-19T00:00:00"/>
    <n v="-5.8210262828535599"/>
    <x v="5"/>
    <n v="676000"/>
    <n v="736000"/>
  </r>
  <r>
    <s v="Dhanush Lad"/>
    <s v="STU1059"/>
    <s v="ENR1059"/>
    <x v="0"/>
    <x v="0"/>
    <n v="4"/>
    <s v="Computer Science and Engineering"/>
    <x v="3"/>
    <n v="169000"/>
    <n v="154000"/>
    <n v="15000"/>
    <n v="0"/>
    <x v="0"/>
    <x v="0"/>
    <x v="0"/>
    <x v="0"/>
    <s v="India"/>
    <s v="rattannavya@example.net"/>
    <n v="917471000000"/>
    <x v="2"/>
    <n v="69"/>
    <n v="86"/>
    <s v="AC"/>
    <x v="1105"/>
    <d v="2004-01-08T00:00:00"/>
    <n v="-5.8210262828535599"/>
    <x v="3"/>
    <n v="676000"/>
    <n v="736000"/>
  </r>
  <r>
    <s v="Hunar Deol"/>
    <s v="STU342"/>
    <s v="ENR342"/>
    <x v="5"/>
    <x v="1"/>
    <n v="2"/>
    <s v="Computer Science Engineering"/>
    <x v="5"/>
    <n v="92000"/>
    <n v="77000"/>
    <n v="15000"/>
    <n v="0"/>
    <x v="0"/>
    <x v="1"/>
    <x v="8"/>
    <x v="7"/>
    <s v="India"/>
    <s v="iyengarparinaaz@example.net"/>
    <n v="917169000000"/>
    <x v="2"/>
    <n v="69"/>
    <n v="79"/>
    <s v="Non-AC"/>
    <x v="1106"/>
    <d v="2000-04-25T00:00:00"/>
    <n v="-5.8210262828535599"/>
    <x v="1"/>
    <n v="184000"/>
    <n v="214000"/>
  </r>
  <r>
    <s v="Shamik Sarin"/>
    <s v="STU726"/>
    <s v="ENR726"/>
    <x v="4"/>
    <x v="0"/>
    <n v="4"/>
    <s v="Computer Science and Engineering"/>
    <x v="7"/>
    <n v="169000"/>
    <n v="154000"/>
    <n v="15000"/>
    <n v="0"/>
    <x v="0"/>
    <x v="2"/>
    <x v="0"/>
    <x v="0"/>
    <s v="India"/>
    <s v="bhavinbora@example.com"/>
    <n v="917969000000"/>
    <x v="0"/>
    <n v="69"/>
    <n v="82"/>
    <s v="AC"/>
    <x v="1107"/>
    <d v="2003-12-10T00:00:00"/>
    <n v="-5.8210262828535599"/>
    <x v="3"/>
    <n v="676000"/>
    <n v="736000"/>
  </r>
  <r>
    <s v="Kiaan Chand"/>
    <s v="STU1191"/>
    <s v="ENR1191"/>
    <x v="1"/>
    <x v="0"/>
    <n v="4"/>
    <s v="Computer Science and Engineering"/>
    <x v="5"/>
    <n v="169000"/>
    <n v="154000"/>
    <n v="15000"/>
    <n v="0"/>
    <x v="0"/>
    <x v="2"/>
    <x v="1"/>
    <x v="1"/>
    <s v="India"/>
    <s v="qganguly@example.com"/>
    <n v="918163000000"/>
    <x v="2"/>
    <n v="69"/>
    <n v="66"/>
    <s v="AC"/>
    <x v="1108"/>
    <d v="2001-05-17T00:00:00"/>
    <n v="-5.8210262828535599"/>
    <x v="0"/>
    <n v="676000"/>
    <n v="736000"/>
  </r>
  <r>
    <s v="Rhea Butala"/>
    <s v="STU361"/>
    <s v="ENR361"/>
    <x v="2"/>
    <x v="1"/>
    <n v="2"/>
    <s v="Computer Science Engineering"/>
    <x v="1"/>
    <n v="92000"/>
    <n v="77000"/>
    <n v="15000"/>
    <n v="0"/>
    <x v="0"/>
    <x v="1"/>
    <x v="3"/>
    <x v="3"/>
    <s v="India"/>
    <s v="nishithsabharwal@example.com"/>
    <n v="917223000000"/>
    <x v="3"/>
    <n v="69"/>
    <n v="76"/>
    <s v="AC"/>
    <x v="1109"/>
    <d v="1999-01-01T00:00:00"/>
    <n v="-5.8210262828535599"/>
    <x v="7"/>
    <n v="184000"/>
    <n v="214000"/>
  </r>
  <r>
    <s v="Umang Dara"/>
    <s v="STU328"/>
    <s v="ENR328"/>
    <x v="0"/>
    <x v="1"/>
    <n v="2"/>
    <s v="Computer Science Engineering"/>
    <x v="4"/>
    <n v="92000"/>
    <n v="77000"/>
    <n v="15000"/>
    <n v="0"/>
    <x v="0"/>
    <x v="2"/>
    <x v="6"/>
    <x v="3"/>
    <s v="India"/>
    <s v="gollakaira@example.com"/>
    <n v="918789000000"/>
    <x v="4"/>
    <n v="69"/>
    <n v="78"/>
    <s v="AC"/>
    <x v="1110"/>
    <d v="1997-11-30T00:00:00"/>
    <n v="-5.8210262828535599"/>
    <x v="9"/>
    <n v="184000"/>
    <n v="214000"/>
  </r>
  <r>
    <s v="Zara Sangha"/>
    <s v="STU1027"/>
    <s v="ENR1027"/>
    <x v="4"/>
    <x v="0"/>
    <n v="4"/>
    <s v="Computer Science and Engineering"/>
    <x v="2"/>
    <n v="169000"/>
    <n v="154000"/>
    <n v="15000"/>
    <n v="0"/>
    <x v="0"/>
    <x v="0"/>
    <x v="0"/>
    <x v="0"/>
    <s v="India"/>
    <s v="zaggarwal@example.com"/>
    <n v="919584000000"/>
    <x v="4"/>
    <n v="69"/>
    <n v="88"/>
    <s v="AC"/>
    <x v="1111"/>
    <d v="2004-03-05T00:00:00"/>
    <n v="-5.8210262828535599"/>
    <x v="3"/>
    <n v="676000"/>
    <n v="736000"/>
  </r>
  <r>
    <s v="Prisha Wable"/>
    <s v="STU170"/>
    <s v="ENR170"/>
    <x v="5"/>
    <x v="1"/>
    <n v="2"/>
    <s v="Computer Science Engineering"/>
    <x v="1"/>
    <n v="92000"/>
    <n v="77000"/>
    <n v="15000"/>
    <n v="0"/>
    <x v="0"/>
    <x v="1"/>
    <x v="9"/>
    <x v="8"/>
    <s v="India"/>
    <s v="aainaanne@example.org"/>
    <n v="917395000000"/>
    <x v="0"/>
    <n v="69"/>
    <n v="87"/>
    <s v="Non-AC"/>
    <x v="1112"/>
    <d v="1999-01-15T00:00:00"/>
    <n v="-5.8210262828535599"/>
    <x v="7"/>
    <n v="184000"/>
    <n v="214000"/>
  </r>
  <r>
    <s v="Fateh Setty"/>
    <s v="STU327"/>
    <s v="ENR327"/>
    <x v="4"/>
    <x v="0"/>
    <n v="4"/>
    <s v="Computer Science and Engineering"/>
    <x v="9"/>
    <n v="169000"/>
    <n v="154000"/>
    <n v="15000"/>
    <n v="0"/>
    <x v="0"/>
    <x v="1"/>
    <x v="2"/>
    <x v="2"/>
    <s v="India"/>
    <s v="tsahni@example.org"/>
    <n v="918225000000"/>
    <x v="1"/>
    <n v="69"/>
    <n v="87"/>
    <s v="Non-AC"/>
    <x v="1113"/>
    <d v="2006-03-17T00:00:00"/>
    <n v="-5.8210262828535599"/>
    <x v="4"/>
    <n v="676000"/>
    <n v="736000"/>
  </r>
  <r>
    <s v="Kashvi Garg"/>
    <s v="STU779"/>
    <s v="ENR779"/>
    <x v="3"/>
    <x v="0"/>
    <n v="4"/>
    <s v="Computer Science and Engineering"/>
    <x v="9"/>
    <n v="169000"/>
    <n v="154000"/>
    <n v="15000"/>
    <n v="0"/>
    <x v="0"/>
    <x v="1"/>
    <x v="4"/>
    <x v="4"/>
    <s v="India"/>
    <s v="shamik57@example.net"/>
    <n v="919914000000"/>
    <x v="4"/>
    <n v="69"/>
    <n v="73"/>
    <s v="Non-AC"/>
    <x v="1114"/>
    <d v="2004-06-24T00:00:00"/>
    <n v="-5.8210262828535599"/>
    <x v="3"/>
    <n v="676000"/>
    <n v="736000"/>
  </r>
  <r>
    <s v="Hridaan Chaudhari"/>
    <s v="STU1042"/>
    <s v="ENR1042"/>
    <x v="1"/>
    <x v="0"/>
    <n v="4"/>
    <s v="Computer Science and Engineering"/>
    <x v="6"/>
    <n v="169000"/>
    <n v="154000"/>
    <n v="15000"/>
    <n v="0"/>
    <x v="0"/>
    <x v="0"/>
    <x v="5"/>
    <x v="5"/>
    <s v="India"/>
    <s v="mangathridaan@example.com"/>
    <n v="917184000000"/>
    <x v="0"/>
    <n v="69"/>
    <n v="81"/>
    <s v="AC"/>
    <x v="1115"/>
    <d v="2006-06-22T00:00:00"/>
    <n v="-5.8210262828535599"/>
    <x v="4"/>
    <n v="676000"/>
    <n v="736000"/>
  </r>
  <r>
    <s v="Zeeshan Chadha"/>
    <s v="STU193"/>
    <s v="ENR193"/>
    <x v="5"/>
    <x v="0"/>
    <n v="4"/>
    <s v="Computer Science and Engineering"/>
    <x v="6"/>
    <n v="169000"/>
    <n v="154000"/>
    <n v="15000"/>
    <n v="0"/>
    <x v="0"/>
    <x v="0"/>
    <x v="6"/>
    <x v="3"/>
    <s v="India"/>
    <s v="qdass@example.net"/>
    <n v="918480000000"/>
    <x v="3"/>
    <n v="69"/>
    <n v="60"/>
    <s v="Non-AC"/>
    <x v="1116"/>
    <d v="2003-12-22T00:00:00"/>
    <n v="-5.8210262828535599"/>
    <x v="3"/>
    <n v="676000"/>
    <n v="736000"/>
  </r>
  <r>
    <s v="Nitara Mall"/>
    <s v="STU723"/>
    <s v="ENR723"/>
    <x v="0"/>
    <x v="0"/>
    <n v="4"/>
    <s v="Computer Science and Engineering"/>
    <x v="0"/>
    <n v="169000"/>
    <n v="154000"/>
    <n v="15000"/>
    <n v="0"/>
    <x v="0"/>
    <x v="1"/>
    <x v="2"/>
    <x v="2"/>
    <s v="India"/>
    <s v="pgoda@example.com"/>
    <n v="917246000000"/>
    <x v="4"/>
    <n v="69"/>
    <n v="79"/>
    <s v="Non-AC"/>
    <x v="1117"/>
    <d v="2005-06-19T00:00:00"/>
    <n v="-5.8210262828535599"/>
    <x v="5"/>
    <n v="676000"/>
    <n v="736000"/>
  </r>
  <r>
    <s v="Raghav Bahl"/>
    <s v="STU048"/>
    <s v="ENR048"/>
    <x v="5"/>
    <x v="0"/>
    <n v="4"/>
    <s v="Computer Science and Engineering"/>
    <x v="4"/>
    <n v="169000"/>
    <n v="154000"/>
    <n v="15000"/>
    <n v="0"/>
    <x v="0"/>
    <x v="1"/>
    <x v="5"/>
    <x v="5"/>
    <s v="India"/>
    <s v="rameshbiju@example.net"/>
    <n v="918598000000"/>
    <x v="3"/>
    <n v="69"/>
    <n v="72"/>
    <s v="Non-AC"/>
    <x v="1118"/>
    <d v="2004-05-18T00:00:00"/>
    <n v="-5.8210262828535599"/>
    <x v="3"/>
    <n v="676000"/>
    <n v="736000"/>
  </r>
  <r>
    <s v="Taran Acharya"/>
    <s v="STU767"/>
    <s v="ENR767"/>
    <x v="4"/>
    <x v="0"/>
    <n v="4"/>
    <s v="Computer Science and Engineering"/>
    <x v="4"/>
    <n v="169000"/>
    <n v="154000"/>
    <n v="15000"/>
    <n v="0"/>
    <x v="0"/>
    <x v="0"/>
    <x v="0"/>
    <x v="0"/>
    <s v="India"/>
    <s v="ojasviswanathan@example.org"/>
    <n v="918426000000"/>
    <x v="1"/>
    <n v="68"/>
    <n v="76"/>
    <s v="Non-AC"/>
    <x v="1119"/>
    <d v="2001-09-27T00:00:00"/>
    <n v="-6.8210262828535599"/>
    <x v="6"/>
    <n v="676000"/>
    <n v="736000"/>
  </r>
  <r>
    <s v="Dharmajan Mallick"/>
    <s v="STU203"/>
    <s v="ENR203"/>
    <x v="2"/>
    <x v="1"/>
    <n v="2"/>
    <s v="Computer Science Engineering"/>
    <x v="6"/>
    <n v="92000"/>
    <n v="77000"/>
    <n v="15000"/>
    <n v="0"/>
    <x v="0"/>
    <x v="0"/>
    <x v="2"/>
    <x v="2"/>
    <s v="India"/>
    <s v="randhawaarhaan@example.org"/>
    <n v="917162000000"/>
    <x v="0"/>
    <n v="68"/>
    <n v="82"/>
    <s v="Non-AC"/>
    <x v="1120"/>
    <d v="2000-04-08T00:00:00"/>
    <n v="-6.8210262828535599"/>
    <x v="1"/>
    <n v="184000"/>
    <n v="214000"/>
  </r>
  <r>
    <s v="Sara Sarna"/>
    <s v="STU435"/>
    <s v="ENR435"/>
    <x v="2"/>
    <x v="1"/>
    <n v="2"/>
    <s v="Computer Science Engineering"/>
    <x v="1"/>
    <n v="92000"/>
    <n v="77000"/>
    <n v="15000"/>
    <n v="0"/>
    <x v="0"/>
    <x v="1"/>
    <x v="7"/>
    <x v="6"/>
    <s v="India"/>
    <s v="sureshvedika@example.net"/>
    <n v="917483000000"/>
    <x v="1"/>
    <n v="68"/>
    <n v="60"/>
    <s v="AC"/>
    <x v="1121"/>
    <d v="1997-06-01T00:00:00"/>
    <n v="-6.8210262828535599"/>
    <x v="8"/>
    <n v="184000"/>
    <n v="214000"/>
  </r>
  <r>
    <s v="Shanaya Cherian"/>
    <s v="STU631"/>
    <s v="ENR631"/>
    <x v="2"/>
    <x v="0"/>
    <n v="4"/>
    <s v="Computer Science and Engineering"/>
    <x v="3"/>
    <n v="169000"/>
    <n v="154000"/>
    <n v="15000"/>
    <n v="0"/>
    <x v="0"/>
    <x v="1"/>
    <x v="7"/>
    <x v="6"/>
    <s v="India"/>
    <s v="golaaradhya@example.com"/>
    <n v="919010000000"/>
    <x v="2"/>
    <n v="68"/>
    <n v="92"/>
    <s v="AC"/>
    <x v="1122"/>
    <d v="2005-02-06T00:00:00"/>
    <n v="-6.8210262828535599"/>
    <x v="5"/>
    <n v="676000"/>
    <n v="736000"/>
  </r>
  <r>
    <s v="Ayesha Kara"/>
    <s v="STU400"/>
    <s v="ENR400"/>
    <x v="4"/>
    <x v="1"/>
    <n v="2"/>
    <s v="Computer Science Engineering"/>
    <x v="4"/>
    <n v="92000"/>
    <n v="77000"/>
    <n v="15000"/>
    <n v="0"/>
    <x v="0"/>
    <x v="0"/>
    <x v="1"/>
    <x v="1"/>
    <s v="India"/>
    <s v="phayre@example.com"/>
    <n v="919105000000"/>
    <x v="2"/>
    <n v="68"/>
    <n v="79"/>
    <s v="AC"/>
    <x v="1123"/>
    <d v="1999-05-09T00:00:00"/>
    <n v="-6.8210262828535599"/>
    <x v="7"/>
    <n v="184000"/>
    <n v="214000"/>
  </r>
  <r>
    <s v="Purab Shukla"/>
    <s v="STU131"/>
    <s v="ENR131"/>
    <x v="2"/>
    <x v="1"/>
    <n v="2"/>
    <s v="Computer Science Engineering"/>
    <x v="3"/>
    <n v="92000"/>
    <n v="77000"/>
    <n v="15000"/>
    <n v="0"/>
    <x v="0"/>
    <x v="2"/>
    <x v="2"/>
    <x v="2"/>
    <s v="India"/>
    <s v="zeeshanbuch@example.org"/>
    <n v="917495000000"/>
    <x v="2"/>
    <n v="68"/>
    <n v="76"/>
    <s v="Non-AC"/>
    <x v="1124"/>
    <d v="1999-10-06T00:00:00"/>
    <n v="-6.8210262828535599"/>
    <x v="1"/>
    <n v="184000"/>
    <n v="214000"/>
  </r>
  <r>
    <s v="Alia Trivedi"/>
    <s v="STU617"/>
    <s v="ENR617"/>
    <x v="4"/>
    <x v="0"/>
    <n v="4"/>
    <s v="Computer Science and Engineering"/>
    <x v="8"/>
    <n v="169000"/>
    <n v="154000"/>
    <n v="15000"/>
    <n v="0"/>
    <x v="0"/>
    <x v="2"/>
    <x v="5"/>
    <x v="5"/>
    <s v="India"/>
    <s v="sathenavya@example.com"/>
    <n v="919459000000"/>
    <x v="2"/>
    <n v="68"/>
    <n v="74"/>
    <s v="AC"/>
    <x v="1125"/>
    <d v="2002-09-08T00:00:00"/>
    <n v="-6.8210262828535599"/>
    <x v="2"/>
    <n v="676000"/>
    <n v="736000"/>
  </r>
  <r>
    <s v="Hunar Hans"/>
    <s v="STU753"/>
    <s v="ENR753"/>
    <x v="3"/>
    <x v="0"/>
    <n v="4"/>
    <s v="Computer Science and Engineering"/>
    <x v="0"/>
    <n v="169000"/>
    <n v="154000"/>
    <n v="15000"/>
    <n v="0"/>
    <x v="0"/>
    <x v="1"/>
    <x v="7"/>
    <x v="6"/>
    <s v="India"/>
    <s v="chopraeshani@example.org"/>
    <n v="917063000000"/>
    <x v="0"/>
    <n v="68"/>
    <n v="65"/>
    <s v="AC"/>
    <x v="1126"/>
    <d v="2006-04-11T00:00:00"/>
    <n v="-6.8210262828535599"/>
    <x v="4"/>
    <n v="676000"/>
    <n v="736000"/>
  </r>
  <r>
    <s v="Zara Mandal"/>
    <s v="STU1153"/>
    <s v="ENR1153"/>
    <x v="3"/>
    <x v="0"/>
    <n v="4"/>
    <s v="Computer Science and Engineering"/>
    <x v="5"/>
    <n v="169000"/>
    <n v="154000"/>
    <n v="15000"/>
    <n v="0"/>
    <x v="0"/>
    <x v="1"/>
    <x v="2"/>
    <x v="2"/>
    <s v="India"/>
    <s v="vidurbajwa@example.org"/>
    <n v="918575000000"/>
    <x v="1"/>
    <n v="68"/>
    <n v="66"/>
    <s v="Non-AC"/>
    <x v="1127"/>
    <d v="2001-08-18T00:00:00"/>
    <n v="-6.8210262828535599"/>
    <x v="6"/>
    <n v="676000"/>
    <n v="736000"/>
  </r>
  <r>
    <s v="Bhamini Bhatnagar"/>
    <s v="STU134"/>
    <s v="ENR134"/>
    <x v="4"/>
    <x v="0"/>
    <n v="4"/>
    <s v="Computer Science and Engineering"/>
    <x v="0"/>
    <n v="169000"/>
    <n v="154000"/>
    <n v="15000"/>
    <n v="0"/>
    <x v="0"/>
    <x v="2"/>
    <x v="0"/>
    <x v="0"/>
    <s v="India"/>
    <s v="kashvi43@example.org"/>
    <n v="919427000000"/>
    <x v="1"/>
    <n v="68"/>
    <n v="65"/>
    <s v="Non-AC"/>
    <x v="1128"/>
    <d v="2001-04-05T00:00:00"/>
    <n v="-6.8210262828535599"/>
    <x v="0"/>
    <n v="676000"/>
    <n v="736000"/>
  </r>
  <r>
    <s v="Raghav Walia"/>
    <s v="STU178"/>
    <s v="ENR178"/>
    <x v="2"/>
    <x v="1"/>
    <n v="2"/>
    <s v="Computer Science Engineering"/>
    <x v="1"/>
    <n v="92000"/>
    <n v="77000"/>
    <n v="15000"/>
    <n v="0"/>
    <x v="0"/>
    <x v="1"/>
    <x v="2"/>
    <x v="2"/>
    <s v="India"/>
    <s v="sumer60@example.com"/>
    <n v="919456000000"/>
    <x v="3"/>
    <n v="68"/>
    <n v="89"/>
    <s v="AC"/>
    <x v="1129"/>
    <d v="1999-10-24T00:00:00"/>
    <n v="-6.8210262828535599"/>
    <x v="1"/>
    <n v="184000"/>
    <n v="214000"/>
  </r>
  <r>
    <s v="Yakshit Sawhney"/>
    <s v="STU139"/>
    <s v="ENR139"/>
    <x v="2"/>
    <x v="0"/>
    <n v="4"/>
    <s v="Computer Science and Engineering"/>
    <x v="6"/>
    <n v="169000"/>
    <n v="154000"/>
    <n v="15000"/>
    <n v="0"/>
    <x v="0"/>
    <x v="2"/>
    <x v="5"/>
    <x v="5"/>
    <s v="India"/>
    <s v="adah57@example.com"/>
    <n v="918123000000"/>
    <x v="1"/>
    <n v="68"/>
    <n v="71"/>
    <s v="Non-AC"/>
    <x v="1130"/>
    <d v="2001-04-11T00:00:00"/>
    <n v="-6.8210262828535599"/>
    <x v="0"/>
    <n v="676000"/>
    <n v="736000"/>
  </r>
  <r>
    <s v="Neelofar Goyal"/>
    <s v="STU1160"/>
    <s v="ENR1160"/>
    <x v="2"/>
    <x v="0"/>
    <n v="4"/>
    <s v="Computer Science and Engineering"/>
    <x v="5"/>
    <n v="169000"/>
    <n v="154000"/>
    <n v="15000"/>
    <n v="0"/>
    <x v="0"/>
    <x v="0"/>
    <x v="1"/>
    <x v="1"/>
    <s v="India"/>
    <s v="seshadridevansh@example.com"/>
    <n v="917400000000"/>
    <x v="1"/>
    <n v="68"/>
    <n v="63"/>
    <s v="Non-AC"/>
    <x v="1131"/>
    <d v="2004-01-09T00:00:00"/>
    <n v="-6.8210262828535599"/>
    <x v="3"/>
    <n v="676000"/>
    <n v="736000"/>
  </r>
  <r>
    <s v="Tara Gill"/>
    <s v="STU149"/>
    <s v="ENR149"/>
    <x v="0"/>
    <x v="1"/>
    <n v="2"/>
    <s v="Computer Science Engineering"/>
    <x v="6"/>
    <n v="92000"/>
    <n v="77000"/>
    <n v="15000"/>
    <n v="0"/>
    <x v="0"/>
    <x v="2"/>
    <x v="6"/>
    <x v="3"/>
    <s v="India"/>
    <s v="gatik01@example.org"/>
    <n v="918313000000"/>
    <x v="3"/>
    <n v="68"/>
    <n v="66"/>
    <s v="AC"/>
    <x v="1132"/>
    <d v="1997-06-08T00:00:00"/>
    <n v="-6.8210262828535599"/>
    <x v="8"/>
    <n v="184000"/>
    <n v="214000"/>
  </r>
  <r>
    <s v="Anika Gokhale"/>
    <s v="STU743"/>
    <s v="ENR743"/>
    <x v="5"/>
    <x v="0"/>
    <n v="4"/>
    <s v="Computer Science and Engineering"/>
    <x v="2"/>
    <n v="169000"/>
    <n v="154000"/>
    <n v="15000"/>
    <n v="0"/>
    <x v="0"/>
    <x v="1"/>
    <x v="5"/>
    <x v="5"/>
    <s v="India"/>
    <s v="ndeep@example.org"/>
    <n v="919627000000"/>
    <x v="3"/>
    <n v="68"/>
    <n v="84"/>
    <s v="Non-AC"/>
    <x v="1133"/>
    <d v="2002-01-16T00:00:00"/>
    <n v="-6.8210262828535599"/>
    <x v="6"/>
    <n v="676000"/>
    <n v="736000"/>
  </r>
  <r>
    <s v="Vivaan Grewal"/>
    <s v="STU1177"/>
    <s v="ENR1177"/>
    <x v="5"/>
    <x v="0"/>
    <n v="4"/>
    <s v="Computer Science and Engineering"/>
    <x v="3"/>
    <n v="169000"/>
    <n v="154000"/>
    <n v="15000"/>
    <n v="0"/>
    <x v="0"/>
    <x v="0"/>
    <x v="5"/>
    <x v="5"/>
    <s v="India"/>
    <s v="zara79@example.com"/>
    <n v="917403000000"/>
    <x v="3"/>
    <n v="68"/>
    <n v="74"/>
    <s v="AC"/>
    <x v="1134"/>
    <d v="2003-08-05T00:00:00"/>
    <n v="-6.8210262828535599"/>
    <x v="3"/>
    <n v="676000"/>
    <n v="736000"/>
  </r>
  <r>
    <s v="Uthkarsh Suri"/>
    <s v="STU1175"/>
    <s v="ENR1175"/>
    <x v="5"/>
    <x v="0"/>
    <n v="4"/>
    <s v="Computer Science and Engineering"/>
    <x v="5"/>
    <n v="169000"/>
    <n v="154000"/>
    <n v="15000"/>
    <n v="0"/>
    <x v="0"/>
    <x v="0"/>
    <x v="1"/>
    <x v="1"/>
    <s v="India"/>
    <s v="prishakhatri@example.org"/>
    <n v="917591000000"/>
    <x v="4"/>
    <n v="68"/>
    <n v="91"/>
    <s v="Non-AC"/>
    <x v="1135"/>
    <d v="2004-08-15T00:00:00"/>
    <n v="-6.8210262828535599"/>
    <x v="5"/>
    <n v="676000"/>
    <n v="736000"/>
  </r>
  <r>
    <s v="Neelofar Lall"/>
    <s v="STU676"/>
    <s v="ENR676"/>
    <x v="4"/>
    <x v="0"/>
    <n v="4"/>
    <s v="Computer Science and Engineering"/>
    <x v="9"/>
    <n v="169000"/>
    <n v="154000"/>
    <n v="15000"/>
    <n v="0"/>
    <x v="0"/>
    <x v="2"/>
    <x v="2"/>
    <x v="2"/>
    <s v="India"/>
    <s v="hkata@example.com"/>
    <n v="918348000000"/>
    <x v="3"/>
    <n v="68"/>
    <n v="91"/>
    <s v="Non-AC"/>
    <x v="1136"/>
    <d v="2003-06-07T00:00:00"/>
    <n v="-6.8210262828535599"/>
    <x v="2"/>
    <n v="676000"/>
    <n v="736000"/>
  </r>
  <r>
    <s v="Suhana Deshpande"/>
    <s v="STU1174"/>
    <s v="ENR1174"/>
    <x v="3"/>
    <x v="0"/>
    <n v="4"/>
    <s v="Computer Science and Engineering"/>
    <x v="4"/>
    <n v="169000"/>
    <n v="154000"/>
    <n v="15000"/>
    <n v="0"/>
    <x v="0"/>
    <x v="0"/>
    <x v="2"/>
    <x v="2"/>
    <s v="India"/>
    <s v="bavashamik@example.net"/>
    <n v="918365000000"/>
    <x v="1"/>
    <n v="68"/>
    <n v="62"/>
    <s v="AC"/>
    <x v="1137"/>
    <d v="2005-07-01T00:00:00"/>
    <n v="-6.8210262828535599"/>
    <x v="5"/>
    <n v="676000"/>
    <n v="736000"/>
  </r>
  <r>
    <s v="Divyansh Lalla"/>
    <s v="STU408"/>
    <s v="ENR408"/>
    <x v="5"/>
    <x v="1"/>
    <n v="2"/>
    <s v="Computer Science Engineering"/>
    <x v="4"/>
    <n v="92000"/>
    <n v="77000"/>
    <n v="15000"/>
    <n v="0"/>
    <x v="0"/>
    <x v="0"/>
    <x v="2"/>
    <x v="2"/>
    <s v="India"/>
    <s v="jivin28@example.org"/>
    <n v="919552000000"/>
    <x v="3"/>
    <n v="68"/>
    <n v="90"/>
    <s v="Non-AC"/>
    <x v="1138"/>
    <d v="1997-07-06T00:00:00"/>
    <n v="-6.8210262828535599"/>
    <x v="8"/>
    <n v="184000"/>
    <n v="214000"/>
  </r>
  <r>
    <s v="Elakshi Kar"/>
    <s v="STU164"/>
    <s v="ENR164"/>
    <x v="5"/>
    <x v="1"/>
    <n v="2"/>
    <s v="Computer Science Engineering"/>
    <x v="5"/>
    <n v="92000"/>
    <n v="77000"/>
    <n v="15000"/>
    <n v="0"/>
    <x v="0"/>
    <x v="0"/>
    <x v="8"/>
    <x v="7"/>
    <s v="India"/>
    <s v="ravelnehmat@example.com"/>
    <n v="919144000000"/>
    <x v="3"/>
    <n v="68"/>
    <n v="63"/>
    <s v="Non-AC"/>
    <x v="1139"/>
    <d v="2000-01-20T00:00:00"/>
    <n v="-6.8210262828535599"/>
    <x v="1"/>
    <n v="184000"/>
    <n v="214000"/>
  </r>
  <r>
    <s v="Tarini Bedi"/>
    <s v="STU150"/>
    <s v="ENR150"/>
    <x v="3"/>
    <x v="0"/>
    <n v="4"/>
    <s v="Computer Science and Engineering"/>
    <x v="0"/>
    <n v="169000"/>
    <n v="154000"/>
    <n v="15000"/>
    <n v="0"/>
    <x v="0"/>
    <x v="0"/>
    <x v="8"/>
    <x v="7"/>
    <s v="India"/>
    <s v="taimursane@example.net"/>
    <n v="917031000000"/>
    <x v="3"/>
    <n v="68"/>
    <n v="69"/>
    <s v="AC"/>
    <x v="1140"/>
    <d v="2003-09-13T00:00:00"/>
    <n v="-6.8210262828535599"/>
    <x v="3"/>
    <n v="676000"/>
    <n v="736000"/>
  </r>
  <r>
    <s v="Faiyaz Sha"/>
    <s v="STU524"/>
    <s v="ENR524"/>
    <x v="1"/>
    <x v="1"/>
    <n v="2"/>
    <s v="Computer Science Engineering"/>
    <x v="6"/>
    <n v="92000"/>
    <n v="77000"/>
    <n v="15000"/>
    <n v="0"/>
    <x v="0"/>
    <x v="1"/>
    <x v="0"/>
    <x v="0"/>
    <s v="India"/>
    <s v="kavya43@example.net"/>
    <n v="918377000000"/>
    <x v="4"/>
    <n v="68"/>
    <n v="89"/>
    <s v="Non-AC"/>
    <x v="1141"/>
    <d v="2001-08-09T00:00:00"/>
    <n v="-6.8210262828535599"/>
    <x v="6"/>
    <n v="184000"/>
    <n v="214000"/>
  </r>
  <r>
    <s v="Indrajit Thaker"/>
    <s v="STU575"/>
    <s v="ENR575"/>
    <x v="3"/>
    <x v="0"/>
    <n v="4"/>
    <s v="Computer Science and Engineering"/>
    <x v="8"/>
    <n v="169000"/>
    <n v="154000"/>
    <n v="15000"/>
    <n v="0"/>
    <x v="0"/>
    <x v="1"/>
    <x v="0"/>
    <x v="0"/>
    <s v="India"/>
    <s v="vihaan98@example.net"/>
    <n v="919171000000"/>
    <x v="2"/>
    <n v="68"/>
    <n v="74"/>
    <s v="AC"/>
    <x v="1142"/>
    <d v="2001-08-10T00:00:00"/>
    <n v="-6.8210262828535599"/>
    <x v="6"/>
    <n v="676000"/>
    <n v="736000"/>
  </r>
  <r>
    <s v="Anay Bobal"/>
    <s v="STU270"/>
    <s v="ENR270"/>
    <x v="2"/>
    <x v="1"/>
    <n v="2"/>
    <s v="Computer Science Engineering"/>
    <x v="5"/>
    <n v="92000"/>
    <n v="77000"/>
    <n v="15000"/>
    <n v="0"/>
    <x v="0"/>
    <x v="0"/>
    <x v="0"/>
    <x v="0"/>
    <s v="India"/>
    <s v="advik75@example.org"/>
    <n v="918477000000"/>
    <x v="4"/>
    <n v="68"/>
    <n v="86"/>
    <s v="AC"/>
    <x v="1143"/>
    <d v="2002-06-22T00:00:00"/>
    <n v="-6.8210262828535599"/>
    <x v="6"/>
    <n v="184000"/>
    <n v="214000"/>
  </r>
  <r>
    <s v="Vritika Sami"/>
    <s v="STU305"/>
    <s v="ENR305"/>
    <x v="2"/>
    <x v="0"/>
    <n v="4"/>
    <s v="Computer Science and Engineering"/>
    <x v="6"/>
    <n v="169000"/>
    <n v="154000"/>
    <n v="15000"/>
    <n v="0"/>
    <x v="0"/>
    <x v="2"/>
    <x v="2"/>
    <x v="2"/>
    <s v="India"/>
    <s v="riaan57@example.org"/>
    <n v="919701000000"/>
    <x v="4"/>
    <n v="68"/>
    <n v="82"/>
    <s v="AC"/>
    <x v="1144"/>
    <d v="2004-06-09T00:00:00"/>
    <n v="-6.8210262828535599"/>
    <x v="3"/>
    <n v="676000"/>
    <n v="736000"/>
  </r>
  <r>
    <s v="Madhup Chahal"/>
    <s v="STU365"/>
    <s v="ENR365"/>
    <x v="1"/>
    <x v="1"/>
    <n v="2"/>
    <s v="Computer Science Engineering"/>
    <x v="6"/>
    <n v="92000"/>
    <n v="77000"/>
    <n v="15000"/>
    <n v="0"/>
    <x v="0"/>
    <x v="1"/>
    <x v="8"/>
    <x v="7"/>
    <s v="India"/>
    <s v="miraan18@example.net"/>
    <n v="917943000000"/>
    <x v="0"/>
    <n v="68"/>
    <n v="66"/>
    <s v="AC"/>
    <x v="1145"/>
    <d v="1998-07-16T00:00:00"/>
    <n v="-6.8210262828535599"/>
    <x v="7"/>
    <n v="184000"/>
    <n v="214000"/>
  </r>
  <r>
    <s v="Emir Choudhury"/>
    <s v="STU317"/>
    <s v="ENR317"/>
    <x v="0"/>
    <x v="0"/>
    <n v="4"/>
    <s v="Computer Science and Engineering"/>
    <x v="0"/>
    <n v="169000"/>
    <n v="154000"/>
    <n v="15000"/>
    <n v="0"/>
    <x v="0"/>
    <x v="2"/>
    <x v="2"/>
    <x v="2"/>
    <s v="India"/>
    <s v="ekhatri@example.net"/>
    <n v="917426000000"/>
    <x v="1"/>
    <n v="68"/>
    <n v="83"/>
    <s v="AC"/>
    <x v="1146"/>
    <d v="2002-11-08T00:00:00"/>
    <n v="-6.8210262828535599"/>
    <x v="2"/>
    <n v="676000"/>
    <n v="736000"/>
  </r>
  <r>
    <s v="Saksham Dada"/>
    <s v="STU482"/>
    <s v="ENR482"/>
    <x v="2"/>
    <x v="0"/>
    <n v="4"/>
    <s v="Computer Science and Engineering"/>
    <x v="0"/>
    <n v="169000"/>
    <n v="154000"/>
    <n v="15000"/>
    <n v="0"/>
    <x v="0"/>
    <x v="0"/>
    <x v="1"/>
    <x v="1"/>
    <s v="India"/>
    <s v="dmahajan@example.net"/>
    <n v="919703000000"/>
    <x v="3"/>
    <n v="68"/>
    <n v="73"/>
    <s v="Non-AC"/>
    <x v="1147"/>
    <d v="2003-11-29T00:00:00"/>
    <n v="-6.8210262828535599"/>
    <x v="3"/>
    <n v="676000"/>
    <n v="736000"/>
  </r>
  <r>
    <s v="Shayak Chowdhury"/>
    <s v="STU283"/>
    <s v="ENR283"/>
    <x v="0"/>
    <x v="1"/>
    <n v="2"/>
    <s v="Computer Science Engineering"/>
    <x v="1"/>
    <n v="92000"/>
    <n v="77000"/>
    <n v="15000"/>
    <n v="0"/>
    <x v="0"/>
    <x v="0"/>
    <x v="6"/>
    <x v="3"/>
    <s v="India"/>
    <s v="pihu15@example.net"/>
    <n v="918252000000"/>
    <x v="1"/>
    <n v="68"/>
    <n v="62"/>
    <s v="AC"/>
    <x v="1148"/>
    <d v="2000-01-16T00:00:00"/>
    <n v="-6.8210262828535599"/>
    <x v="1"/>
    <n v="184000"/>
    <n v="214000"/>
  </r>
  <r>
    <s v="Sara Suresh"/>
    <s v="STU462"/>
    <s v="ENR462"/>
    <x v="1"/>
    <x v="0"/>
    <n v="4"/>
    <s v="Computer Science and Engineering"/>
    <x v="1"/>
    <n v="169000"/>
    <n v="154000"/>
    <n v="15000"/>
    <n v="0"/>
    <x v="0"/>
    <x v="1"/>
    <x v="0"/>
    <x v="0"/>
    <s v="India"/>
    <s v="dharmajanhora@example.net"/>
    <n v="917744000000"/>
    <x v="4"/>
    <n v="68"/>
    <n v="79"/>
    <s v="AC"/>
    <x v="1149"/>
    <d v="2002-12-21T00:00:00"/>
    <n v="-6.8210262828535599"/>
    <x v="2"/>
    <n v="676000"/>
    <n v="736000"/>
  </r>
  <r>
    <s v="Dhanuk Chandra"/>
    <s v="STU457"/>
    <s v="ENR457"/>
    <x v="3"/>
    <x v="0"/>
    <n v="4"/>
    <s v="Computer Science and Engineering"/>
    <x v="4"/>
    <n v="169000"/>
    <n v="154000"/>
    <n v="15000"/>
    <n v="0"/>
    <x v="0"/>
    <x v="0"/>
    <x v="2"/>
    <x v="2"/>
    <s v="India"/>
    <s v="ndeo@example.net"/>
    <n v="918258000000"/>
    <x v="1"/>
    <n v="68"/>
    <n v="91"/>
    <s v="Non-AC"/>
    <x v="1150"/>
    <d v="2002-05-16T00:00:00"/>
    <n v="-6.8210262828535599"/>
    <x v="6"/>
    <n v="676000"/>
    <n v="736000"/>
  </r>
  <r>
    <s v="Miraya Ratti"/>
    <s v="STU359"/>
    <s v="ENR359"/>
    <x v="1"/>
    <x v="0"/>
    <n v="4"/>
    <s v="Computer Science and Engineering"/>
    <x v="6"/>
    <n v="169000"/>
    <n v="154000"/>
    <n v="15000"/>
    <n v="0"/>
    <x v="0"/>
    <x v="1"/>
    <x v="5"/>
    <x v="5"/>
    <s v="India"/>
    <s v="drishya68@example.org"/>
    <n v="919749000000"/>
    <x v="3"/>
    <n v="68"/>
    <n v="65"/>
    <s v="AC"/>
    <x v="1151"/>
    <d v="2006-03-11T00:00:00"/>
    <n v="-6.8210262828535599"/>
    <x v="4"/>
    <n v="676000"/>
    <n v="736000"/>
  </r>
  <r>
    <s v="Faiyaz Hans"/>
    <s v="STU031"/>
    <s v="ENR031"/>
    <x v="4"/>
    <x v="0"/>
    <n v="4"/>
    <s v="Computer Science and Engineering"/>
    <x v="7"/>
    <n v="169000"/>
    <n v="154000"/>
    <n v="15000"/>
    <n v="0"/>
    <x v="0"/>
    <x v="1"/>
    <x v="5"/>
    <x v="5"/>
    <s v="India"/>
    <s v="ivan41@example.net"/>
    <n v="917181000000"/>
    <x v="1"/>
    <n v="68"/>
    <n v="60"/>
    <s v="Non-AC"/>
    <x v="1152"/>
    <d v="2004-08-23T00:00:00"/>
    <n v="-6.8210262828535599"/>
    <x v="5"/>
    <n v="676000"/>
    <n v="736000"/>
  </r>
  <r>
    <s v="Oorja Ghose"/>
    <s v="STU438"/>
    <s v="ENR438"/>
    <x v="4"/>
    <x v="0"/>
    <n v="4"/>
    <s v="Computer Science and Engineering"/>
    <x v="7"/>
    <n v="169000"/>
    <n v="154000"/>
    <n v="15000"/>
    <n v="0"/>
    <x v="0"/>
    <x v="0"/>
    <x v="6"/>
    <x v="3"/>
    <s v="India"/>
    <s v="nirvaandutt@example.org"/>
    <n v="917304000000"/>
    <x v="4"/>
    <n v="68"/>
    <n v="65"/>
    <s v="AC"/>
    <x v="1153"/>
    <d v="2005-12-27T00:00:00"/>
    <n v="-6.8210262828535599"/>
    <x v="4"/>
    <n v="676000"/>
    <n v="736000"/>
  </r>
  <r>
    <s v="Tara Kala"/>
    <s v="STU365"/>
    <s v="ENR365"/>
    <x v="5"/>
    <x v="0"/>
    <n v="4"/>
    <s v="Computer Science and Engineering"/>
    <x v="6"/>
    <n v="169000"/>
    <n v="154000"/>
    <n v="15000"/>
    <n v="0"/>
    <x v="0"/>
    <x v="2"/>
    <x v="2"/>
    <x v="2"/>
    <s v="India"/>
    <s v="uppalkartik@example.net"/>
    <n v="918631000000"/>
    <x v="2"/>
    <n v="68"/>
    <n v="70"/>
    <s v="AC"/>
    <x v="1154"/>
    <d v="2001-09-05T00:00:00"/>
    <n v="-6.8210262828535599"/>
    <x v="6"/>
    <n v="676000"/>
    <n v="736000"/>
  </r>
  <r>
    <s v="Nehmat Bakshi"/>
    <s v="STU430"/>
    <s v="ENR430"/>
    <x v="4"/>
    <x v="0"/>
    <n v="4"/>
    <s v="Computer Science and Engineering"/>
    <x v="7"/>
    <n v="169000"/>
    <n v="154000"/>
    <n v="15000"/>
    <n v="0"/>
    <x v="0"/>
    <x v="0"/>
    <x v="4"/>
    <x v="4"/>
    <s v="India"/>
    <s v="seher32@example.com"/>
    <n v="917841000000"/>
    <x v="2"/>
    <n v="68"/>
    <n v="88"/>
    <s v="Non-AC"/>
    <x v="1155"/>
    <d v="2005-03-16T00:00:00"/>
    <n v="-6.8210262828535599"/>
    <x v="5"/>
    <n v="676000"/>
    <n v="736000"/>
  </r>
  <r>
    <s v="Nitya Jaggi"/>
    <s v="STU029"/>
    <s v="ENR029"/>
    <x v="2"/>
    <x v="0"/>
    <n v="4"/>
    <s v="Computer Science and Engineering"/>
    <x v="5"/>
    <n v="169000"/>
    <n v="154000"/>
    <n v="15000"/>
    <n v="0"/>
    <x v="0"/>
    <x v="0"/>
    <x v="8"/>
    <x v="7"/>
    <s v="India"/>
    <s v="hrishita33@example.com"/>
    <n v="917470000000"/>
    <x v="0"/>
    <n v="68"/>
    <n v="77"/>
    <s v="Non-AC"/>
    <x v="1156"/>
    <d v="2003-11-08T00:00:00"/>
    <n v="-6.8210262828535599"/>
    <x v="3"/>
    <n v="676000"/>
    <n v="736000"/>
  </r>
  <r>
    <s v="Kiara Koshy"/>
    <s v="STU321"/>
    <s v="ENR321"/>
    <x v="4"/>
    <x v="1"/>
    <n v="2"/>
    <s v="Computer Science Engineering"/>
    <x v="5"/>
    <n v="92000"/>
    <n v="77000"/>
    <n v="15000"/>
    <n v="0"/>
    <x v="0"/>
    <x v="2"/>
    <x v="7"/>
    <x v="6"/>
    <s v="India"/>
    <s v="ishitasharma@example.com"/>
    <n v="919295000000"/>
    <x v="1"/>
    <n v="68"/>
    <n v="79"/>
    <s v="AC"/>
    <x v="1157"/>
    <d v="1997-09-26T00:00:00"/>
    <n v="-6.8210262828535599"/>
    <x v="9"/>
    <n v="184000"/>
    <n v="214000"/>
  </r>
  <r>
    <s v="Vidur Sood"/>
    <s v="STU409"/>
    <s v="ENR409"/>
    <x v="3"/>
    <x v="0"/>
    <n v="4"/>
    <s v="Computer Science and Engineering"/>
    <x v="7"/>
    <n v="169000"/>
    <n v="154000"/>
    <n v="15000"/>
    <n v="0"/>
    <x v="0"/>
    <x v="2"/>
    <x v="4"/>
    <x v="4"/>
    <s v="India"/>
    <s v="dugarmamooty@example.net"/>
    <n v="917252000000"/>
    <x v="3"/>
    <n v="68"/>
    <n v="84"/>
    <s v="AC"/>
    <x v="1158"/>
    <d v="2000-10-28T00:00:00"/>
    <n v="-6.8210262828535599"/>
    <x v="0"/>
    <n v="676000"/>
    <n v="736000"/>
  </r>
  <r>
    <s v="Rohan Ghose"/>
    <s v="STU407"/>
    <s v="ENR407"/>
    <x v="5"/>
    <x v="0"/>
    <n v="4"/>
    <s v="Computer Science and Engineering"/>
    <x v="7"/>
    <n v="169000"/>
    <n v="154000"/>
    <n v="15000"/>
    <n v="0"/>
    <x v="0"/>
    <x v="1"/>
    <x v="0"/>
    <x v="0"/>
    <s v="India"/>
    <s v="akarshbhatnagar@example.com"/>
    <n v="918518000000"/>
    <x v="4"/>
    <n v="68"/>
    <n v="91"/>
    <s v="Non-AC"/>
    <x v="1159"/>
    <d v="2001-06-02T00:00:00"/>
    <n v="-6.8210262828535599"/>
    <x v="0"/>
    <n v="676000"/>
    <n v="736000"/>
  </r>
  <r>
    <s v="Manjari Garg"/>
    <s v="STU1035"/>
    <s v="ENR1035"/>
    <x v="0"/>
    <x v="0"/>
    <n v="4"/>
    <s v="Computer Science and Engineering"/>
    <x v="4"/>
    <n v="169000"/>
    <n v="154000"/>
    <n v="15000"/>
    <n v="0"/>
    <x v="0"/>
    <x v="2"/>
    <x v="7"/>
    <x v="6"/>
    <s v="India"/>
    <s v="rohan80@example.net"/>
    <n v="917239000000"/>
    <x v="3"/>
    <n v="68"/>
    <n v="72"/>
    <s v="Non-AC"/>
    <x v="1160"/>
    <d v="2005-05-04T00:00:00"/>
    <n v="-6.8210262828535599"/>
    <x v="5"/>
    <n v="676000"/>
    <n v="736000"/>
  </r>
  <r>
    <s v="Urvi Dani"/>
    <s v="STU398"/>
    <s v="ENR398"/>
    <x v="5"/>
    <x v="0"/>
    <n v="4"/>
    <s v="Computer Science and Engineering"/>
    <x v="6"/>
    <n v="169000"/>
    <n v="154000"/>
    <n v="15000"/>
    <n v="0"/>
    <x v="0"/>
    <x v="0"/>
    <x v="0"/>
    <x v="0"/>
    <s v="India"/>
    <s v="reyansh21@example.org"/>
    <n v="918882000000"/>
    <x v="1"/>
    <n v="68"/>
    <n v="74"/>
    <s v="Non-AC"/>
    <x v="1161"/>
    <d v="2003-02-20T00:00:00"/>
    <n v="-6.8210262828535599"/>
    <x v="2"/>
    <n v="676000"/>
    <n v="736000"/>
  </r>
  <r>
    <s v="Kiaan Suresh"/>
    <s v="STU316"/>
    <s v="ENR316"/>
    <x v="0"/>
    <x v="0"/>
    <n v="4"/>
    <s v="Computer Science and Engineering"/>
    <x v="5"/>
    <n v="169000"/>
    <n v="154000"/>
    <n v="15000"/>
    <n v="0"/>
    <x v="0"/>
    <x v="0"/>
    <x v="7"/>
    <x v="6"/>
    <s v="India"/>
    <s v="dhruv72@example.com"/>
    <n v="917068000000"/>
    <x v="4"/>
    <n v="68"/>
    <n v="62"/>
    <s v="AC"/>
    <x v="1162"/>
    <d v="2001-08-18T00:00:00"/>
    <n v="-6.8210262828535599"/>
    <x v="6"/>
    <n v="676000"/>
    <n v="736000"/>
  </r>
  <r>
    <s v="Kanav Edwin"/>
    <s v="STU129"/>
    <s v="ENR129"/>
    <x v="3"/>
    <x v="1"/>
    <n v="2"/>
    <s v="Computer Science Engineering"/>
    <x v="0"/>
    <n v="92000"/>
    <n v="77000"/>
    <n v="15000"/>
    <n v="0"/>
    <x v="0"/>
    <x v="1"/>
    <x v="0"/>
    <x v="0"/>
    <s v="India"/>
    <s v="kimayavarughese@example.net"/>
    <n v="918456000000"/>
    <x v="1"/>
    <n v="68"/>
    <n v="60"/>
    <s v="AC"/>
    <x v="1163"/>
    <d v="1998-04-08T00:00:00"/>
    <n v="-6.8210262828535599"/>
    <x v="9"/>
    <n v="184000"/>
    <n v="214000"/>
  </r>
  <r>
    <s v="Ehsaan Rao"/>
    <s v="STU234"/>
    <s v="ENR234"/>
    <x v="5"/>
    <x v="1"/>
    <n v="2"/>
    <s v="Computer Science Engineering"/>
    <x v="4"/>
    <n v="92000"/>
    <n v="77000"/>
    <n v="15000"/>
    <n v="0"/>
    <x v="0"/>
    <x v="0"/>
    <x v="0"/>
    <x v="0"/>
    <s v="India"/>
    <s v="krishnakimaya@example.com"/>
    <n v="919564000000"/>
    <x v="0"/>
    <n v="68"/>
    <n v="65"/>
    <s v="AC"/>
    <x v="1164"/>
    <d v="1999-11-01T00:00:00"/>
    <n v="-6.8210262828535599"/>
    <x v="1"/>
    <n v="184000"/>
    <n v="214000"/>
  </r>
  <r>
    <s v="Yuvraj  Tripathi"/>
    <s v="STU279"/>
    <s v="ENR279"/>
    <x v="0"/>
    <x v="0"/>
    <n v="4"/>
    <s v="Computer Science and Engineering"/>
    <x v="8"/>
    <n v="169000"/>
    <n v="154000"/>
    <n v="15000"/>
    <n v="0"/>
    <x v="0"/>
    <x v="1"/>
    <x v="3"/>
    <x v="3"/>
    <s v="India"/>
    <s v="zseshadri@example.com"/>
    <n v="919275000000"/>
    <x v="3"/>
    <n v="68"/>
    <n v="68"/>
    <s v="AC"/>
    <x v="1165"/>
    <d v="2003-06-04T00:00:00"/>
    <n v="-6.8210262828535599"/>
    <x v="2"/>
    <n v="676000"/>
    <n v="736000"/>
  </r>
  <r>
    <s v="Shayak Srinivas"/>
    <s v="STU1099"/>
    <s v="ENR1099"/>
    <x v="0"/>
    <x v="0"/>
    <n v="4"/>
    <s v="Computer Science and Engineering"/>
    <x v="2"/>
    <n v="169000"/>
    <n v="154000"/>
    <n v="15000"/>
    <n v="0"/>
    <x v="0"/>
    <x v="0"/>
    <x v="1"/>
    <x v="1"/>
    <s v="India"/>
    <s v="nbarad@example.org"/>
    <n v="919122000000"/>
    <x v="3"/>
    <n v="68"/>
    <n v="91"/>
    <s v="AC"/>
    <x v="1166"/>
    <d v="2005-06-12T00:00:00"/>
    <n v="-6.8210262828535599"/>
    <x v="5"/>
    <n v="676000"/>
    <n v="736000"/>
  </r>
  <r>
    <s v="Navya Garde"/>
    <s v="STU095"/>
    <s v="ENR095"/>
    <x v="1"/>
    <x v="0"/>
    <n v="4"/>
    <s v="Computer Science and Engineering"/>
    <x v="5"/>
    <n v="169000"/>
    <n v="154000"/>
    <n v="15000"/>
    <n v="0"/>
    <x v="0"/>
    <x v="0"/>
    <x v="4"/>
    <x v="4"/>
    <s v="India"/>
    <s v="ranbirlanka@example.org"/>
    <n v="919170000000"/>
    <x v="0"/>
    <n v="68"/>
    <n v="61"/>
    <s v="Non-AC"/>
    <x v="1167"/>
    <d v="2001-07-20T00:00:00"/>
    <n v="-6.8210262828535599"/>
    <x v="6"/>
    <n v="676000"/>
    <n v="736000"/>
  </r>
  <r>
    <s v="Nitya Chaudhry"/>
    <s v="STU920"/>
    <s v="ENR920"/>
    <x v="0"/>
    <x v="0"/>
    <n v="4"/>
    <s v="Computer Science and Engineering"/>
    <x v="8"/>
    <n v="169000"/>
    <n v="154000"/>
    <n v="15000"/>
    <n v="0"/>
    <x v="0"/>
    <x v="1"/>
    <x v="0"/>
    <x v="0"/>
    <s v="India"/>
    <s v="raghavtella@example.net"/>
    <n v="918548000000"/>
    <x v="1"/>
    <n v="68"/>
    <n v="71"/>
    <s v="Non-AC"/>
    <x v="1168"/>
    <d v="2004-06-02T00:00:00"/>
    <n v="-6.8210262828535599"/>
    <x v="3"/>
    <n v="676000"/>
    <n v="736000"/>
  </r>
  <r>
    <s v="Ivan Balan"/>
    <s v="STU875"/>
    <s v="ENR875"/>
    <x v="2"/>
    <x v="0"/>
    <n v="4"/>
    <s v="Computer Science and Engineering"/>
    <x v="9"/>
    <n v="169000"/>
    <n v="154000"/>
    <n v="15000"/>
    <n v="0"/>
    <x v="0"/>
    <x v="0"/>
    <x v="5"/>
    <x v="5"/>
    <s v="India"/>
    <s v="baiju52@example.net"/>
    <n v="918576000000"/>
    <x v="1"/>
    <n v="68"/>
    <n v="79"/>
    <s v="AC"/>
    <x v="1169"/>
    <d v="2003-07-21T00:00:00"/>
    <n v="-6.8210262828535599"/>
    <x v="3"/>
    <n v="676000"/>
    <n v="736000"/>
  </r>
  <r>
    <s v="Riaan Dixit"/>
    <s v="STU1123"/>
    <s v="ENR1123"/>
    <x v="4"/>
    <x v="0"/>
    <n v="4"/>
    <s v="Computer Science and Engineering"/>
    <x v="1"/>
    <n v="169000"/>
    <n v="154000"/>
    <n v="15000"/>
    <n v="0"/>
    <x v="0"/>
    <x v="2"/>
    <x v="1"/>
    <x v="1"/>
    <s v="India"/>
    <s v="dtiwari@example.org"/>
    <n v="917658000000"/>
    <x v="2"/>
    <n v="68"/>
    <n v="92"/>
    <s v="Non-AC"/>
    <x v="1170"/>
    <d v="2002-08-18T00:00:00"/>
    <n v="-6.8210262828535599"/>
    <x v="2"/>
    <n v="676000"/>
    <n v="736000"/>
  </r>
  <r>
    <s v="Azad Deol"/>
    <s v="STU255"/>
    <s v="ENR255"/>
    <x v="4"/>
    <x v="1"/>
    <n v="2"/>
    <s v="Computer Science Engineering"/>
    <x v="3"/>
    <n v="92000"/>
    <n v="77000"/>
    <n v="15000"/>
    <n v="0"/>
    <x v="0"/>
    <x v="2"/>
    <x v="1"/>
    <x v="1"/>
    <s v="India"/>
    <s v="prerakghose@example.net"/>
    <n v="917210000000"/>
    <x v="2"/>
    <n v="68"/>
    <n v="71"/>
    <s v="Non-AC"/>
    <x v="1171"/>
    <d v="1997-08-24T00:00:00"/>
    <n v="-6.8210262828535599"/>
    <x v="9"/>
    <n v="184000"/>
    <n v="214000"/>
  </r>
  <r>
    <s v="Raunak Srivastava"/>
    <s v="STU876"/>
    <s v="ENR876"/>
    <x v="2"/>
    <x v="0"/>
    <n v="4"/>
    <s v="Computer Science and Engineering"/>
    <x v="0"/>
    <n v="169000"/>
    <n v="154000"/>
    <n v="15000"/>
    <n v="0"/>
    <x v="0"/>
    <x v="1"/>
    <x v="4"/>
    <x v="4"/>
    <s v="India"/>
    <s v="myradevi@example.com"/>
    <n v="918893000000"/>
    <x v="0"/>
    <n v="68"/>
    <n v="80"/>
    <s v="AC"/>
    <x v="1172"/>
    <d v="2002-02-26T00:00:00"/>
    <n v="-6.8210262828535599"/>
    <x v="6"/>
    <n v="676000"/>
    <n v="736000"/>
  </r>
  <r>
    <s v="Kaira Sheth"/>
    <s v="STU899"/>
    <s v="ENR899"/>
    <x v="0"/>
    <x v="0"/>
    <n v="4"/>
    <s v="Computer Science and Engineering"/>
    <x v="9"/>
    <n v="169000"/>
    <n v="154000"/>
    <n v="15000"/>
    <n v="0"/>
    <x v="0"/>
    <x v="2"/>
    <x v="9"/>
    <x v="8"/>
    <s v="India"/>
    <s v="kkhalsa@example.org"/>
    <n v="918419000000"/>
    <x v="0"/>
    <n v="68"/>
    <n v="62"/>
    <s v="AC"/>
    <x v="1173"/>
    <d v="2004-02-05T00:00:00"/>
    <n v="-6.8210262828535599"/>
    <x v="3"/>
    <n v="676000"/>
    <n v="736000"/>
  </r>
  <r>
    <s v="Anya Gera"/>
    <s v="STU582"/>
    <s v="ENR582"/>
    <x v="1"/>
    <x v="0"/>
    <n v="4"/>
    <s v="Computer Science and Engineering"/>
    <x v="8"/>
    <n v="169000"/>
    <n v="154000"/>
    <n v="15000"/>
    <n v="0"/>
    <x v="0"/>
    <x v="1"/>
    <x v="2"/>
    <x v="2"/>
    <s v="India"/>
    <s v="himmat74@example.org"/>
    <n v="919395000000"/>
    <x v="3"/>
    <n v="67"/>
    <n v="73"/>
    <s v="AC"/>
    <x v="1174"/>
    <d v="2001-11-06T00:00:00"/>
    <n v="-7.8210262828535599"/>
    <x v="6"/>
    <n v="676000"/>
    <n v="736000"/>
  </r>
  <r>
    <s v="Samiha Singhal"/>
    <s v="STU136"/>
    <s v="ENR136"/>
    <x v="1"/>
    <x v="1"/>
    <n v="2"/>
    <s v="Computer Science Engineering"/>
    <x v="3"/>
    <n v="92000"/>
    <n v="77000"/>
    <n v="15000"/>
    <n v="0"/>
    <x v="0"/>
    <x v="1"/>
    <x v="4"/>
    <x v="4"/>
    <s v="India"/>
    <s v="purabchanda@example.net"/>
    <n v="919868000000"/>
    <x v="4"/>
    <n v="67"/>
    <n v="69"/>
    <s v="AC"/>
    <x v="1175"/>
    <d v="1998-10-04T00:00:00"/>
    <n v="-7.8210262828535599"/>
    <x v="7"/>
    <n v="184000"/>
    <n v="214000"/>
  </r>
  <r>
    <s v="Divit Johal"/>
    <s v="STU422"/>
    <s v="ENR422"/>
    <x v="2"/>
    <x v="0"/>
    <n v="4"/>
    <s v="Computer Science and Engineering"/>
    <x v="0"/>
    <n v="169000"/>
    <n v="154000"/>
    <n v="15000"/>
    <n v="0"/>
    <x v="0"/>
    <x v="0"/>
    <x v="7"/>
    <x v="6"/>
    <s v="India"/>
    <s v="ishaansarna@example.com"/>
    <n v="917663000000"/>
    <x v="3"/>
    <n v="67"/>
    <n v="91"/>
    <s v="Non-AC"/>
    <x v="1176"/>
    <d v="2006-03-30T00:00:00"/>
    <n v="-7.8210262828535599"/>
    <x v="4"/>
    <n v="676000"/>
    <n v="736000"/>
  </r>
  <r>
    <s v="Kabir Kaul"/>
    <s v="STU194"/>
    <s v="ENR194"/>
    <x v="5"/>
    <x v="0"/>
    <n v="4"/>
    <s v="Computer Science and Engineering"/>
    <x v="7"/>
    <n v="169000"/>
    <n v="154000"/>
    <n v="15000"/>
    <n v="0"/>
    <x v="0"/>
    <x v="0"/>
    <x v="9"/>
    <x v="8"/>
    <s v="India"/>
    <s v="raukaira@example.org"/>
    <n v="917323000000"/>
    <x v="4"/>
    <n v="67"/>
    <n v="89"/>
    <s v="Non-AC"/>
    <x v="1177"/>
    <d v="2006-02-19T00:00:00"/>
    <n v="-7.8210262828535599"/>
    <x v="4"/>
    <n v="676000"/>
    <n v="736000"/>
  </r>
  <r>
    <s v="Divij Badal"/>
    <s v="STU417"/>
    <s v="ENR417"/>
    <x v="0"/>
    <x v="0"/>
    <n v="4"/>
    <s v="Computer Science and Engineering"/>
    <x v="1"/>
    <n v="169000"/>
    <n v="154000"/>
    <n v="15000"/>
    <n v="0"/>
    <x v="0"/>
    <x v="2"/>
    <x v="5"/>
    <x v="5"/>
    <s v="India"/>
    <s v="ulata@example.com"/>
    <n v="918505000000"/>
    <x v="4"/>
    <n v="67"/>
    <n v="86"/>
    <s v="Non-AC"/>
    <x v="1178"/>
    <d v="2004-11-02T00:00:00"/>
    <n v="-7.8210262828535599"/>
    <x v="5"/>
    <n v="676000"/>
    <n v="736000"/>
  </r>
  <r>
    <s v="Jivika Gupta"/>
    <s v="STU428"/>
    <s v="ENR428"/>
    <x v="1"/>
    <x v="0"/>
    <n v="4"/>
    <s v="Computer Science and Engineering"/>
    <x v="9"/>
    <n v="169000"/>
    <n v="154000"/>
    <n v="15000"/>
    <n v="0"/>
    <x v="0"/>
    <x v="1"/>
    <x v="3"/>
    <x v="3"/>
    <s v="India"/>
    <s v="irabobal@example.com"/>
    <n v="917815000000"/>
    <x v="2"/>
    <n v="67"/>
    <n v="92"/>
    <s v="AC"/>
    <x v="1179"/>
    <d v="2004-11-01T00:00:00"/>
    <n v="-7.8210262828535599"/>
    <x v="5"/>
    <n v="676000"/>
    <n v="736000"/>
  </r>
  <r>
    <s v="Romil Dash"/>
    <s v="STU410"/>
    <s v="ENR410"/>
    <x v="2"/>
    <x v="0"/>
    <n v="4"/>
    <s v="Computer Science and Engineering"/>
    <x v="5"/>
    <n v="169000"/>
    <n v="154000"/>
    <n v="15000"/>
    <n v="0"/>
    <x v="0"/>
    <x v="1"/>
    <x v="7"/>
    <x v="6"/>
    <s v="India"/>
    <s v="bediazad@example.com"/>
    <n v="918524000000"/>
    <x v="2"/>
    <n v="67"/>
    <n v="73"/>
    <s v="AC"/>
    <x v="1180"/>
    <d v="2003-10-18T00:00:00"/>
    <n v="-7.8210262828535599"/>
    <x v="3"/>
    <n v="676000"/>
    <n v="736000"/>
  </r>
  <r>
    <s v="Ivan Karnik"/>
    <s v="STU388"/>
    <s v="ENR388"/>
    <x v="4"/>
    <x v="1"/>
    <n v="2"/>
    <s v="Computer Science Engineering"/>
    <x v="4"/>
    <n v="92000"/>
    <n v="77000"/>
    <n v="15000"/>
    <n v="0"/>
    <x v="0"/>
    <x v="2"/>
    <x v="1"/>
    <x v="1"/>
    <s v="India"/>
    <s v="darshit37@example.net"/>
    <n v="919881000000"/>
    <x v="3"/>
    <n v="67"/>
    <n v="89"/>
    <s v="Non-AC"/>
    <x v="1181"/>
    <d v="1998-04-12T00:00:00"/>
    <n v="-7.8210262828535599"/>
    <x v="9"/>
    <n v="184000"/>
    <n v="214000"/>
  </r>
  <r>
    <s v="Keya Aurora"/>
    <s v="STU612"/>
    <s v="ENR612"/>
    <x v="0"/>
    <x v="0"/>
    <n v="4"/>
    <s v="Computer Science and Engineering"/>
    <x v="9"/>
    <n v="169000"/>
    <n v="154000"/>
    <n v="15000"/>
    <n v="0"/>
    <x v="0"/>
    <x v="0"/>
    <x v="1"/>
    <x v="1"/>
    <s v="India"/>
    <s v="jgaba@example.net"/>
    <n v="918852000000"/>
    <x v="0"/>
    <n v="67"/>
    <n v="62"/>
    <s v="AC"/>
    <x v="1182"/>
    <d v="2002-12-23T00:00:00"/>
    <n v="-7.8210262828535599"/>
    <x v="2"/>
    <n v="676000"/>
    <n v="736000"/>
  </r>
  <r>
    <s v="Saira Gaba"/>
    <s v="STU761"/>
    <s v="ENR761"/>
    <x v="3"/>
    <x v="0"/>
    <n v="4"/>
    <s v="Computer Science and Engineering"/>
    <x v="9"/>
    <n v="169000"/>
    <n v="154000"/>
    <n v="15000"/>
    <n v="0"/>
    <x v="0"/>
    <x v="0"/>
    <x v="6"/>
    <x v="3"/>
    <s v="India"/>
    <s v="tvirk@example.com"/>
    <n v="919528000000"/>
    <x v="3"/>
    <n v="67"/>
    <n v="82"/>
    <s v="Non-AC"/>
    <x v="1183"/>
    <d v="2003-09-20T00:00:00"/>
    <n v="-7.8210262828535599"/>
    <x v="3"/>
    <n v="676000"/>
    <n v="736000"/>
  </r>
  <r>
    <s v="Jayesh Singh"/>
    <s v="STU263"/>
    <s v="ENR263"/>
    <x v="1"/>
    <x v="1"/>
    <n v="2"/>
    <s v="Computer Science Engineering"/>
    <x v="1"/>
    <n v="92000"/>
    <n v="77000"/>
    <n v="15000"/>
    <n v="0"/>
    <x v="0"/>
    <x v="2"/>
    <x v="8"/>
    <x v="7"/>
    <s v="India"/>
    <s v="avenkatesh@example.org"/>
    <n v="918719000000"/>
    <x v="1"/>
    <n v="67"/>
    <n v="72"/>
    <s v="AC"/>
    <x v="1184"/>
    <d v="2001-09-16T00:00:00"/>
    <n v="-7.8210262828535599"/>
    <x v="6"/>
    <n v="184000"/>
    <n v="214000"/>
  </r>
  <r>
    <s v="Taran Tank"/>
    <s v="STU756"/>
    <s v="ENR756"/>
    <x v="0"/>
    <x v="0"/>
    <n v="4"/>
    <s v="Computer Science and Engineering"/>
    <x v="3"/>
    <n v="169000"/>
    <n v="154000"/>
    <n v="15000"/>
    <n v="0"/>
    <x v="0"/>
    <x v="2"/>
    <x v="2"/>
    <x v="2"/>
    <s v="India"/>
    <s v="nishithseshadri@example.org"/>
    <n v="919983000000"/>
    <x v="0"/>
    <n v="67"/>
    <n v="62"/>
    <s v="AC"/>
    <x v="151"/>
    <d v="2004-09-07T00:00:00"/>
    <n v="-7.8210262828535599"/>
    <x v="5"/>
    <n v="676000"/>
    <n v="736000"/>
  </r>
  <r>
    <s v="Shanaya Banik"/>
    <s v="STU636"/>
    <s v="ENR636"/>
    <x v="3"/>
    <x v="0"/>
    <n v="4"/>
    <s v="Computer Science and Engineering"/>
    <x v="1"/>
    <n v="169000"/>
    <n v="154000"/>
    <n v="15000"/>
    <n v="0"/>
    <x v="0"/>
    <x v="2"/>
    <x v="6"/>
    <x v="3"/>
    <s v="India"/>
    <s v="kashyapneelofar@example.org"/>
    <n v="917428000000"/>
    <x v="3"/>
    <n v="67"/>
    <n v="83"/>
    <s v="Non-AC"/>
    <x v="1185"/>
    <d v="2002-02-24T00:00:00"/>
    <n v="-7.8210262828535599"/>
    <x v="6"/>
    <n v="676000"/>
    <n v="736000"/>
  </r>
  <r>
    <s v="Kartik Rajagopal"/>
    <s v="STU270"/>
    <s v="ENR270"/>
    <x v="2"/>
    <x v="0"/>
    <n v="4"/>
    <s v="Computer Science and Engineering"/>
    <x v="9"/>
    <n v="169000"/>
    <n v="154000"/>
    <n v="15000"/>
    <n v="0"/>
    <x v="0"/>
    <x v="1"/>
    <x v="5"/>
    <x v="5"/>
    <s v="India"/>
    <s v="varkeyishaan@example.org"/>
    <n v="918385000000"/>
    <x v="0"/>
    <n v="67"/>
    <n v="82"/>
    <s v="AC"/>
    <x v="1186"/>
    <d v="2004-02-12T00:00:00"/>
    <n v="-7.8210262828535599"/>
    <x v="3"/>
    <n v="676000"/>
    <n v="736000"/>
  </r>
  <r>
    <s v="Samaira Deshpande"/>
    <s v="STU666"/>
    <s v="ENR666"/>
    <x v="0"/>
    <x v="0"/>
    <n v="4"/>
    <s v="Computer Science and Engineering"/>
    <x v="5"/>
    <n v="169000"/>
    <n v="154000"/>
    <n v="15000"/>
    <n v="0"/>
    <x v="0"/>
    <x v="0"/>
    <x v="8"/>
    <x v="7"/>
    <s v="India"/>
    <s v="praja@example.com"/>
    <n v="917734000000"/>
    <x v="4"/>
    <n v="67"/>
    <n v="69"/>
    <s v="Non-AC"/>
    <x v="1187"/>
    <d v="2005-12-15T00:00:00"/>
    <n v="-7.8210262828535599"/>
    <x v="4"/>
    <n v="676000"/>
    <n v="736000"/>
  </r>
  <r>
    <s v="Myra Garg"/>
    <s v="STU293"/>
    <s v="ENR293"/>
    <x v="2"/>
    <x v="1"/>
    <n v="2"/>
    <s v="Computer Science Engineering"/>
    <x v="1"/>
    <n v="92000"/>
    <n v="77000"/>
    <n v="15000"/>
    <n v="0"/>
    <x v="0"/>
    <x v="0"/>
    <x v="2"/>
    <x v="2"/>
    <s v="India"/>
    <s v="dchacko@example.com"/>
    <n v="919090000000"/>
    <x v="2"/>
    <n v="67"/>
    <n v="67"/>
    <s v="AC"/>
    <x v="1188"/>
    <d v="1996-07-26T00:00:00"/>
    <n v="-7.8210262828535599"/>
    <x v="8"/>
    <n v="184000"/>
    <n v="214000"/>
  </r>
  <r>
    <s v="Ojas Konda"/>
    <s v="STU248"/>
    <s v="ENR248"/>
    <x v="5"/>
    <x v="1"/>
    <n v="2"/>
    <s v="Computer Science Engineering"/>
    <x v="6"/>
    <n v="92000"/>
    <n v="77000"/>
    <n v="15000"/>
    <n v="0"/>
    <x v="0"/>
    <x v="2"/>
    <x v="8"/>
    <x v="7"/>
    <s v="India"/>
    <s v="balakrishnanrohan@example.net"/>
    <n v="919289000000"/>
    <x v="2"/>
    <n v="67"/>
    <n v="79"/>
    <s v="AC"/>
    <x v="1189"/>
    <d v="2000-02-14T00:00:00"/>
    <n v="-7.8210262828535599"/>
    <x v="1"/>
    <n v="184000"/>
    <n v="214000"/>
  </r>
  <r>
    <s v="Anya Jani"/>
    <s v="STU163"/>
    <s v="ENR163"/>
    <x v="1"/>
    <x v="1"/>
    <n v="2"/>
    <s v="Computer Science Engineering"/>
    <x v="4"/>
    <n v="92000"/>
    <n v="77000"/>
    <n v="15000"/>
    <n v="0"/>
    <x v="0"/>
    <x v="2"/>
    <x v="9"/>
    <x v="8"/>
    <s v="India"/>
    <s v="atwalkashvi@example.com"/>
    <n v="919120000000"/>
    <x v="4"/>
    <n v="67"/>
    <n v="65"/>
    <s v="AC"/>
    <x v="1190"/>
    <d v="2000-05-11T00:00:00"/>
    <n v="-7.8210262828535599"/>
    <x v="1"/>
    <n v="184000"/>
    <n v="214000"/>
  </r>
  <r>
    <s v="Mahika Singh"/>
    <s v="STU326"/>
    <s v="ENR326"/>
    <x v="0"/>
    <x v="0"/>
    <n v="4"/>
    <s v="Computer Science and Engineering"/>
    <x v="3"/>
    <n v="169000"/>
    <n v="154000"/>
    <n v="15000"/>
    <n v="0"/>
    <x v="0"/>
    <x v="1"/>
    <x v="0"/>
    <x v="0"/>
    <s v="India"/>
    <s v="yuvraj-karpe@example.org"/>
    <n v="919557000000"/>
    <x v="4"/>
    <n v="67"/>
    <n v="81"/>
    <s v="Non-AC"/>
    <x v="1191"/>
    <d v="2004-04-23T00:00:00"/>
    <n v="-7.8210262828535599"/>
    <x v="3"/>
    <n v="676000"/>
    <n v="736000"/>
  </r>
  <r>
    <s v="Samaira Kumer"/>
    <s v="STU604"/>
    <s v="ENR604"/>
    <x v="3"/>
    <x v="0"/>
    <n v="4"/>
    <s v="Computer Science and Engineering"/>
    <x v="2"/>
    <n v="169000"/>
    <n v="154000"/>
    <n v="15000"/>
    <n v="0"/>
    <x v="0"/>
    <x v="0"/>
    <x v="3"/>
    <x v="3"/>
    <s v="India"/>
    <s v="bhamini09@example.org"/>
    <n v="917459000000"/>
    <x v="4"/>
    <n v="67"/>
    <n v="67"/>
    <s v="AC"/>
    <x v="1192"/>
    <d v="2002-06-16T00:00:00"/>
    <n v="-7.8210262828535599"/>
    <x v="6"/>
    <n v="676000"/>
    <n v="736000"/>
  </r>
  <r>
    <s v="Ishita Bhalla"/>
    <s v="STU290"/>
    <s v="ENR290"/>
    <x v="3"/>
    <x v="0"/>
    <n v="4"/>
    <s v="Computer Science and Engineering"/>
    <x v="2"/>
    <n v="169000"/>
    <n v="154000"/>
    <n v="15000"/>
    <n v="0"/>
    <x v="0"/>
    <x v="0"/>
    <x v="7"/>
    <x v="6"/>
    <s v="India"/>
    <s v="kabir77@example.org"/>
    <n v="919512000000"/>
    <x v="0"/>
    <n v="67"/>
    <n v="82"/>
    <s v="AC"/>
    <x v="1193"/>
    <d v="2001-08-14T00:00:00"/>
    <n v="-7.8210262828535599"/>
    <x v="6"/>
    <n v="676000"/>
    <n v="736000"/>
  </r>
  <r>
    <s v="Tushar Madan"/>
    <s v="STU721"/>
    <s v="ENR721"/>
    <x v="4"/>
    <x v="0"/>
    <n v="4"/>
    <s v="Computer Science and Engineering"/>
    <x v="1"/>
    <n v="169000"/>
    <n v="154000"/>
    <n v="15000"/>
    <n v="0"/>
    <x v="0"/>
    <x v="2"/>
    <x v="3"/>
    <x v="3"/>
    <s v="India"/>
    <s v="seherboase@example.net"/>
    <n v="919403000000"/>
    <x v="1"/>
    <n v="67"/>
    <n v="68"/>
    <s v="Non-AC"/>
    <x v="1194"/>
    <d v="2005-02-03T00:00:00"/>
    <n v="-7.8210262828535599"/>
    <x v="5"/>
    <n v="676000"/>
    <n v="736000"/>
  </r>
  <r>
    <s v="Dhanuk Goswami"/>
    <s v="STU414"/>
    <s v="ENR414"/>
    <x v="2"/>
    <x v="1"/>
    <n v="2"/>
    <s v="Computer Science Engineering"/>
    <x v="1"/>
    <n v="92000"/>
    <n v="77000"/>
    <n v="15000"/>
    <n v="0"/>
    <x v="0"/>
    <x v="0"/>
    <x v="3"/>
    <x v="3"/>
    <s v="India"/>
    <s v="jhanvidoshi@example.com"/>
    <n v="919337000000"/>
    <x v="1"/>
    <n v="67"/>
    <n v="74"/>
    <s v="Non-AC"/>
    <x v="1195"/>
    <d v="1999-06-03T00:00:00"/>
    <n v="-7.8210262828535599"/>
    <x v="7"/>
    <n v="184000"/>
    <n v="214000"/>
  </r>
  <r>
    <s v="Nirvaan Kala"/>
    <s v="STU392"/>
    <s v="ENR392"/>
    <x v="1"/>
    <x v="1"/>
    <n v="2"/>
    <s v="Computer Science Engineering"/>
    <x v="0"/>
    <n v="92000"/>
    <n v="77000"/>
    <n v="15000"/>
    <n v="0"/>
    <x v="0"/>
    <x v="2"/>
    <x v="8"/>
    <x v="7"/>
    <s v="India"/>
    <s v="kumarvanya@example.com"/>
    <n v="918470000000"/>
    <x v="4"/>
    <n v="67"/>
    <n v="61"/>
    <s v="Non-AC"/>
    <x v="1196"/>
    <d v="1997-02-07T00:00:00"/>
    <n v="-7.8210262828535599"/>
    <x v="8"/>
    <n v="184000"/>
    <n v="214000"/>
  </r>
  <r>
    <s v="Urvi Chandra"/>
    <s v="STU153"/>
    <s v="ENR153"/>
    <x v="5"/>
    <x v="1"/>
    <n v="2"/>
    <s v="Computer Science Engineering"/>
    <x v="3"/>
    <n v="92000"/>
    <n v="77000"/>
    <n v="15000"/>
    <n v="0"/>
    <x v="0"/>
    <x v="0"/>
    <x v="5"/>
    <x v="5"/>
    <s v="India"/>
    <s v="ryan87@example.org"/>
    <n v="917292000000"/>
    <x v="1"/>
    <n v="67"/>
    <n v="87"/>
    <s v="Non-AC"/>
    <x v="1197"/>
    <d v="1998-04-09T00:00:00"/>
    <n v="-7.8210262828535599"/>
    <x v="9"/>
    <n v="184000"/>
    <n v="214000"/>
  </r>
  <r>
    <s v="Yuvraj  Vasa"/>
    <s v="STU102"/>
    <s v="ENR102"/>
    <x v="0"/>
    <x v="0"/>
    <n v="4"/>
    <s v="Computer Science and Engineering"/>
    <x v="2"/>
    <n v="169000"/>
    <n v="154000"/>
    <n v="15000"/>
    <n v="0"/>
    <x v="0"/>
    <x v="1"/>
    <x v="4"/>
    <x v="4"/>
    <s v="India"/>
    <s v="kabirchaudhary@example.com"/>
    <n v="918710000000"/>
    <x v="4"/>
    <n v="67"/>
    <n v="66"/>
    <s v="Non-AC"/>
    <x v="1198"/>
    <d v="2005-05-30T00:00:00"/>
    <n v="-7.8210262828535599"/>
    <x v="5"/>
    <n v="676000"/>
    <n v="736000"/>
  </r>
  <r>
    <s v="Devansh Arya"/>
    <s v="STU028"/>
    <s v="ENR028"/>
    <x v="1"/>
    <x v="0"/>
    <n v="4"/>
    <s v="Computer Science and Engineering"/>
    <x v="8"/>
    <n v="169000"/>
    <n v="154000"/>
    <n v="15000"/>
    <n v="0"/>
    <x v="0"/>
    <x v="1"/>
    <x v="2"/>
    <x v="2"/>
    <s v="India"/>
    <s v="advikahluwalia@example.com"/>
    <n v="919735000000"/>
    <x v="4"/>
    <n v="67"/>
    <n v="88"/>
    <s v="Non-AC"/>
    <x v="1199"/>
    <d v="2002-12-02T00:00:00"/>
    <n v="-7.8210262828535599"/>
    <x v="2"/>
    <n v="676000"/>
    <n v="736000"/>
  </r>
  <r>
    <s v="Zain Sankaran"/>
    <s v="STU1090"/>
    <s v="ENR1090"/>
    <x v="5"/>
    <x v="0"/>
    <n v="4"/>
    <s v="Computer Science and Engineering"/>
    <x v="6"/>
    <n v="169000"/>
    <n v="154000"/>
    <n v="15000"/>
    <n v="0"/>
    <x v="0"/>
    <x v="2"/>
    <x v="1"/>
    <x v="1"/>
    <s v="India"/>
    <s v="sana64@example.org"/>
    <n v="917157000000"/>
    <x v="0"/>
    <n v="67"/>
    <n v="92"/>
    <s v="Non-AC"/>
    <x v="1200"/>
    <d v="2003-02-05T00:00:00"/>
    <n v="-7.8210262828535599"/>
    <x v="2"/>
    <n v="676000"/>
    <n v="736000"/>
  </r>
  <r>
    <s v="Manjari Sandal"/>
    <s v="STU823"/>
    <s v="ENR823"/>
    <x v="0"/>
    <x v="0"/>
    <n v="4"/>
    <s v="Computer Science and Engineering"/>
    <x v="7"/>
    <n v="169000"/>
    <n v="154000"/>
    <n v="15000"/>
    <n v="0"/>
    <x v="0"/>
    <x v="2"/>
    <x v="7"/>
    <x v="6"/>
    <s v="India"/>
    <s v="ehsaankala@example.net"/>
    <n v="918330000000"/>
    <x v="4"/>
    <n v="67"/>
    <n v="72"/>
    <s v="Non-AC"/>
    <x v="1201"/>
    <d v="2001-04-08T00:00:00"/>
    <n v="-7.8210262828535599"/>
    <x v="0"/>
    <n v="676000"/>
    <n v="736000"/>
  </r>
  <r>
    <s v="Indranil Bawa"/>
    <s v="STU1095"/>
    <s v="ENR1095"/>
    <x v="2"/>
    <x v="0"/>
    <n v="4"/>
    <s v="Computer Science and Engineering"/>
    <x v="5"/>
    <n v="169000"/>
    <n v="154000"/>
    <n v="15000"/>
    <n v="0"/>
    <x v="0"/>
    <x v="2"/>
    <x v="1"/>
    <x v="1"/>
    <s v="India"/>
    <s v="lavanya76@example.org"/>
    <n v="918038000000"/>
    <x v="0"/>
    <n v="67"/>
    <n v="68"/>
    <s v="Non-AC"/>
    <x v="1202"/>
    <d v="2001-11-21T00:00:00"/>
    <n v="-7.8210262828535599"/>
    <x v="6"/>
    <n v="676000"/>
    <n v="736000"/>
  </r>
  <r>
    <s v="Anika Chakrabarti"/>
    <s v="STU1169"/>
    <s v="ENR1169"/>
    <x v="2"/>
    <x v="0"/>
    <n v="4"/>
    <s v="Computer Science and Engineering"/>
    <x v="7"/>
    <n v="169000"/>
    <n v="154000"/>
    <n v="15000"/>
    <n v="0"/>
    <x v="0"/>
    <x v="0"/>
    <x v="7"/>
    <x v="6"/>
    <s v="India"/>
    <s v="singhryan@example.com"/>
    <n v="918408000000"/>
    <x v="4"/>
    <n v="67"/>
    <n v="77"/>
    <s v="AC"/>
    <x v="1203"/>
    <d v="2002-09-01T00:00:00"/>
    <n v="-7.8210262828535599"/>
    <x v="2"/>
    <n v="676000"/>
    <n v="736000"/>
  </r>
  <r>
    <s v="Ryan Subramanian"/>
    <s v="STU926"/>
    <s v="ENR926"/>
    <x v="4"/>
    <x v="0"/>
    <n v="4"/>
    <s v="Computer Science and Engineering"/>
    <x v="0"/>
    <n v="169000"/>
    <n v="154000"/>
    <n v="15000"/>
    <n v="0"/>
    <x v="0"/>
    <x v="0"/>
    <x v="1"/>
    <x v="1"/>
    <s v="India"/>
    <s v="shray43@example.com"/>
    <n v="917562000000"/>
    <x v="3"/>
    <n v="67"/>
    <n v="60"/>
    <s v="Non-AC"/>
    <x v="1204"/>
    <d v="2005-12-06T00:00:00"/>
    <n v="-7.8210262828535599"/>
    <x v="4"/>
    <n v="676000"/>
    <n v="736000"/>
  </r>
  <r>
    <s v="Shlok Sachdev"/>
    <s v="STU121"/>
    <s v="ENR121"/>
    <x v="3"/>
    <x v="0"/>
    <n v="4"/>
    <s v="Computer Science and Engineering"/>
    <x v="3"/>
    <n v="169000"/>
    <n v="154000"/>
    <n v="15000"/>
    <n v="0"/>
    <x v="0"/>
    <x v="1"/>
    <x v="6"/>
    <x v="3"/>
    <s v="India"/>
    <s v="manihiran@example.com"/>
    <n v="919165000000"/>
    <x v="4"/>
    <n v="67"/>
    <n v="87"/>
    <s v="Non-AC"/>
    <x v="1205"/>
    <d v="2001-10-19T00:00:00"/>
    <n v="-7.8210262828535599"/>
    <x v="6"/>
    <n v="676000"/>
    <n v="736000"/>
  </r>
  <r>
    <s v="Rasha Batra"/>
    <s v="STU458"/>
    <s v="ENR458"/>
    <x v="1"/>
    <x v="1"/>
    <n v="2"/>
    <s v="Computer Science Engineering"/>
    <x v="4"/>
    <n v="92000"/>
    <n v="77000"/>
    <n v="15000"/>
    <n v="0"/>
    <x v="0"/>
    <x v="1"/>
    <x v="0"/>
    <x v="0"/>
    <s v="India"/>
    <s v="uthkarshchand@example.com"/>
    <n v="918785000000"/>
    <x v="0"/>
    <n v="67"/>
    <n v="74"/>
    <s v="Non-AC"/>
    <x v="1206"/>
    <d v="1999-01-26T00:00:00"/>
    <n v="-7.8210262828535599"/>
    <x v="7"/>
    <n v="184000"/>
    <n v="214000"/>
  </r>
  <r>
    <s v="Shamik Sehgal"/>
    <s v="STU806"/>
    <s v="ENR806"/>
    <x v="0"/>
    <x v="0"/>
    <n v="4"/>
    <s v="Computer Science and Engineering"/>
    <x v="4"/>
    <n v="169000"/>
    <n v="154000"/>
    <n v="15000"/>
    <n v="0"/>
    <x v="0"/>
    <x v="1"/>
    <x v="3"/>
    <x v="3"/>
    <s v="India"/>
    <s v="evarughese@example.com"/>
    <n v="918233000000"/>
    <x v="1"/>
    <n v="67"/>
    <n v="60"/>
    <s v="Non-AC"/>
    <x v="1207"/>
    <d v="2004-04-19T00:00:00"/>
    <n v="-7.8210262828535599"/>
    <x v="3"/>
    <n v="676000"/>
    <n v="736000"/>
  </r>
  <r>
    <s v="Pihu Tank"/>
    <s v="STU002"/>
    <s v="ENR002"/>
    <x v="0"/>
    <x v="0"/>
    <n v="4"/>
    <s v="Computer Science and Engineering"/>
    <x v="9"/>
    <n v="169000"/>
    <n v="154000"/>
    <n v="15000"/>
    <n v="0"/>
    <x v="0"/>
    <x v="0"/>
    <x v="1"/>
    <x v="1"/>
    <s v="India"/>
    <s v="sunderlavanya@example.org"/>
    <n v="917884000000"/>
    <x v="0"/>
    <n v="67"/>
    <n v="62"/>
    <s v="Non-AC"/>
    <x v="1208"/>
    <d v="2000-08-27T00:00:00"/>
    <n v="-7.8210262828535599"/>
    <x v="0"/>
    <n v="676000"/>
    <n v="736000"/>
  </r>
  <r>
    <s v="Kabir Bath"/>
    <s v="STU892"/>
    <s v="ENR892"/>
    <x v="0"/>
    <x v="0"/>
    <n v="4"/>
    <s v="Computer Science and Engineering"/>
    <x v="0"/>
    <n v="169000"/>
    <n v="154000"/>
    <n v="15000"/>
    <n v="0"/>
    <x v="0"/>
    <x v="2"/>
    <x v="3"/>
    <x v="3"/>
    <s v="India"/>
    <s v="kdasgupta@example.com"/>
    <n v="917679000000"/>
    <x v="3"/>
    <n v="67"/>
    <n v="74"/>
    <s v="Non-AC"/>
    <x v="1209"/>
    <d v="2004-01-31T00:00:00"/>
    <n v="-7.8210262828535599"/>
    <x v="3"/>
    <n v="676000"/>
    <n v="736000"/>
  </r>
  <r>
    <s v="Mannat Dugar"/>
    <s v="STU072"/>
    <s v="ENR072"/>
    <x v="0"/>
    <x v="0"/>
    <n v="4"/>
    <s v="Computer Science and Engineering"/>
    <x v="9"/>
    <n v="169000"/>
    <n v="154000"/>
    <n v="15000"/>
    <n v="0"/>
    <x v="0"/>
    <x v="1"/>
    <x v="7"/>
    <x v="6"/>
    <s v="India"/>
    <s v="aarna52@example.org"/>
    <n v="917128000000"/>
    <x v="3"/>
    <n v="67"/>
    <n v="65"/>
    <s v="Non-AC"/>
    <x v="1210"/>
    <d v="2002-04-04T00:00:00"/>
    <n v="-7.8210262828535599"/>
    <x v="6"/>
    <n v="676000"/>
    <n v="736000"/>
  </r>
  <r>
    <s v="Umang Raman"/>
    <s v="STU148"/>
    <s v="ENR148"/>
    <x v="1"/>
    <x v="0"/>
    <n v="4"/>
    <s v="Computer Science and Engineering"/>
    <x v="7"/>
    <n v="169000"/>
    <n v="154000"/>
    <n v="15000"/>
    <n v="0"/>
    <x v="0"/>
    <x v="1"/>
    <x v="4"/>
    <x v="4"/>
    <s v="India"/>
    <s v="hansh09@example.org"/>
    <n v="918116000000"/>
    <x v="3"/>
    <n v="67"/>
    <n v="60"/>
    <s v="AC"/>
    <x v="1211"/>
    <d v="2004-10-22T00:00:00"/>
    <n v="-7.8210262828535599"/>
    <x v="5"/>
    <n v="676000"/>
    <n v="736000"/>
  </r>
  <r>
    <s v="Charvi Dugar"/>
    <s v="STU1146"/>
    <s v="ENR1146"/>
    <x v="5"/>
    <x v="0"/>
    <n v="4"/>
    <s v="Computer Science and Engineering"/>
    <x v="5"/>
    <n v="169000"/>
    <n v="154000"/>
    <n v="15000"/>
    <n v="0"/>
    <x v="0"/>
    <x v="0"/>
    <x v="1"/>
    <x v="1"/>
    <s v="India"/>
    <s v="bbhatt@example.org"/>
    <n v="917730000000"/>
    <x v="0"/>
    <n v="67"/>
    <n v="72"/>
    <s v="AC"/>
    <x v="1212"/>
    <d v="2003-05-28T00:00:00"/>
    <n v="-7.8210262828535599"/>
    <x v="2"/>
    <n v="676000"/>
    <n v="736000"/>
  </r>
  <r>
    <s v="Nirvaan Bawa"/>
    <s v="STU888"/>
    <s v="ENR888"/>
    <x v="3"/>
    <x v="0"/>
    <n v="4"/>
    <s v="Computer Science and Engineering"/>
    <x v="1"/>
    <n v="169000"/>
    <n v="154000"/>
    <n v="15000"/>
    <n v="0"/>
    <x v="0"/>
    <x v="0"/>
    <x v="7"/>
    <x v="6"/>
    <s v="India"/>
    <s v="tkrishnamurthy@example.org"/>
    <n v="918465000000"/>
    <x v="2"/>
    <n v="67"/>
    <n v="72"/>
    <s v="AC"/>
    <x v="1213"/>
    <d v="2003-06-25T00:00:00"/>
    <n v="-7.8210262828535599"/>
    <x v="2"/>
    <n v="676000"/>
    <n v="736000"/>
  </r>
  <r>
    <s v="Saanvi Sarin"/>
    <s v="STU777"/>
    <s v="ENR777"/>
    <x v="0"/>
    <x v="0"/>
    <n v="4"/>
    <s v="Computer Science and Engineering"/>
    <x v="0"/>
    <n v="169000"/>
    <n v="154000"/>
    <n v="15000"/>
    <n v="0"/>
    <x v="0"/>
    <x v="0"/>
    <x v="4"/>
    <x v="4"/>
    <s v="India"/>
    <s v="stuvangokhale@example.net"/>
    <n v="919434000000"/>
    <x v="0"/>
    <n v="67"/>
    <n v="71"/>
    <s v="AC"/>
    <x v="1214"/>
    <d v="2003-05-30T00:00:00"/>
    <n v="-7.8210262828535599"/>
    <x v="2"/>
    <n v="676000"/>
    <n v="736000"/>
  </r>
  <r>
    <s v="Shayak Baria"/>
    <s v="STU479"/>
    <s v="ENR479"/>
    <x v="3"/>
    <x v="1"/>
    <n v="2"/>
    <s v="Computer Science Engineering"/>
    <x v="1"/>
    <n v="92000"/>
    <n v="77000"/>
    <n v="15000"/>
    <n v="0"/>
    <x v="0"/>
    <x v="2"/>
    <x v="4"/>
    <x v="4"/>
    <s v="India"/>
    <s v="samar53@example.net"/>
    <n v="918893000000"/>
    <x v="0"/>
    <n v="67"/>
    <n v="67"/>
    <s v="Non-AC"/>
    <x v="1215"/>
    <d v="1999-07-18T00:00:00"/>
    <n v="-7.8210262828535599"/>
    <x v="1"/>
    <n v="184000"/>
    <n v="214000"/>
  </r>
  <r>
    <s v="Vivaan Saha"/>
    <s v="STU871"/>
    <s v="ENR871"/>
    <x v="1"/>
    <x v="0"/>
    <n v="4"/>
    <s v="Computer Science and Engineering"/>
    <x v="6"/>
    <n v="169000"/>
    <n v="154000"/>
    <n v="15000"/>
    <n v="0"/>
    <x v="0"/>
    <x v="2"/>
    <x v="9"/>
    <x v="8"/>
    <s v="India"/>
    <s v="kdevan@example.com"/>
    <n v="919782000000"/>
    <x v="0"/>
    <n v="67"/>
    <n v="85"/>
    <s v="AC"/>
    <x v="1216"/>
    <d v="2004-04-19T00:00:00"/>
    <n v="-7.8210262828535599"/>
    <x v="3"/>
    <n v="676000"/>
    <n v="736000"/>
  </r>
  <r>
    <s v="Ela Gole"/>
    <s v="STU1032"/>
    <s v="ENR1032"/>
    <x v="5"/>
    <x v="0"/>
    <n v="4"/>
    <s v="Computer Science and Engineering"/>
    <x v="4"/>
    <n v="169000"/>
    <n v="154000"/>
    <n v="15000"/>
    <n v="0"/>
    <x v="0"/>
    <x v="1"/>
    <x v="4"/>
    <x v="4"/>
    <s v="India"/>
    <s v="suradivit@example.org"/>
    <n v="918840000000"/>
    <x v="0"/>
    <n v="67"/>
    <n v="70"/>
    <s v="Non-AC"/>
    <x v="1217"/>
    <d v="2002-08-13T00:00:00"/>
    <n v="-7.8210262828535599"/>
    <x v="2"/>
    <n v="676000"/>
    <n v="736000"/>
  </r>
  <r>
    <s v="Suhana Manne"/>
    <s v="STU187"/>
    <s v="ENR187"/>
    <x v="2"/>
    <x v="0"/>
    <n v="4"/>
    <s v="Computer Science and Engineering"/>
    <x v="0"/>
    <n v="169000"/>
    <n v="154000"/>
    <n v="15000"/>
    <n v="0"/>
    <x v="0"/>
    <x v="0"/>
    <x v="2"/>
    <x v="2"/>
    <s v="India"/>
    <s v="ayeshashukla@example.org"/>
    <n v="918217000000"/>
    <x v="0"/>
    <n v="67"/>
    <n v="63"/>
    <s v="Non-AC"/>
    <x v="1218"/>
    <d v="2002-12-12T00:00:00"/>
    <n v="-7.8210262828535599"/>
    <x v="2"/>
    <n v="676000"/>
    <n v="736000"/>
  </r>
  <r>
    <s v="Ela Vig"/>
    <s v="STU782"/>
    <s v="ENR782"/>
    <x v="4"/>
    <x v="0"/>
    <n v="4"/>
    <s v="Computer Science and Engineering"/>
    <x v="8"/>
    <n v="169000"/>
    <n v="154000"/>
    <n v="15000"/>
    <n v="0"/>
    <x v="0"/>
    <x v="0"/>
    <x v="8"/>
    <x v="7"/>
    <s v="India"/>
    <s v="jhanvishenoy@example.org"/>
    <n v="919348000000"/>
    <x v="0"/>
    <n v="67"/>
    <n v="62"/>
    <s v="AC"/>
    <x v="1219"/>
    <d v="2002-06-20T00:00:00"/>
    <n v="-7.8210262828535599"/>
    <x v="6"/>
    <n v="676000"/>
    <n v="736000"/>
  </r>
  <r>
    <s v="Indranil Johal"/>
    <s v="STU943"/>
    <s v="ENR943"/>
    <x v="1"/>
    <x v="0"/>
    <n v="4"/>
    <s v="Computer Science and Engineering"/>
    <x v="3"/>
    <n v="169000"/>
    <n v="154000"/>
    <n v="15000"/>
    <n v="0"/>
    <x v="0"/>
    <x v="2"/>
    <x v="6"/>
    <x v="3"/>
    <s v="India"/>
    <s v="fbal@example.net"/>
    <n v="917966000000"/>
    <x v="4"/>
    <n v="66"/>
    <n v="82"/>
    <s v="Non-AC"/>
    <x v="1220"/>
    <d v="2003-03-23T00:00:00"/>
    <n v="-8.8210262828535608"/>
    <x v="2"/>
    <n v="676000"/>
    <n v="736000"/>
  </r>
  <r>
    <s v="Hridaan Rama"/>
    <s v="STU834"/>
    <s v="ENR834"/>
    <x v="0"/>
    <x v="0"/>
    <n v="4"/>
    <s v="Computer Science and Engineering"/>
    <x v="1"/>
    <n v="169000"/>
    <n v="154000"/>
    <n v="15000"/>
    <n v="0"/>
    <x v="0"/>
    <x v="0"/>
    <x v="8"/>
    <x v="7"/>
    <s v="India"/>
    <s v="kartikvasa@example.com"/>
    <n v="918883000000"/>
    <x v="2"/>
    <n v="66"/>
    <n v="71"/>
    <s v="Non-AC"/>
    <x v="1221"/>
    <d v="2006-01-04T00:00:00"/>
    <n v="-8.8210262828535608"/>
    <x v="4"/>
    <n v="676000"/>
    <n v="736000"/>
  </r>
  <r>
    <s v="Kabir Sarraf"/>
    <s v="STU668"/>
    <s v="ENR668"/>
    <x v="0"/>
    <x v="0"/>
    <n v="4"/>
    <s v="Computer Science and Engineering"/>
    <x v="6"/>
    <n v="169000"/>
    <n v="154000"/>
    <n v="15000"/>
    <n v="0"/>
    <x v="0"/>
    <x v="1"/>
    <x v="8"/>
    <x v="7"/>
    <s v="India"/>
    <s v="nbrahmbhatt@example.org"/>
    <n v="918544000000"/>
    <x v="1"/>
    <n v="66"/>
    <n v="83"/>
    <s v="AC"/>
    <x v="1222"/>
    <d v="2005-12-20T00:00:00"/>
    <n v="-8.8210262828535608"/>
    <x v="4"/>
    <n v="676000"/>
    <n v="736000"/>
  </r>
  <r>
    <s v="Nehmat Sandal"/>
    <s v="STU922"/>
    <s v="ENR922"/>
    <x v="0"/>
    <x v="0"/>
    <n v="4"/>
    <s v="Computer Science and Engineering"/>
    <x v="2"/>
    <n v="169000"/>
    <n v="154000"/>
    <n v="15000"/>
    <n v="0"/>
    <x v="0"/>
    <x v="1"/>
    <x v="2"/>
    <x v="2"/>
    <s v="India"/>
    <s v="dishani08@example.com"/>
    <n v="919323000000"/>
    <x v="3"/>
    <n v="66"/>
    <n v="90"/>
    <s v="Non-AC"/>
    <x v="1223"/>
    <d v="2002-03-02T00:00:00"/>
    <n v="-8.8210262828535608"/>
    <x v="6"/>
    <n v="676000"/>
    <n v="736000"/>
  </r>
  <r>
    <s v="Navya Seshadri"/>
    <s v="STU515"/>
    <s v="ENR515"/>
    <x v="1"/>
    <x v="0"/>
    <n v="4"/>
    <s v="Computer Science and Engineering"/>
    <x v="9"/>
    <n v="169000"/>
    <n v="154000"/>
    <n v="15000"/>
    <n v="0"/>
    <x v="0"/>
    <x v="1"/>
    <x v="7"/>
    <x v="6"/>
    <s v="India"/>
    <s v="fatehkala@example.net"/>
    <n v="917396000000"/>
    <x v="4"/>
    <n v="66"/>
    <n v="65"/>
    <s v="Non-AC"/>
    <x v="1224"/>
    <d v="2000-09-26T00:00:00"/>
    <n v="-8.8210262828535608"/>
    <x v="0"/>
    <n v="676000"/>
    <n v="736000"/>
  </r>
  <r>
    <s v="Ira Loke"/>
    <s v="STU404"/>
    <s v="ENR404"/>
    <x v="0"/>
    <x v="1"/>
    <n v="2"/>
    <s v="Computer Science Engineering"/>
    <x v="1"/>
    <n v="92000"/>
    <n v="77000"/>
    <n v="15000"/>
    <n v="0"/>
    <x v="0"/>
    <x v="2"/>
    <x v="2"/>
    <x v="2"/>
    <s v="India"/>
    <s v="indrajit27@example.net"/>
    <n v="918352000000"/>
    <x v="1"/>
    <n v="66"/>
    <n v="72"/>
    <s v="Non-AC"/>
    <x v="1225"/>
    <d v="1997-12-25T00:00:00"/>
    <n v="-8.8210262828535608"/>
    <x v="9"/>
    <n v="184000"/>
    <n v="214000"/>
  </r>
  <r>
    <s v="Navya Sharma"/>
    <s v="STU364"/>
    <s v="ENR364"/>
    <x v="2"/>
    <x v="1"/>
    <n v="2"/>
    <s v="Computer Science Engineering"/>
    <x v="4"/>
    <n v="92000"/>
    <n v="77000"/>
    <n v="15000"/>
    <n v="0"/>
    <x v="0"/>
    <x v="1"/>
    <x v="7"/>
    <x v="6"/>
    <s v="India"/>
    <s v="vedika55@example.net"/>
    <n v="917056000000"/>
    <x v="2"/>
    <n v="66"/>
    <n v="88"/>
    <s v="AC"/>
    <x v="1226"/>
    <d v="1998-11-09T00:00:00"/>
    <n v="-8.8210262828535608"/>
    <x v="7"/>
    <n v="184000"/>
    <n v="214000"/>
  </r>
  <r>
    <s v="Kismat Hari"/>
    <s v="STU144"/>
    <s v="ENR144"/>
    <x v="4"/>
    <x v="0"/>
    <n v="4"/>
    <s v="Computer Science and Engineering"/>
    <x v="1"/>
    <n v="169000"/>
    <n v="154000"/>
    <n v="15000"/>
    <n v="0"/>
    <x v="0"/>
    <x v="2"/>
    <x v="1"/>
    <x v="1"/>
    <s v="India"/>
    <s v="krishkartik@example.net"/>
    <n v="918076000000"/>
    <x v="0"/>
    <n v="66"/>
    <n v="79"/>
    <s v="AC"/>
    <x v="1227"/>
    <d v="2001-05-25T00:00:00"/>
    <n v="-8.8210262828535608"/>
    <x v="0"/>
    <n v="676000"/>
    <n v="736000"/>
  </r>
  <r>
    <s v="Nitara Sen"/>
    <s v="STU949"/>
    <s v="ENR949"/>
    <x v="2"/>
    <x v="0"/>
    <n v="4"/>
    <s v="Computer Science and Engineering"/>
    <x v="4"/>
    <n v="169000"/>
    <n v="154000"/>
    <n v="15000"/>
    <n v="0"/>
    <x v="0"/>
    <x v="0"/>
    <x v="0"/>
    <x v="0"/>
    <s v="India"/>
    <s v="kanthiran@example.org"/>
    <n v="918815000000"/>
    <x v="1"/>
    <n v="66"/>
    <n v="71"/>
    <s v="AC"/>
    <x v="1228"/>
    <d v="2006-05-06T00:00:00"/>
    <n v="-8.8210262828535608"/>
    <x v="4"/>
    <n v="676000"/>
    <n v="736000"/>
  </r>
  <r>
    <s v="Mishti Deshpande"/>
    <s v="STU129"/>
    <s v="ENR129"/>
    <x v="4"/>
    <x v="0"/>
    <n v="4"/>
    <s v="Computer Science and Engineering"/>
    <x v="1"/>
    <n v="169000"/>
    <n v="154000"/>
    <n v="15000"/>
    <n v="0"/>
    <x v="0"/>
    <x v="2"/>
    <x v="5"/>
    <x v="5"/>
    <s v="India"/>
    <s v="kacharya@example.org"/>
    <n v="918681000000"/>
    <x v="0"/>
    <n v="66"/>
    <n v="62"/>
    <s v="AC"/>
    <x v="1229"/>
    <d v="2000-07-19T00:00:00"/>
    <n v="-8.8210262828535608"/>
    <x v="0"/>
    <n v="676000"/>
    <n v="736000"/>
  </r>
  <r>
    <s v="Zeeshan Bhagat"/>
    <s v="STU1110"/>
    <s v="ENR1110"/>
    <x v="3"/>
    <x v="0"/>
    <n v="4"/>
    <s v="Computer Science and Engineering"/>
    <x v="9"/>
    <n v="169000"/>
    <n v="154000"/>
    <n v="15000"/>
    <n v="0"/>
    <x v="0"/>
    <x v="2"/>
    <x v="6"/>
    <x v="3"/>
    <s v="India"/>
    <s v="biju26@example.com"/>
    <n v="918107000000"/>
    <x v="4"/>
    <n v="66"/>
    <n v="61"/>
    <s v="AC"/>
    <x v="1230"/>
    <d v="2004-11-28T00:00:00"/>
    <n v="-8.8210262828535608"/>
    <x v="5"/>
    <n v="676000"/>
    <n v="736000"/>
  </r>
  <r>
    <s v="Taran Kumar"/>
    <s v="STU214"/>
    <s v="ENR214"/>
    <x v="1"/>
    <x v="1"/>
    <n v="2"/>
    <s v="Computer Science Engineering"/>
    <x v="3"/>
    <n v="92000"/>
    <n v="77000"/>
    <n v="15000"/>
    <n v="0"/>
    <x v="0"/>
    <x v="1"/>
    <x v="6"/>
    <x v="3"/>
    <s v="India"/>
    <s v="jbakshi@example.org"/>
    <n v="917316000000"/>
    <x v="3"/>
    <n v="66"/>
    <n v="73"/>
    <s v="Non-AC"/>
    <x v="1231"/>
    <d v="1998-01-13T00:00:00"/>
    <n v="-8.8210262828535608"/>
    <x v="9"/>
    <n v="184000"/>
    <n v="214000"/>
  </r>
  <r>
    <s v="Rania Tandon"/>
    <s v="STU403"/>
    <s v="ENR403"/>
    <x v="3"/>
    <x v="1"/>
    <n v="2"/>
    <s v="Computer Science Engineering"/>
    <x v="4"/>
    <n v="92000"/>
    <n v="77000"/>
    <n v="15000"/>
    <n v="0"/>
    <x v="0"/>
    <x v="2"/>
    <x v="9"/>
    <x v="8"/>
    <s v="India"/>
    <s v="raunak98@example.org"/>
    <n v="917560000000"/>
    <x v="1"/>
    <n v="66"/>
    <n v="79"/>
    <s v="Non-AC"/>
    <x v="1232"/>
    <d v="1998-05-29T00:00:00"/>
    <n v="-8.8210262828535608"/>
    <x v="9"/>
    <n v="184000"/>
    <n v="214000"/>
  </r>
  <r>
    <s v="Arhaan Krishna"/>
    <s v="STU542"/>
    <s v="ENR542"/>
    <x v="5"/>
    <x v="0"/>
    <n v="4"/>
    <s v="Computer Science and Engineering"/>
    <x v="7"/>
    <n v="169000"/>
    <n v="154000"/>
    <n v="15000"/>
    <n v="0"/>
    <x v="0"/>
    <x v="0"/>
    <x v="8"/>
    <x v="7"/>
    <s v="India"/>
    <s v="mehuldhingra@example.org"/>
    <n v="917228000000"/>
    <x v="4"/>
    <n v="66"/>
    <n v="76"/>
    <s v="AC"/>
    <x v="1233"/>
    <d v="2002-05-20T00:00:00"/>
    <n v="-8.8210262828535608"/>
    <x v="6"/>
    <n v="676000"/>
    <n v="736000"/>
  </r>
  <r>
    <s v="Samarth Bail"/>
    <s v="STU629"/>
    <s v="ENR629"/>
    <x v="1"/>
    <x v="0"/>
    <n v="4"/>
    <s v="Computer Science and Engineering"/>
    <x v="8"/>
    <n v="169000"/>
    <n v="154000"/>
    <n v="15000"/>
    <n v="0"/>
    <x v="0"/>
    <x v="0"/>
    <x v="8"/>
    <x v="7"/>
    <s v="India"/>
    <s v="venkataramannitya@example.com"/>
    <n v="918816000000"/>
    <x v="4"/>
    <n v="66"/>
    <n v="82"/>
    <s v="Non-AC"/>
    <x v="1234"/>
    <d v="2006-01-25T00:00:00"/>
    <n v="-8.8210262828535608"/>
    <x v="4"/>
    <n v="676000"/>
    <n v="736000"/>
  </r>
  <r>
    <s v="Mohanlal Agrawal"/>
    <s v="STU628"/>
    <s v="ENR628"/>
    <x v="2"/>
    <x v="0"/>
    <n v="4"/>
    <s v="Computer Science and Engineering"/>
    <x v="3"/>
    <n v="169000"/>
    <n v="154000"/>
    <n v="15000"/>
    <n v="0"/>
    <x v="0"/>
    <x v="2"/>
    <x v="6"/>
    <x v="3"/>
    <s v="India"/>
    <s v="anay66@example.com"/>
    <n v="917975000000"/>
    <x v="0"/>
    <n v="66"/>
    <n v="78"/>
    <s v="Non-AC"/>
    <x v="1235"/>
    <d v="2000-07-15T00:00:00"/>
    <n v="-8.8210262828535608"/>
    <x v="0"/>
    <n v="676000"/>
    <n v="736000"/>
  </r>
  <r>
    <s v="Dishani Vohra"/>
    <s v="STU378"/>
    <s v="ENR378"/>
    <x v="3"/>
    <x v="1"/>
    <n v="2"/>
    <s v="Computer Science Engineering"/>
    <x v="3"/>
    <n v="92000"/>
    <n v="77000"/>
    <n v="15000"/>
    <n v="0"/>
    <x v="0"/>
    <x v="2"/>
    <x v="3"/>
    <x v="3"/>
    <s v="India"/>
    <s v="chaudhryuthkarsh@example.com"/>
    <n v="919253000000"/>
    <x v="1"/>
    <n v="66"/>
    <n v="69"/>
    <s v="Non-AC"/>
    <x v="1236"/>
    <d v="1998-07-14T00:00:00"/>
    <n v="-8.8210262828535608"/>
    <x v="7"/>
    <n v="184000"/>
    <n v="214000"/>
  </r>
  <r>
    <s v="Azad Zachariah"/>
    <s v="STU235"/>
    <s v="ENR235"/>
    <x v="4"/>
    <x v="0"/>
    <n v="4"/>
    <s v="Computer Science and Engineering"/>
    <x v="2"/>
    <n v="169000"/>
    <n v="154000"/>
    <n v="15000"/>
    <n v="0"/>
    <x v="0"/>
    <x v="1"/>
    <x v="1"/>
    <x v="1"/>
    <s v="India"/>
    <s v="xkapoor@example.net"/>
    <n v="919007000000"/>
    <x v="1"/>
    <n v="66"/>
    <n v="92"/>
    <s v="AC"/>
    <x v="1237"/>
    <d v="2003-07-14T00:00:00"/>
    <n v="-8.8210262828535608"/>
    <x v="3"/>
    <n v="676000"/>
    <n v="736000"/>
  </r>
  <r>
    <s v="Ehsaan Ahuja"/>
    <s v="STU584"/>
    <s v="ENR584"/>
    <x v="5"/>
    <x v="0"/>
    <n v="4"/>
    <s v="Computer Science and Engineering"/>
    <x v="9"/>
    <n v="169000"/>
    <n v="154000"/>
    <n v="15000"/>
    <n v="0"/>
    <x v="0"/>
    <x v="2"/>
    <x v="4"/>
    <x v="4"/>
    <s v="India"/>
    <s v="aayush61@example.com"/>
    <n v="919227000000"/>
    <x v="3"/>
    <n v="66"/>
    <n v="74"/>
    <s v="Non-AC"/>
    <x v="1238"/>
    <d v="2004-09-30T00:00:00"/>
    <n v="-8.8210262828535608"/>
    <x v="5"/>
    <n v="676000"/>
    <n v="736000"/>
  </r>
  <r>
    <s v="Shanaya Soman"/>
    <s v="STU231"/>
    <s v="ENR231"/>
    <x v="4"/>
    <x v="1"/>
    <n v="2"/>
    <s v="Computer Science Engineering"/>
    <x v="4"/>
    <n v="92000"/>
    <n v="77000"/>
    <n v="15000"/>
    <n v="0"/>
    <x v="0"/>
    <x v="1"/>
    <x v="3"/>
    <x v="3"/>
    <s v="India"/>
    <s v="gatik44@example.net"/>
    <n v="917442000000"/>
    <x v="2"/>
    <n v="66"/>
    <n v="60"/>
    <s v="Non-AC"/>
    <x v="1239"/>
    <d v="2000-08-07T00:00:00"/>
    <n v="-8.8210262828535608"/>
    <x v="0"/>
    <n v="184000"/>
    <n v="214000"/>
  </r>
  <r>
    <s v="Raghav Rastogi"/>
    <s v="STU853"/>
    <s v="ENR853"/>
    <x v="0"/>
    <x v="0"/>
    <n v="4"/>
    <s v="Computer Science and Engineering"/>
    <x v="8"/>
    <n v="169000"/>
    <n v="154000"/>
    <n v="15000"/>
    <n v="0"/>
    <x v="0"/>
    <x v="0"/>
    <x v="2"/>
    <x v="2"/>
    <s v="India"/>
    <s v="pganguly@example.net"/>
    <n v="918437000000"/>
    <x v="4"/>
    <n v="66"/>
    <n v="69"/>
    <s v="Non-AC"/>
    <x v="347"/>
    <d v="2003-11-11T00:00:00"/>
    <n v="-8.8210262828535608"/>
    <x v="3"/>
    <n v="676000"/>
    <n v="736000"/>
  </r>
  <r>
    <s v="Samaira Krishnan"/>
    <s v="STU117"/>
    <s v="ENR117"/>
    <x v="2"/>
    <x v="0"/>
    <n v="4"/>
    <s v="Computer Science and Engineering"/>
    <x v="4"/>
    <n v="169000"/>
    <n v="154000"/>
    <n v="15000"/>
    <n v="0"/>
    <x v="0"/>
    <x v="2"/>
    <x v="0"/>
    <x v="0"/>
    <s v="India"/>
    <s v="azad97@example.com"/>
    <n v="918648000000"/>
    <x v="4"/>
    <n v="66"/>
    <n v="78"/>
    <s v="AC"/>
    <x v="1240"/>
    <d v="2001-01-22T00:00:00"/>
    <n v="-8.8210262828535608"/>
    <x v="0"/>
    <n v="676000"/>
    <n v="736000"/>
  </r>
  <r>
    <s v="Kismat Chanda"/>
    <s v="STU281"/>
    <s v="ENR281"/>
    <x v="5"/>
    <x v="0"/>
    <n v="4"/>
    <s v="Computer Science and Engineering"/>
    <x v="0"/>
    <n v="169000"/>
    <n v="154000"/>
    <n v="15000"/>
    <n v="0"/>
    <x v="0"/>
    <x v="2"/>
    <x v="7"/>
    <x v="6"/>
    <s v="India"/>
    <s v="mvaidya@example.net"/>
    <n v="919921000000"/>
    <x v="2"/>
    <n v="66"/>
    <n v="78"/>
    <s v="Non-AC"/>
    <x v="1241"/>
    <d v="2003-01-04T00:00:00"/>
    <n v="-8.8210262828535608"/>
    <x v="2"/>
    <n v="676000"/>
    <n v="736000"/>
  </r>
  <r>
    <s v="Mohanlal Garg"/>
    <s v="STU240"/>
    <s v="ENR240"/>
    <x v="2"/>
    <x v="0"/>
    <n v="4"/>
    <s v="Computer Science and Engineering"/>
    <x v="6"/>
    <n v="169000"/>
    <n v="154000"/>
    <n v="15000"/>
    <n v="0"/>
    <x v="0"/>
    <x v="0"/>
    <x v="9"/>
    <x v="8"/>
    <s v="India"/>
    <s v="loyalaaryahi@example.com"/>
    <n v="917794000000"/>
    <x v="0"/>
    <n v="66"/>
    <n v="82"/>
    <s v="AC"/>
    <x v="1242"/>
    <d v="2001-08-24T00:00:00"/>
    <n v="-8.8210262828535608"/>
    <x v="6"/>
    <n v="676000"/>
    <n v="736000"/>
  </r>
  <r>
    <s v="Rohan Balakrishnan"/>
    <s v="STU216"/>
    <s v="ENR216"/>
    <x v="3"/>
    <x v="1"/>
    <n v="2"/>
    <s v="Computer Science Engineering"/>
    <x v="4"/>
    <n v="92000"/>
    <n v="77000"/>
    <n v="15000"/>
    <n v="0"/>
    <x v="0"/>
    <x v="1"/>
    <x v="3"/>
    <x v="3"/>
    <s v="India"/>
    <s v="msachdeva@example.com"/>
    <n v="919219000000"/>
    <x v="0"/>
    <n v="66"/>
    <n v="86"/>
    <s v="Non-AC"/>
    <x v="1243"/>
    <d v="1998-01-19T00:00:00"/>
    <n v="-8.8210262828535608"/>
    <x v="9"/>
    <n v="184000"/>
    <n v="214000"/>
  </r>
  <r>
    <s v="Jiya Wason"/>
    <s v="STU559"/>
    <s v="ENR559"/>
    <x v="2"/>
    <x v="0"/>
    <n v="4"/>
    <s v="Computer Science and Engineering"/>
    <x v="8"/>
    <n v="169000"/>
    <n v="154000"/>
    <n v="15000"/>
    <n v="0"/>
    <x v="0"/>
    <x v="1"/>
    <x v="1"/>
    <x v="1"/>
    <s v="India"/>
    <s v="jivin14@example.net"/>
    <n v="919215000000"/>
    <x v="1"/>
    <n v="66"/>
    <n v="87"/>
    <s v="AC"/>
    <x v="1244"/>
    <d v="2005-10-18T00:00:00"/>
    <n v="-8.8210262828535608"/>
    <x v="4"/>
    <n v="676000"/>
    <n v="736000"/>
  </r>
  <r>
    <s v="Gokul Vasa"/>
    <s v="STU084"/>
    <s v="ENR084"/>
    <x v="5"/>
    <x v="0"/>
    <n v="4"/>
    <s v="Computer Science and Engineering"/>
    <x v="2"/>
    <n v="169000"/>
    <n v="154000"/>
    <n v="15000"/>
    <n v="0"/>
    <x v="0"/>
    <x v="0"/>
    <x v="4"/>
    <x v="4"/>
    <s v="India"/>
    <s v="advik97@example.org"/>
    <n v="919647000000"/>
    <x v="2"/>
    <n v="66"/>
    <n v="72"/>
    <s v="Non-AC"/>
    <x v="1245"/>
    <d v="2005-06-20T00:00:00"/>
    <n v="-8.8210262828535608"/>
    <x v="5"/>
    <n v="676000"/>
    <n v="736000"/>
  </r>
  <r>
    <s v="Shlok Rana"/>
    <s v="STU952"/>
    <s v="ENR952"/>
    <x v="3"/>
    <x v="0"/>
    <n v="4"/>
    <s v="Computer Science and Engineering"/>
    <x v="3"/>
    <n v="169000"/>
    <n v="154000"/>
    <n v="15000"/>
    <n v="0"/>
    <x v="0"/>
    <x v="0"/>
    <x v="1"/>
    <x v="1"/>
    <s v="India"/>
    <s v="guhaadah@example.com"/>
    <n v="918292000000"/>
    <x v="2"/>
    <n v="66"/>
    <n v="83"/>
    <s v="Non-AC"/>
    <x v="1246"/>
    <d v="2003-12-13T00:00:00"/>
    <n v="-8.8210262828535608"/>
    <x v="3"/>
    <n v="676000"/>
    <n v="736000"/>
  </r>
  <r>
    <s v="Anay Warrior"/>
    <s v="STU353"/>
    <s v="ENR353"/>
    <x v="3"/>
    <x v="0"/>
    <n v="4"/>
    <s v="Computer Science and Engineering"/>
    <x v="1"/>
    <n v="169000"/>
    <n v="154000"/>
    <n v="15000"/>
    <n v="0"/>
    <x v="0"/>
    <x v="2"/>
    <x v="0"/>
    <x v="0"/>
    <s v="India"/>
    <s v="mahikasunder@example.com"/>
    <n v="917330000000"/>
    <x v="2"/>
    <n v="66"/>
    <n v="89"/>
    <s v="AC"/>
    <x v="1247"/>
    <d v="2003-11-04T00:00:00"/>
    <n v="-8.8210262828535608"/>
    <x v="3"/>
    <n v="676000"/>
    <n v="736000"/>
  </r>
  <r>
    <s v="Priyansh Rau"/>
    <s v="STU390"/>
    <s v="ENR390"/>
    <x v="1"/>
    <x v="0"/>
    <n v="4"/>
    <s v="Computer Science and Engineering"/>
    <x v="4"/>
    <n v="169000"/>
    <n v="154000"/>
    <n v="15000"/>
    <n v="0"/>
    <x v="0"/>
    <x v="1"/>
    <x v="3"/>
    <x v="3"/>
    <s v="India"/>
    <s v="ryan43@example.com"/>
    <n v="918767000000"/>
    <x v="1"/>
    <n v="66"/>
    <n v="73"/>
    <s v="Non-AC"/>
    <x v="1248"/>
    <d v="2004-12-08T00:00:00"/>
    <n v="-8.8210262828535608"/>
    <x v="5"/>
    <n v="676000"/>
    <n v="736000"/>
  </r>
  <r>
    <s v="Amani Sura"/>
    <s v="STU1057"/>
    <s v="ENR1057"/>
    <x v="2"/>
    <x v="0"/>
    <n v="4"/>
    <s v="Computer Science and Engineering"/>
    <x v="4"/>
    <n v="169000"/>
    <n v="154000"/>
    <n v="15000"/>
    <n v="0"/>
    <x v="0"/>
    <x v="1"/>
    <x v="1"/>
    <x v="1"/>
    <s v="India"/>
    <s v="keya71@example.net"/>
    <n v="918801000000"/>
    <x v="3"/>
    <n v="66"/>
    <n v="71"/>
    <s v="Non-AC"/>
    <x v="1249"/>
    <d v="2003-11-11T00:00:00"/>
    <n v="-8.8210262828535608"/>
    <x v="3"/>
    <n v="676000"/>
    <n v="736000"/>
  </r>
  <r>
    <s v="Shray Sethi"/>
    <s v="STU022"/>
    <s v="ENR022"/>
    <x v="1"/>
    <x v="0"/>
    <n v="4"/>
    <s v="Computer Science and Engineering"/>
    <x v="0"/>
    <n v="169000"/>
    <n v="154000"/>
    <n v="15000"/>
    <n v="0"/>
    <x v="0"/>
    <x v="0"/>
    <x v="5"/>
    <x v="5"/>
    <s v="India"/>
    <s v="adahsingh@example.org"/>
    <n v="918238000000"/>
    <x v="2"/>
    <n v="66"/>
    <n v="62"/>
    <s v="Non-AC"/>
    <x v="1250"/>
    <d v="2001-01-17T00:00:00"/>
    <n v="-8.8210262828535608"/>
    <x v="0"/>
    <n v="676000"/>
    <n v="736000"/>
  </r>
  <r>
    <s v="Misha Handa"/>
    <s v="STU423"/>
    <s v="ENR423"/>
    <x v="1"/>
    <x v="0"/>
    <n v="4"/>
    <s v="Computer Science and Engineering"/>
    <x v="6"/>
    <n v="169000"/>
    <n v="154000"/>
    <n v="15000"/>
    <n v="0"/>
    <x v="0"/>
    <x v="1"/>
    <x v="0"/>
    <x v="0"/>
    <s v="India"/>
    <s v="raghav24@example.net"/>
    <n v="918017000000"/>
    <x v="4"/>
    <n v="66"/>
    <n v="69"/>
    <s v="Non-AC"/>
    <x v="1251"/>
    <d v="2004-03-10T00:00:00"/>
    <n v="-8.8210262828535608"/>
    <x v="3"/>
    <n v="676000"/>
    <n v="736000"/>
  </r>
  <r>
    <s v="Priyansh Dalal"/>
    <s v="STU429"/>
    <s v="ENR429"/>
    <x v="5"/>
    <x v="0"/>
    <n v="4"/>
    <s v="Computer Science and Engineering"/>
    <x v="5"/>
    <n v="169000"/>
    <n v="154000"/>
    <n v="15000"/>
    <n v="0"/>
    <x v="0"/>
    <x v="2"/>
    <x v="5"/>
    <x v="5"/>
    <s v="India"/>
    <s v="jhavanya@example.net"/>
    <n v="918378000000"/>
    <x v="0"/>
    <n v="66"/>
    <n v="77"/>
    <s v="AC"/>
    <x v="1252"/>
    <d v="2001-09-28T00:00:00"/>
    <n v="-8.8210262828535608"/>
    <x v="6"/>
    <n v="676000"/>
    <n v="736000"/>
  </r>
  <r>
    <s v="Emir Ranganathan"/>
    <s v="STU434"/>
    <s v="ENR434"/>
    <x v="0"/>
    <x v="0"/>
    <n v="4"/>
    <s v="Computer Science and Engineering"/>
    <x v="5"/>
    <n v="169000"/>
    <n v="154000"/>
    <n v="15000"/>
    <n v="0"/>
    <x v="0"/>
    <x v="1"/>
    <x v="8"/>
    <x v="7"/>
    <s v="India"/>
    <s v="jivikatella@example.com"/>
    <n v="917197000000"/>
    <x v="1"/>
    <n v="66"/>
    <n v="77"/>
    <s v="Non-AC"/>
    <x v="1253"/>
    <d v="2002-02-12T00:00:00"/>
    <n v="-8.8210262828535608"/>
    <x v="6"/>
    <n v="676000"/>
    <n v="736000"/>
  </r>
  <r>
    <s v="Misha Soni"/>
    <s v="STU980"/>
    <s v="ENR980"/>
    <x v="3"/>
    <x v="0"/>
    <n v="4"/>
    <s v="Computer Science and Engineering"/>
    <x v="4"/>
    <n v="169000"/>
    <n v="154000"/>
    <n v="15000"/>
    <n v="0"/>
    <x v="0"/>
    <x v="2"/>
    <x v="7"/>
    <x v="6"/>
    <s v="India"/>
    <s v="ramanathanyashvi@example.net"/>
    <n v="919439000000"/>
    <x v="0"/>
    <n v="66"/>
    <n v="78"/>
    <s v="AC"/>
    <x v="1254"/>
    <d v="2002-04-24T00:00:00"/>
    <n v="-8.8210262828535608"/>
    <x v="6"/>
    <n v="676000"/>
    <n v="736000"/>
  </r>
  <r>
    <s v="Lakshit Golla"/>
    <s v="STU361"/>
    <s v="ENR361"/>
    <x v="4"/>
    <x v="0"/>
    <n v="4"/>
    <s v="Computer Science and Engineering"/>
    <x v="7"/>
    <n v="169000"/>
    <n v="154000"/>
    <n v="15000"/>
    <n v="0"/>
    <x v="0"/>
    <x v="2"/>
    <x v="6"/>
    <x v="3"/>
    <s v="India"/>
    <s v="tatafarhan@example.net"/>
    <n v="917425000000"/>
    <x v="1"/>
    <n v="66"/>
    <n v="74"/>
    <s v="AC"/>
    <x v="1255"/>
    <d v="2005-05-18T00:00:00"/>
    <n v="-8.8210262828535608"/>
    <x v="5"/>
    <n v="676000"/>
    <n v="736000"/>
  </r>
  <r>
    <s v="Ranbir Loke"/>
    <s v="STU451"/>
    <s v="ENR451"/>
    <x v="1"/>
    <x v="0"/>
    <n v="4"/>
    <s v="Computer Science and Engineering"/>
    <x v="1"/>
    <n v="169000"/>
    <n v="154000"/>
    <n v="15000"/>
    <n v="0"/>
    <x v="0"/>
    <x v="0"/>
    <x v="1"/>
    <x v="1"/>
    <s v="India"/>
    <s v="qsheth@example.org"/>
    <n v="917297000000"/>
    <x v="2"/>
    <n v="66"/>
    <n v="75"/>
    <s v="AC"/>
    <x v="1256"/>
    <d v="2002-08-19T00:00:00"/>
    <n v="-8.8210262828535608"/>
    <x v="2"/>
    <n v="676000"/>
    <n v="736000"/>
  </r>
  <r>
    <s v="Divyansh Bali"/>
    <s v="STU456"/>
    <s v="ENR456"/>
    <x v="1"/>
    <x v="0"/>
    <n v="4"/>
    <s v="Computer Science and Engineering"/>
    <x v="6"/>
    <n v="169000"/>
    <n v="154000"/>
    <n v="15000"/>
    <n v="0"/>
    <x v="0"/>
    <x v="1"/>
    <x v="8"/>
    <x v="7"/>
    <s v="India"/>
    <s v="nkoshy@example.net"/>
    <n v="919763000000"/>
    <x v="2"/>
    <n v="66"/>
    <n v="91"/>
    <s v="Non-AC"/>
    <x v="1257"/>
    <d v="2005-06-24T00:00:00"/>
    <n v="-8.8210262828535608"/>
    <x v="5"/>
    <n v="676000"/>
    <n v="736000"/>
  </r>
  <r>
    <s v="Hunar Loke"/>
    <s v="STU280"/>
    <s v="ENR280"/>
    <x v="1"/>
    <x v="1"/>
    <n v="2"/>
    <s v="Computer Science Engineering"/>
    <x v="6"/>
    <n v="92000"/>
    <n v="77000"/>
    <n v="15000"/>
    <n v="0"/>
    <x v="0"/>
    <x v="2"/>
    <x v="6"/>
    <x v="3"/>
    <s v="India"/>
    <s v="hazelmaster@example.com"/>
    <n v="917235000000"/>
    <x v="1"/>
    <n v="66"/>
    <n v="70"/>
    <s v="AC"/>
    <x v="1258"/>
    <d v="1999-11-06T00:00:00"/>
    <n v="-8.8210262828535608"/>
    <x v="1"/>
    <n v="184000"/>
    <n v="214000"/>
  </r>
  <r>
    <s v="Navya Anand"/>
    <s v="STU034"/>
    <s v="ENR034"/>
    <x v="3"/>
    <x v="0"/>
    <n v="4"/>
    <s v="Computer Science and Engineering"/>
    <x v="1"/>
    <n v="169000"/>
    <n v="154000"/>
    <n v="15000"/>
    <n v="0"/>
    <x v="0"/>
    <x v="2"/>
    <x v="9"/>
    <x v="8"/>
    <s v="India"/>
    <s v="neysa21@example.net"/>
    <n v="917555000000"/>
    <x v="4"/>
    <n v="66"/>
    <n v="69"/>
    <s v="Non-AC"/>
    <x v="1259"/>
    <d v="2004-06-08T00:00:00"/>
    <n v="-8.8210262828535608"/>
    <x v="3"/>
    <n v="676000"/>
    <n v="736000"/>
  </r>
  <r>
    <s v="Tejas Bose"/>
    <s v="STU1178"/>
    <s v="ENR1178"/>
    <x v="4"/>
    <x v="0"/>
    <n v="4"/>
    <s v="Computer Science and Engineering"/>
    <x v="4"/>
    <n v="169000"/>
    <n v="154000"/>
    <n v="15000"/>
    <n v="0"/>
    <x v="0"/>
    <x v="2"/>
    <x v="5"/>
    <x v="5"/>
    <s v="India"/>
    <s v="samaira52@example.net"/>
    <n v="918109000000"/>
    <x v="3"/>
    <n v="66"/>
    <n v="86"/>
    <s v="Non-AC"/>
    <x v="1260"/>
    <d v="2002-01-28T00:00:00"/>
    <n v="-8.8210262828535608"/>
    <x v="6"/>
    <n v="676000"/>
    <n v="736000"/>
  </r>
  <r>
    <s v="Aaina Karpe"/>
    <s v="STU1076"/>
    <s v="ENR1076"/>
    <x v="1"/>
    <x v="0"/>
    <n v="4"/>
    <s v="Computer Science and Engineering"/>
    <x v="6"/>
    <n v="169000"/>
    <n v="154000"/>
    <n v="15000"/>
    <n v="0"/>
    <x v="0"/>
    <x v="0"/>
    <x v="2"/>
    <x v="2"/>
    <s v="India"/>
    <s v="alishachoudhary@example.org"/>
    <n v="917894000000"/>
    <x v="0"/>
    <n v="66"/>
    <n v="90"/>
    <s v="Non-AC"/>
    <x v="1261"/>
    <d v="2002-07-10T00:00:00"/>
    <n v="-8.8210262828535608"/>
    <x v="2"/>
    <n v="676000"/>
    <n v="736000"/>
  </r>
  <r>
    <s v="Anay Swamy"/>
    <s v="STU717"/>
    <s v="ENR717"/>
    <x v="3"/>
    <x v="0"/>
    <n v="4"/>
    <s v="Computer Science and Engineering"/>
    <x v="6"/>
    <n v="169000"/>
    <n v="154000"/>
    <n v="15000"/>
    <n v="0"/>
    <x v="0"/>
    <x v="2"/>
    <x v="4"/>
    <x v="4"/>
    <s v="India"/>
    <s v="vardaniya82@example.com"/>
    <n v="917687000000"/>
    <x v="0"/>
    <n v="66"/>
    <n v="65"/>
    <s v="Non-AC"/>
    <x v="1262"/>
    <d v="2001-01-23T00:00:00"/>
    <n v="-8.8210262828535608"/>
    <x v="0"/>
    <n v="676000"/>
    <n v="736000"/>
  </r>
  <r>
    <s v="Ayesha Dubey"/>
    <s v="STU475"/>
    <s v="ENR475"/>
    <x v="0"/>
    <x v="0"/>
    <n v="4"/>
    <s v="Computer Science and Engineering"/>
    <x v="0"/>
    <n v="169000"/>
    <n v="154000"/>
    <n v="15000"/>
    <n v="0"/>
    <x v="0"/>
    <x v="2"/>
    <x v="3"/>
    <x v="3"/>
    <s v="India"/>
    <s v="ranganathankashvi@example.org"/>
    <n v="917144000000"/>
    <x v="2"/>
    <n v="66"/>
    <n v="75"/>
    <s v="Non-AC"/>
    <x v="1263"/>
    <d v="2005-02-04T00:00:00"/>
    <n v="-8.8210262828535608"/>
    <x v="5"/>
    <n v="676000"/>
    <n v="736000"/>
  </r>
  <r>
    <s v="Zain Mann"/>
    <s v="STU161"/>
    <s v="ENR161"/>
    <x v="1"/>
    <x v="1"/>
    <n v="2"/>
    <s v="Computer Science Engineering"/>
    <x v="4"/>
    <n v="92000"/>
    <n v="77000"/>
    <n v="15000"/>
    <n v="0"/>
    <x v="0"/>
    <x v="1"/>
    <x v="0"/>
    <x v="0"/>
    <s v="India"/>
    <s v="yogiojas@example.net"/>
    <n v="917674000000"/>
    <x v="4"/>
    <n v="66"/>
    <n v="60"/>
    <s v="Non-AC"/>
    <x v="1264"/>
    <d v="1998-12-16T00:00:00"/>
    <n v="-8.8210262828535608"/>
    <x v="7"/>
    <n v="184000"/>
    <n v="214000"/>
  </r>
  <r>
    <s v="Myra Baria"/>
    <s v="STU954"/>
    <s v="ENR954"/>
    <x v="3"/>
    <x v="0"/>
    <n v="4"/>
    <s v="Computer Science and Engineering"/>
    <x v="0"/>
    <n v="169000"/>
    <n v="154000"/>
    <n v="15000"/>
    <n v="0"/>
    <x v="0"/>
    <x v="1"/>
    <x v="0"/>
    <x v="0"/>
    <s v="India"/>
    <s v="urvi53@example.com"/>
    <n v="918412000000"/>
    <x v="4"/>
    <n v="66"/>
    <n v="85"/>
    <s v="Non-AC"/>
    <x v="1265"/>
    <d v="2006-01-17T00:00:00"/>
    <n v="-8.8210262828535608"/>
    <x v="4"/>
    <n v="676000"/>
    <n v="736000"/>
  </r>
  <r>
    <s v="Renee Rege"/>
    <s v="STU1167"/>
    <s v="ENR1167"/>
    <x v="2"/>
    <x v="0"/>
    <n v="4"/>
    <s v="Computer Science and Engineering"/>
    <x v="5"/>
    <n v="169000"/>
    <n v="154000"/>
    <n v="15000"/>
    <n v="0"/>
    <x v="0"/>
    <x v="0"/>
    <x v="6"/>
    <x v="3"/>
    <s v="India"/>
    <s v="jayantdhillon@example.com"/>
    <n v="917913000000"/>
    <x v="1"/>
    <n v="66"/>
    <n v="73"/>
    <s v="Non-AC"/>
    <x v="1266"/>
    <d v="2001-12-08T00:00:00"/>
    <n v="-8.8210262828535608"/>
    <x v="6"/>
    <n v="676000"/>
    <n v="736000"/>
  </r>
  <r>
    <s v="Kavya Lad"/>
    <s v="STU953"/>
    <s v="ENR953"/>
    <x v="1"/>
    <x v="0"/>
    <n v="4"/>
    <s v="Computer Science and Engineering"/>
    <x v="0"/>
    <n v="169000"/>
    <n v="154000"/>
    <n v="15000"/>
    <n v="0"/>
    <x v="0"/>
    <x v="0"/>
    <x v="7"/>
    <x v="6"/>
    <s v="India"/>
    <s v="aniruddhchadha@example.org"/>
    <n v="918861000000"/>
    <x v="0"/>
    <n v="66"/>
    <n v="60"/>
    <s v="Non-AC"/>
    <x v="1267"/>
    <d v="2003-01-15T00:00:00"/>
    <n v="-8.8210262828535608"/>
    <x v="2"/>
    <n v="676000"/>
    <n v="736000"/>
  </r>
  <r>
    <s v="Khushi Srivastava"/>
    <s v="STU701"/>
    <s v="ENR701"/>
    <x v="2"/>
    <x v="0"/>
    <n v="4"/>
    <s v="Computer Science and Engineering"/>
    <x v="9"/>
    <n v="169000"/>
    <n v="154000"/>
    <n v="15000"/>
    <n v="0"/>
    <x v="0"/>
    <x v="0"/>
    <x v="7"/>
    <x v="6"/>
    <s v="India"/>
    <s v="advikasandhu@example.net"/>
    <n v="919404000000"/>
    <x v="4"/>
    <n v="66"/>
    <n v="88"/>
    <s v="AC"/>
    <x v="1268"/>
    <d v="2006-01-25T00:00:00"/>
    <n v="-8.8210262828535608"/>
    <x v="4"/>
    <n v="676000"/>
    <n v="736000"/>
  </r>
  <r>
    <s v="Purab Walia"/>
    <s v="STU725"/>
    <s v="ENR725"/>
    <x v="3"/>
    <x v="0"/>
    <n v="4"/>
    <s v="Computer Science and Engineering"/>
    <x v="8"/>
    <n v="169000"/>
    <n v="154000"/>
    <n v="15000"/>
    <n v="0"/>
    <x v="0"/>
    <x v="2"/>
    <x v="8"/>
    <x v="7"/>
    <s v="India"/>
    <s v="armaanbhatti@example.org"/>
    <n v="917170000000"/>
    <x v="2"/>
    <n v="66"/>
    <n v="89"/>
    <s v="Non-AC"/>
    <x v="1269"/>
    <d v="2005-03-08T00:00:00"/>
    <n v="-8.8210262828535608"/>
    <x v="5"/>
    <n v="676000"/>
    <n v="736000"/>
  </r>
  <r>
    <s v="Biju Sarna"/>
    <s v="STU817"/>
    <s v="ENR817"/>
    <x v="5"/>
    <x v="0"/>
    <n v="4"/>
    <s v="Computer Science and Engineering"/>
    <x v="3"/>
    <n v="169000"/>
    <n v="154000"/>
    <n v="15000"/>
    <n v="0"/>
    <x v="0"/>
    <x v="1"/>
    <x v="3"/>
    <x v="3"/>
    <s v="India"/>
    <s v="nayantarasarna@example.net"/>
    <n v="919929000000"/>
    <x v="2"/>
    <n v="66"/>
    <n v="89"/>
    <s v="AC"/>
    <x v="1270"/>
    <d v="2002-05-31T00:00:00"/>
    <n v="-8.8210262828535608"/>
    <x v="6"/>
    <n v="676000"/>
    <n v="736000"/>
  </r>
  <r>
    <s v="Shray Shukla"/>
    <s v="STU271"/>
    <s v="ENR271"/>
    <x v="1"/>
    <x v="1"/>
    <n v="2"/>
    <s v="Computer Science Engineering"/>
    <x v="6"/>
    <n v="92000"/>
    <n v="77000"/>
    <n v="15000"/>
    <n v="0"/>
    <x v="0"/>
    <x v="2"/>
    <x v="3"/>
    <x v="3"/>
    <s v="India"/>
    <s v="uthkarsh76@example.net"/>
    <n v="919701000000"/>
    <x v="4"/>
    <n v="65"/>
    <n v="84"/>
    <s v="AC"/>
    <x v="1271"/>
    <d v="2002-06-02T00:00:00"/>
    <n v="-9.8210262828535608"/>
    <x v="6"/>
    <n v="184000"/>
    <n v="214000"/>
  </r>
  <r>
    <s v="Amani Dada"/>
    <s v="STU264"/>
    <s v="ENR264"/>
    <x v="5"/>
    <x v="0"/>
    <n v="4"/>
    <s v="Computer Science and Engineering"/>
    <x v="6"/>
    <n v="169000"/>
    <n v="154000"/>
    <n v="15000"/>
    <n v="0"/>
    <x v="0"/>
    <x v="2"/>
    <x v="4"/>
    <x v="4"/>
    <s v="India"/>
    <s v="anvibora@example.org"/>
    <n v="918628000000"/>
    <x v="2"/>
    <n v="65"/>
    <n v="74"/>
    <s v="Non-AC"/>
    <x v="1272"/>
    <d v="2002-12-05T00:00:00"/>
    <n v="-9.8210262828535608"/>
    <x v="2"/>
    <n v="676000"/>
    <n v="736000"/>
  </r>
  <r>
    <s v="Divij Sandhu"/>
    <s v="STU013"/>
    <s v="ENR013"/>
    <x v="5"/>
    <x v="0"/>
    <n v="4"/>
    <s v="Computer Science and Engineering"/>
    <x v="6"/>
    <n v="169000"/>
    <n v="154000"/>
    <n v="15000"/>
    <n v="0"/>
    <x v="0"/>
    <x v="0"/>
    <x v="7"/>
    <x v="6"/>
    <s v="India"/>
    <s v="mannebhamini@example.com"/>
    <n v="917579000000"/>
    <x v="2"/>
    <n v="65"/>
    <n v="65"/>
    <s v="AC"/>
    <x v="1273"/>
    <d v="2004-04-21T00:00:00"/>
    <n v="-9.8210262828535608"/>
    <x v="3"/>
    <n v="676000"/>
    <n v="736000"/>
  </r>
  <r>
    <s v="Renee Sarraf"/>
    <s v="STU362"/>
    <s v="ENR362"/>
    <x v="4"/>
    <x v="0"/>
    <n v="4"/>
    <s v="Computer Science and Engineering"/>
    <x v="3"/>
    <n v="169000"/>
    <n v="154000"/>
    <n v="15000"/>
    <n v="0"/>
    <x v="0"/>
    <x v="1"/>
    <x v="5"/>
    <x v="5"/>
    <s v="India"/>
    <s v="reneesarma@example.com"/>
    <n v="919641000000"/>
    <x v="3"/>
    <n v="65"/>
    <n v="85"/>
    <s v="Non-AC"/>
    <x v="1274"/>
    <d v="2001-04-07T00:00:00"/>
    <n v="-9.8210262828535608"/>
    <x v="0"/>
    <n v="676000"/>
    <n v="736000"/>
  </r>
  <r>
    <s v="Ahana  Boase"/>
    <s v="STU320"/>
    <s v="ENR320"/>
    <x v="5"/>
    <x v="1"/>
    <n v="2"/>
    <s v="Computer Science Engineering"/>
    <x v="5"/>
    <n v="92000"/>
    <n v="77000"/>
    <n v="15000"/>
    <n v="0"/>
    <x v="0"/>
    <x v="2"/>
    <x v="9"/>
    <x v="8"/>
    <s v="India"/>
    <s v="rohan59@example.com"/>
    <n v="919314000000"/>
    <x v="0"/>
    <n v="65"/>
    <n v="61"/>
    <s v="AC"/>
    <x v="1275"/>
    <d v="2000-08-06T00:00:00"/>
    <n v="-9.8210262828535608"/>
    <x v="0"/>
    <n v="184000"/>
    <n v="214000"/>
  </r>
  <r>
    <s v="Tarini Savant"/>
    <s v="STU413"/>
    <s v="ENR413"/>
    <x v="3"/>
    <x v="0"/>
    <n v="4"/>
    <s v="Computer Science and Engineering"/>
    <x v="3"/>
    <n v="169000"/>
    <n v="154000"/>
    <n v="15000"/>
    <n v="0"/>
    <x v="0"/>
    <x v="2"/>
    <x v="5"/>
    <x v="5"/>
    <s v="India"/>
    <s v="ranbirdevan@example.net"/>
    <n v="917435000000"/>
    <x v="2"/>
    <n v="65"/>
    <n v="76"/>
    <s v="Non-AC"/>
    <x v="1276"/>
    <d v="2004-04-06T00:00:00"/>
    <n v="-9.8210262828535608"/>
    <x v="3"/>
    <n v="676000"/>
    <n v="736000"/>
  </r>
  <r>
    <s v="Reyansh Dey"/>
    <s v="STU376"/>
    <s v="ENR376"/>
    <x v="3"/>
    <x v="0"/>
    <n v="4"/>
    <s v="Computer Science and Engineering"/>
    <x v="3"/>
    <n v="169000"/>
    <n v="154000"/>
    <n v="15000"/>
    <n v="0"/>
    <x v="0"/>
    <x v="0"/>
    <x v="2"/>
    <x v="2"/>
    <s v="India"/>
    <s v="samarth46@example.net"/>
    <n v="919747000000"/>
    <x v="1"/>
    <n v="65"/>
    <n v="61"/>
    <s v="AC"/>
    <x v="1277"/>
    <d v="2003-02-03T00:00:00"/>
    <n v="-9.8210262828535608"/>
    <x v="2"/>
    <n v="676000"/>
    <n v="736000"/>
  </r>
  <r>
    <s v="Kiara Kala"/>
    <s v="STU318"/>
    <s v="ENR318"/>
    <x v="5"/>
    <x v="1"/>
    <n v="2"/>
    <s v="Computer Science Engineering"/>
    <x v="1"/>
    <n v="92000"/>
    <n v="77000"/>
    <n v="15000"/>
    <n v="0"/>
    <x v="0"/>
    <x v="1"/>
    <x v="4"/>
    <x v="4"/>
    <s v="India"/>
    <s v="gokulbanik@example.org"/>
    <n v="917083000000"/>
    <x v="2"/>
    <n v="65"/>
    <n v="88"/>
    <s v="Non-AC"/>
    <x v="1278"/>
    <d v="2002-04-14T00:00:00"/>
    <n v="-9.8210262828535608"/>
    <x v="6"/>
    <n v="184000"/>
    <n v="214000"/>
  </r>
  <r>
    <s v="Jivin Manne"/>
    <s v="STU030"/>
    <s v="ENR030"/>
    <x v="5"/>
    <x v="0"/>
    <n v="4"/>
    <s v="Computer Science and Engineering"/>
    <x v="8"/>
    <n v="169000"/>
    <n v="154000"/>
    <n v="15000"/>
    <n v="0"/>
    <x v="0"/>
    <x v="0"/>
    <x v="5"/>
    <x v="5"/>
    <s v="India"/>
    <s v="sakshamsinha@example.org"/>
    <n v="919788000000"/>
    <x v="2"/>
    <n v="65"/>
    <n v="74"/>
    <s v="AC"/>
    <x v="1279"/>
    <d v="2001-11-10T00:00:00"/>
    <n v="-9.8210262828535608"/>
    <x v="6"/>
    <n v="676000"/>
    <n v="736000"/>
  </r>
  <r>
    <s v="Zeeshan Ratti"/>
    <s v="STU228"/>
    <s v="ENR228"/>
    <x v="5"/>
    <x v="1"/>
    <n v="2"/>
    <s v="Computer Science Engineering"/>
    <x v="1"/>
    <n v="92000"/>
    <n v="77000"/>
    <n v="15000"/>
    <n v="0"/>
    <x v="0"/>
    <x v="0"/>
    <x v="3"/>
    <x v="3"/>
    <s v="India"/>
    <s v="ryan23@example.net"/>
    <n v="918930000000"/>
    <x v="0"/>
    <n v="65"/>
    <n v="82"/>
    <s v="AC"/>
    <x v="1280"/>
    <d v="2001-03-01T00:00:00"/>
    <n v="-9.8210262828535608"/>
    <x v="0"/>
    <n v="184000"/>
    <n v="214000"/>
  </r>
  <r>
    <s v="Nayantara Karpe"/>
    <s v="STU066"/>
    <s v="ENR066"/>
    <x v="2"/>
    <x v="0"/>
    <n v="4"/>
    <s v="Computer Science and Engineering"/>
    <x v="8"/>
    <n v="169000"/>
    <n v="154000"/>
    <n v="15000"/>
    <n v="0"/>
    <x v="0"/>
    <x v="1"/>
    <x v="5"/>
    <x v="5"/>
    <s v="India"/>
    <s v="suraabram@example.com"/>
    <n v="918905000000"/>
    <x v="2"/>
    <n v="65"/>
    <n v="69"/>
    <s v="Non-AC"/>
    <x v="1281"/>
    <d v="2001-06-12T00:00:00"/>
    <n v="-9.8210262828535608"/>
    <x v="0"/>
    <n v="676000"/>
    <n v="736000"/>
  </r>
  <r>
    <s v="Jayant Thakkar"/>
    <s v="STU351"/>
    <s v="ENR351"/>
    <x v="4"/>
    <x v="1"/>
    <n v="2"/>
    <s v="Computer Science Engineering"/>
    <x v="0"/>
    <n v="92000"/>
    <n v="77000"/>
    <n v="15000"/>
    <n v="0"/>
    <x v="0"/>
    <x v="1"/>
    <x v="5"/>
    <x v="5"/>
    <s v="India"/>
    <s v="loyalurvi@example.com"/>
    <n v="919845000000"/>
    <x v="2"/>
    <n v="65"/>
    <n v="73"/>
    <s v="Non-AC"/>
    <x v="1282"/>
    <d v="2001-12-05T00:00:00"/>
    <n v="-9.8210262828535608"/>
    <x v="6"/>
    <n v="184000"/>
    <n v="214000"/>
  </r>
  <r>
    <s v="Miraan Bajaj"/>
    <s v="STU561"/>
    <s v="ENR561"/>
    <x v="2"/>
    <x v="0"/>
    <n v="4"/>
    <s v="Computer Science and Engineering"/>
    <x v="6"/>
    <n v="169000"/>
    <n v="154000"/>
    <n v="15000"/>
    <n v="0"/>
    <x v="0"/>
    <x v="0"/>
    <x v="4"/>
    <x v="4"/>
    <s v="India"/>
    <s v="nehmatvarma@example.com"/>
    <n v="919929000000"/>
    <x v="4"/>
    <n v="65"/>
    <n v="69"/>
    <s v="AC"/>
    <x v="1283"/>
    <d v="2003-08-25T00:00:00"/>
    <n v="-9.8210262828535608"/>
    <x v="3"/>
    <n v="676000"/>
    <n v="736000"/>
  </r>
  <r>
    <s v="Nitara Balan"/>
    <s v="STU244"/>
    <s v="ENR244"/>
    <x v="5"/>
    <x v="1"/>
    <n v="2"/>
    <s v="Computer Science Engineering"/>
    <x v="6"/>
    <n v="92000"/>
    <n v="77000"/>
    <n v="15000"/>
    <n v="0"/>
    <x v="0"/>
    <x v="1"/>
    <x v="4"/>
    <x v="4"/>
    <s v="India"/>
    <s v="ichaudhry@example.com"/>
    <n v="918468000000"/>
    <x v="3"/>
    <n v="65"/>
    <n v="92"/>
    <s v="Non-AC"/>
    <x v="1284"/>
    <d v="2000-01-18T00:00:00"/>
    <n v="-9.8210262828535608"/>
    <x v="1"/>
    <n v="184000"/>
    <n v="214000"/>
  </r>
  <r>
    <s v="Misha Maharaj"/>
    <s v="STU449"/>
    <s v="ENR449"/>
    <x v="1"/>
    <x v="0"/>
    <n v="4"/>
    <s v="Computer Science and Engineering"/>
    <x v="6"/>
    <n v="169000"/>
    <n v="154000"/>
    <n v="15000"/>
    <n v="0"/>
    <x v="0"/>
    <x v="0"/>
    <x v="2"/>
    <x v="2"/>
    <s v="India"/>
    <s v="vyadav@example.com"/>
    <n v="919358000000"/>
    <x v="4"/>
    <n v="65"/>
    <n v="79"/>
    <s v="Non-AC"/>
    <x v="1285"/>
    <d v="2002-12-22T00:00:00"/>
    <n v="-9.8210262828535608"/>
    <x v="2"/>
    <n v="676000"/>
    <n v="736000"/>
  </r>
  <r>
    <s v="Zeeshan Tiwari"/>
    <s v="STU357"/>
    <s v="ENR357"/>
    <x v="0"/>
    <x v="0"/>
    <n v="4"/>
    <s v="Computer Science and Engineering"/>
    <x v="6"/>
    <n v="169000"/>
    <n v="154000"/>
    <n v="15000"/>
    <n v="0"/>
    <x v="0"/>
    <x v="2"/>
    <x v="5"/>
    <x v="5"/>
    <s v="India"/>
    <s v="pramesh@example.net"/>
    <n v="919342000000"/>
    <x v="0"/>
    <n v="65"/>
    <n v="86"/>
    <s v="Non-AC"/>
    <x v="1286"/>
    <d v="2005-11-14T00:00:00"/>
    <n v="-9.8210262828535608"/>
    <x v="4"/>
    <n v="676000"/>
    <n v="736000"/>
  </r>
  <r>
    <s v="Aayush Lall"/>
    <s v="STU346"/>
    <s v="ENR346"/>
    <x v="3"/>
    <x v="0"/>
    <n v="4"/>
    <s v="Computer Science and Engineering"/>
    <x v="7"/>
    <n v="169000"/>
    <n v="154000"/>
    <n v="15000"/>
    <n v="0"/>
    <x v="0"/>
    <x v="0"/>
    <x v="8"/>
    <x v="7"/>
    <s v="India"/>
    <s v="qdin@example.net"/>
    <n v="917998000000"/>
    <x v="3"/>
    <n v="65"/>
    <n v="75"/>
    <s v="AC"/>
    <x v="1287"/>
    <d v="2000-11-12T00:00:00"/>
    <n v="-9.8210262828535608"/>
    <x v="0"/>
    <n v="676000"/>
    <n v="736000"/>
  </r>
  <r>
    <s v="Madhav Hora"/>
    <s v="STU961"/>
    <s v="ENR961"/>
    <x v="0"/>
    <x v="0"/>
    <n v="4"/>
    <s v="Computer Science and Engineering"/>
    <x v="5"/>
    <n v="169000"/>
    <n v="154000"/>
    <n v="15000"/>
    <n v="0"/>
    <x v="0"/>
    <x v="2"/>
    <x v="4"/>
    <x v="4"/>
    <s v="India"/>
    <s v="asrinivas@example.net"/>
    <n v="919873000000"/>
    <x v="2"/>
    <n v="65"/>
    <n v="75"/>
    <s v="Non-AC"/>
    <x v="1288"/>
    <d v="2001-02-28T00:00:00"/>
    <n v="-9.8210262828535608"/>
    <x v="0"/>
    <n v="676000"/>
    <n v="736000"/>
  </r>
  <r>
    <s v="Jayan Bandi"/>
    <s v="STU1080"/>
    <s v="ENR1080"/>
    <x v="3"/>
    <x v="0"/>
    <n v="4"/>
    <s v="Computer Science and Engineering"/>
    <x v="3"/>
    <n v="169000"/>
    <n v="154000"/>
    <n v="15000"/>
    <n v="0"/>
    <x v="0"/>
    <x v="1"/>
    <x v="5"/>
    <x v="5"/>
    <s v="India"/>
    <s v="dbhagat@example.org"/>
    <n v="919625000000"/>
    <x v="1"/>
    <n v="65"/>
    <n v="61"/>
    <s v="Non-AC"/>
    <x v="1289"/>
    <d v="2001-12-05T00:00:00"/>
    <n v="-9.8210262828535608"/>
    <x v="6"/>
    <n v="676000"/>
    <n v="736000"/>
  </r>
  <r>
    <s v="Shlok Konda"/>
    <s v="STU283"/>
    <s v="ENR283"/>
    <x v="0"/>
    <x v="0"/>
    <n v="4"/>
    <s v="Computer Science and Engineering"/>
    <x v="4"/>
    <n v="169000"/>
    <n v="154000"/>
    <n v="15000"/>
    <n v="0"/>
    <x v="0"/>
    <x v="0"/>
    <x v="8"/>
    <x v="7"/>
    <s v="India"/>
    <s v="duaivana@example.org"/>
    <n v="918250000000"/>
    <x v="3"/>
    <n v="65"/>
    <n v="75"/>
    <s v="Non-AC"/>
    <x v="1290"/>
    <d v="2005-12-12T00:00:00"/>
    <n v="-9.8210262828535608"/>
    <x v="4"/>
    <n v="676000"/>
    <n v="736000"/>
  </r>
  <r>
    <s v="Samaira Divan"/>
    <s v="STU463"/>
    <s v="ENR463"/>
    <x v="3"/>
    <x v="0"/>
    <n v="4"/>
    <s v="Computer Science and Engineering"/>
    <x v="0"/>
    <n v="169000"/>
    <n v="154000"/>
    <n v="15000"/>
    <n v="0"/>
    <x v="0"/>
    <x v="1"/>
    <x v="0"/>
    <x v="0"/>
    <s v="India"/>
    <s v="bakshikaira@example.net"/>
    <n v="917862000000"/>
    <x v="2"/>
    <n v="65"/>
    <n v="73"/>
    <s v="Non-AC"/>
    <x v="1291"/>
    <d v="2002-10-14T00:00:00"/>
    <n v="-9.8210262828535608"/>
    <x v="2"/>
    <n v="676000"/>
    <n v="736000"/>
  </r>
  <r>
    <s v="Purab Ramanathan"/>
    <s v="STU285"/>
    <s v="ENR285"/>
    <x v="1"/>
    <x v="0"/>
    <n v="4"/>
    <s v="Computer Science and Engineering"/>
    <x v="0"/>
    <n v="169000"/>
    <n v="154000"/>
    <n v="15000"/>
    <n v="0"/>
    <x v="0"/>
    <x v="0"/>
    <x v="6"/>
    <x v="3"/>
    <s v="India"/>
    <s v="sanghatiya@example.org"/>
    <n v="917530000000"/>
    <x v="1"/>
    <n v="65"/>
    <n v="63"/>
    <s v="Non-AC"/>
    <x v="1292"/>
    <d v="2003-10-07T00:00:00"/>
    <n v="-9.8210262828535608"/>
    <x v="3"/>
    <n v="676000"/>
    <n v="736000"/>
  </r>
  <r>
    <s v="Aradhya Ahluwalia"/>
    <s v="STU538"/>
    <s v="ENR538"/>
    <x v="4"/>
    <x v="0"/>
    <n v="4"/>
    <s v="Computer Science and Engineering"/>
    <x v="4"/>
    <n v="169000"/>
    <n v="154000"/>
    <n v="15000"/>
    <n v="0"/>
    <x v="0"/>
    <x v="1"/>
    <x v="0"/>
    <x v="0"/>
    <s v="India"/>
    <s v="shayak75@example.org"/>
    <n v="918304000000"/>
    <x v="1"/>
    <n v="65"/>
    <n v="81"/>
    <s v="Non-AC"/>
    <x v="1293"/>
    <d v="2006-01-05T00:00:00"/>
    <n v="-9.8210262828535608"/>
    <x v="4"/>
    <n v="676000"/>
    <n v="736000"/>
  </r>
  <r>
    <s v="Jayant Dash"/>
    <s v="STU469"/>
    <s v="ENR469"/>
    <x v="2"/>
    <x v="0"/>
    <n v="4"/>
    <s v="Computer Science and Engineering"/>
    <x v="8"/>
    <n v="169000"/>
    <n v="154000"/>
    <n v="15000"/>
    <n v="0"/>
    <x v="0"/>
    <x v="1"/>
    <x v="5"/>
    <x v="5"/>
    <s v="India"/>
    <s v="bbarad@example.com"/>
    <n v="917116000000"/>
    <x v="3"/>
    <n v="65"/>
    <n v="89"/>
    <s v="Non-AC"/>
    <x v="1294"/>
    <d v="2003-04-10T00:00:00"/>
    <n v="-9.8210262828535608"/>
    <x v="2"/>
    <n v="676000"/>
    <n v="736000"/>
  </r>
  <r>
    <s v="Dhanuk Butala"/>
    <s v="STU318"/>
    <s v="ENR318"/>
    <x v="5"/>
    <x v="0"/>
    <n v="4"/>
    <s v="Computer Science and Engineering"/>
    <x v="2"/>
    <n v="169000"/>
    <n v="154000"/>
    <n v="15000"/>
    <n v="0"/>
    <x v="0"/>
    <x v="1"/>
    <x v="1"/>
    <x v="1"/>
    <s v="India"/>
    <s v="hridaandayal@example.com"/>
    <n v="917036000000"/>
    <x v="2"/>
    <n v="65"/>
    <n v="80"/>
    <s v="AC"/>
    <x v="1295"/>
    <d v="2003-04-02T00:00:00"/>
    <n v="-9.8210262828535608"/>
    <x v="2"/>
    <n v="676000"/>
    <n v="736000"/>
  </r>
  <r>
    <s v="Anika Biswas"/>
    <s v="STU388"/>
    <s v="ENR388"/>
    <x v="1"/>
    <x v="0"/>
    <n v="4"/>
    <s v="Computer Science and Engineering"/>
    <x v="9"/>
    <n v="169000"/>
    <n v="154000"/>
    <n v="15000"/>
    <n v="0"/>
    <x v="0"/>
    <x v="1"/>
    <x v="6"/>
    <x v="3"/>
    <s v="India"/>
    <s v="krishsarkar@example.org"/>
    <n v="919707000000"/>
    <x v="3"/>
    <n v="65"/>
    <n v="61"/>
    <s v="AC"/>
    <x v="1296"/>
    <d v="2003-12-19T00:00:00"/>
    <n v="-9.8210262828535608"/>
    <x v="3"/>
    <n v="676000"/>
    <n v="736000"/>
  </r>
  <r>
    <s v="Hansh Ramakrishnan"/>
    <s v="STU647"/>
    <s v="ENR647"/>
    <x v="2"/>
    <x v="0"/>
    <n v="4"/>
    <s v="Computer Science and Engineering"/>
    <x v="3"/>
    <n v="169000"/>
    <n v="154000"/>
    <n v="15000"/>
    <n v="0"/>
    <x v="0"/>
    <x v="0"/>
    <x v="3"/>
    <x v="3"/>
    <s v="India"/>
    <s v="fateh52@example.org"/>
    <n v="917973000000"/>
    <x v="2"/>
    <n v="65"/>
    <n v="61"/>
    <s v="AC"/>
    <x v="1297"/>
    <d v="2004-07-18T00:00:00"/>
    <n v="-9.8210262828535608"/>
    <x v="5"/>
    <n v="676000"/>
    <n v="736000"/>
  </r>
  <r>
    <s v="Kismat Basak"/>
    <s v="STU237"/>
    <s v="ENR237"/>
    <x v="4"/>
    <x v="0"/>
    <n v="4"/>
    <s v="Computer Science and Engineering"/>
    <x v="9"/>
    <n v="169000"/>
    <n v="154000"/>
    <n v="15000"/>
    <n v="0"/>
    <x v="0"/>
    <x v="0"/>
    <x v="4"/>
    <x v="4"/>
    <s v="India"/>
    <s v="nbalasubramanian@example.com"/>
    <n v="918680000000"/>
    <x v="1"/>
    <n v="65"/>
    <n v="62"/>
    <s v="AC"/>
    <x v="1298"/>
    <d v="2001-06-29T00:00:00"/>
    <n v="-9.8210262828535608"/>
    <x v="0"/>
    <n v="676000"/>
    <n v="736000"/>
  </r>
  <r>
    <s v="Nirvaan Arya"/>
    <s v="STU386"/>
    <s v="ENR386"/>
    <x v="1"/>
    <x v="0"/>
    <n v="4"/>
    <s v="Computer Science and Engineering"/>
    <x v="5"/>
    <n v="169000"/>
    <n v="154000"/>
    <n v="15000"/>
    <n v="0"/>
    <x v="0"/>
    <x v="2"/>
    <x v="8"/>
    <x v="7"/>
    <s v="India"/>
    <s v="hariakarsh@example.org"/>
    <n v="919594000000"/>
    <x v="4"/>
    <n v="65"/>
    <n v="78"/>
    <s v="AC"/>
    <x v="1299"/>
    <d v="2004-07-04T00:00:00"/>
    <n v="-9.8210262828535608"/>
    <x v="3"/>
    <n v="676000"/>
    <n v="736000"/>
  </r>
  <r>
    <s v="Misha Datta"/>
    <s v="STU156"/>
    <s v="ENR156"/>
    <x v="4"/>
    <x v="1"/>
    <n v="2"/>
    <s v="Computer Science Engineering"/>
    <x v="4"/>
    <n v="92000"/>
    <n v="77000"/>
    <n v="15000"/>
    <n v="0"/>
    <x v="0"/>
    <x v="0"/>
    <x v="1"/>
    <x v="1"/>
    <s v="India"/>
    <s v="xrandhawa@example.com"/>
    <n v="919417000000"/>
    <x v="1"/>
    <n v="65"/>
    <n v="91"/>
    <s v="Non-AC"/>
    <x v="1300"/>
    <d v="2002-03-07T00:00:00"/>
    <n v="-9.8210262828535608"/>
    <x v="6"/>
    <n v="184000"/>
    <n v="214000"/>
  </r>
  <r>
    <s v="Tiya Chaudhari"/>
    <s v="STU186"/>
    <s v="ENR186"/>
    <x v="2"/>
    <x v="1"/>
    <n v="2"/>
    <s v="Computer Science Engineering"/>
    <x v="3"/>
    <n v="92000"/>
    <n v="77000"/>
    <n v="15000"/>
    <n v="0"/>
    <x v="0"/>
    <x v="2"/>
    <x v="5"/>
    <x v="5"/>
    <s v="India"/>
    <s v="brout@example.net"/>
    <n v="919783000000"/>
    <x v="1"/>
    <n v="65"/>
    <n v="75"/>
    <s v="Non-AC"/>
    <x v="1301"/>
    <d v="1998-04-30T00:00:00"/>
    <n v="-9.8210262828535608"/>
    <x v="9"/>
    <n v="184000"/>
    <n v="214000"/>
  </r>
  <r>
    <s v="Sara Madan"/>
    <s v="STU808"/>
    <s v="ENR808"/>
    <x v="5"/>
    <x v="0"/>
    <n v="4"/>
    <s v="Computer Science and Engineering"/>
    <x v="0"/>
    <n v="169000"/>
    <n v="154000"/>
    <n v="15000"/>
    <n v="0"/>
    <x v="0"/>
    <x v="1"/>
    <x v="1"/>
    <x v="1"/>
    <s v="India"/>
    <s v="madanabram@example.com"/>
    <n v="918394000000"/>
    <x v="4"/>
    <n v="65"/>
    <n v="81"/>
    <s v="Non-AC"/>
    <x v="1302"/>
    <d v="2004-07-04T00:00:00"/>
    <n v="-9.8210262828535608"/>
    <x v="3"/>
    <n v="676000"/>
    <n v="736000"/>
  </r>
  <r>
    <s v="Prerak Kata"/>
    <s v="STU230"/>
    <s v="ENR230"/>
    <x v="3"/>
    <x v="0"/>
    <n v="4"/>
    <s v="Computer Science and Engineering"/>
    <x v="2"/>
    <n v="169000"/>
    <n v="154000"/>
    <n v="15000"/>
    <n v="0"/>
    <x v="0"/>
    <x v="0"/>
    <x v="7"/>
    <x v="6"/>
    <s v="India"/>
    <s v="lakshitkoshy@example.net"/>
    <n v="917590000000"/>
    <x v="3"/>
    <n v="65"/>
    <n v="64"/>
    <s v="Non-AC"/>
    <x v="1303"/>
    <d v="2002-02-02T00:00:00"/>
    <n v="-9.8210262828535608"/>
    <x v="6"/>
    <n v="676000"/>
    <n v="736000"/>
  </r>
  <r>
    <s v="Onkar Mandal"/>
    <s v="STU828"/>
    <s v="ENR828"/>
    <x v="0"/>
    <x v="0"/>
    <n v="4"/>
    <s v="Computer Science and Engineering"/>
    <x v="6"/>
    <n v="169000"/>
    <n v="154000"/>
    <n v="15000"/>
    <n v="0"/>
    <x v="0"/>
    <x v="0"/>
    <x v="7"/>
    <x v="6"/>
    <s v="India"/>
    <s v="nitara28@example.com"/>
    <n v="919873000000"/>
    <x v="1"/>
    <n v="65"/>
    <n v="89"/>
    <s v="Non-AC"/>
    <x v="1304"/>
    <d v="2004-10-08T00:00:00"/>
    <n v="-9.8210262828535608"/>
    <x v="5"/>
    <n v="676000"/>
    <n v="736000"/>
  </r>
  <r>
    <s v="Zeeshan Acharya"/>
    <s v="STU150"/>
    <s v="ENR150"/>
    <x v="5"/>
    <x v="1"/>
    <n v="2"/>
    <s v="Computer Science Engineering"/>
    <x v="6"/>
    <n v="92000"/>
    <n v="77000"/>
    <n v="15000"/>
    <n v="0"/>
    <x v="0"/>
    <x v="2"/>
    <x v="4"/>
    <x v="4"/>
    <s v="India"/>
    <s v="bajajritvik@example.net"/>
    <n v="917903000000"/>
    <x v="0"/>
    <n v="65"/>
    <n v="60"/>
    <s v="Non-AC"/>
    <x v="1305"/>
    <d v="1998-09-01T00:00:00"/>
    <n v="-9.8210262828535608"/>
    <x v="7"/>
    <n v="184000"/>
    <n v="214000"/>
  </r>
  <r>
    <s v="Prisha Shenoy"/>
    <s v="STU637"/>
    <s v="ENR637"/>
    <x v="2"/>
    <x v="0"/>
    <n v="4"/>
    <s v="Computer Science and Engineering"/>
    <x v="4"/>
    <n v="169000"/>
    <n v="154000"/>
    <n v="15000"/>
    <n v="0"/>
    <x v="0"/>
    <x v="0"/>
    <x v="5"/>
    <x v="5"/>
    <s v="India"/>
    <s v="tiyaganesan@example.org"/>
    <n v="919776000000"/>
    <x v="3"/>
    <n v="65"/>
    <n v="77"/>
    <s v="AC"/>
    <x v="1306"/>
    <d v="2002-11-18T00:00:00"/>
    <n v="-9.8210262828535608"/>
    <x v="2"/>
    <n v="676000"/>
    <n v="736000"/>
  </r>
  <r>
    <s v="Zain Sengupta"/>
    <s v="STU684"/>
    <s v="ENR684"/>
    <x v="1"/>
    <x v="0"/>
    <n v="4"/>
    <s v="Computer Science and Engineering"/>
    <x v="6"/>
    <n v="169000"/>
    <n v="154000"/>
    <n v="15000"/>
    <n v="0"/>
    <x v="0"/>
    <x v="1"/>
    <x v="8"/>
    <x v="7"/>
    <s v="India"/>
    <s v="trishaahluwalia@example.com"/>
    <n v="918581000000"/>
    <x v="2"/>
    <n v="65"/>
    <n v="90"/>
    <s v="Non-AC"/>
    <x v="1307"/>
    <d v="2004-04-11T00:00:00"/>
    <n v="-9.8210262828535608"/>
    <x v="3"/>
    <n v="676000"/>
    <n v="736000"/>
  </r>
  <r>
    <s v="Riya Gokhale"/>
    <s v="STU732"/>
    <s v="ENR732"/>
    <x v="3"/>
    <x v="0"/>
    <n v="4"/>
    <s v="Computer Science and Engineering"/>
    <x v="6"/>
    <n v="169000"/>
    <n v="154000"/>
    <n v="15000"/>
    <n v="0"/>
    <x v="0"/>
    <x v="0"/>
    <x v="8"/>
    <x v="7"/>
    <s v="India"/>
    <s v="kgala@example.com"/>
    <n v="918703000000"/>
    <x v="2"/>
    <n v="65"/>
    <n v="72"/>
    <s v="Non-AC"/>
    <x v="1308"/>
    <d v="2004-02-25T00:00:00"/>
    <n v="-9.8210262828535608"/>
    <x v="3"/>
    <n v="676000"/>
    <n v="736000"/>
  </r>
  <r>
    <s v="Divyansh Ramaswamy"/>
    <s v="STU1152"/>
    <s v="ENR1152"/>
    <x v="0"/>
    <x v="0"/>
    <n v="4"/>
    <s v="Computer Science and Engineering"/>
    <x v="8"/>
    <n v="169000"/>
    <n v="154000"/>
    <n v="15000"/>
    <n v="0"/>
    <x v="0"/>
    <x v="0"/>
    <x v="2"/>
    <x v="2"/>
    <s v="India"/>
    <s v="vanyawali@example.net"/>
    <n v="919697000000"/>
    <x v="0"/>
    <n v="65"/>
    <n v="79"/>
    <s v="Non-AC"/>
    <x v="1309"/>
    <d v="2002-01-20T00:00:00"/>
    <n v="-9.8210262828535608"/>
    <x v="6"/>
    <n v="676000"/>
    <n v="736000"/>
  </r>
  <r>
    <s v="Ahana  Kota"/>
    <s v="STU621"/>
    <s v="ENR621"/>
    <x v="5"/>
    <x v="0"/>
    <n v="4"/>
    <s v="Computer Science and Engineering"/>
    <x v="4"/>
    <n v="169000"/>
    <n v="154000"/>
    <n v="15000"/>
    <n v="0"/>
    <x v="0"/>
    <x v="0"/>
    <x v="0"/>
    <x v="0"/>
    <s v="India"/>
    <s v="purabchatterjee@example.com"/>
    <n v="917438000000"/>
    <x v="2"/>
    <n v="65"/>
    <n v="63"/>
    <s v="Non-AC"/>
    <x v="1310"/>
    <d v="2005-01-22T00:00:00"/>
    <n v="-9.8210262828535608"/>
    <x v="5"/>
    <n v="676000"/>
    <n v="736000"/>
  </r>
  <r>
    <s v="Samiha Barad"/>
    <s v="STU236"/>
    <s v="ENR236"/>
    <x v="4"/>
    <x v="0"/>
    <n v="4"/>
    <s v="Computer Science and Engineering"/>
    <x v="9"/>
    <n v="169000"/>
    <n v="154000"/>
    <n v="15000"/>
    <n v="0"/>
    <x v="0"/>
    <x v="1"/>
    <x v="2"/>
    <x v="2"/>
    <s v="India"/>
    <s v="sulemanjari@example.net"/>
    <n v="917666000000"/>
    <x v="1"/>
    <n v="65"/>
    <n v="90"/>
    <s v="Non-AC"/>
    <x v="1311"/>
    <d v="2002-11-19T00:00:00"/>
    <n v="-9.8210262828535608"/>
    <x v="2"/>
    <n v="676000"/>
    <n v="736000"/>
  </r>
  <r>
    <s v="Kaira Lanka"/>
    <s v="STU758"/>
    <s v="ENR758"/>
    <x v="5"/>
    <x v="0"/>
    <n v="4"/>
    <s v="Computer Science and Engineering"/>
    <x v="7"/>
    <n v="169000"/>
    <n v="154000"/>
    <n v="15000"/>
    <n v="0"/>
    <x v="0"/>
    <x v="1"/>
    <x v="6"/>
    <x v="3"/>
    <s v="India"/>
    <s v="dhanushsengupta@example.net"/>
    <n v="917629000000"/>
    <x v="0"/>
    <n v="65"/>
    <n v="87"/>
    <s v="Non-AC"/>
    <x v="1312"/>
    <d v="2005-11-04T00:00:00"/>
    <n v="-9.8210262828535608"/>
    <x v="4"/>
    <n v="676000"/>
    <n v="736000"/>
  </r>
  <r>
    <s v="Divit Zachariah"/>
    <s v="STU613"/>
    <s v="ENR613"/>
    <x v="4"/>
    <x v="0"/>
    <n v="4"/>
    <s v="Computer Science and Engineering"/>
    <x v="6"/>
    <n v="169000"/>
    <n v="154000"/>
    <n v="15000"/>
    <n v="0"/>
    <x v="0"/>
    <x v="0"/>
    <x v="9"/>
    <x v="8"/>
    <s v="India"/>
    <s v="manikyabajaj@example.org"/>
    <n v="919642000000"/>
    <x v="4"/>
    <n v="65"/>
    <n v="83"/>
    <s v="AC"/>
    <x v="1313"/>
    <d v="2001-06-04T00:00:00"/>
    <n v="-9.8210262828535608"/>
    <x v="0"/>
    <n v="676000"/>
    <n v="736000"/>
  </r>
  <r>
    <s v="Jivika Kala"/>
    <s v="STU168"/>
    <s v="ENR168"/>
    <x v="5"/>
    <x v="1"/>
    <n v="2"/>
    <s v="Computer Science Engineering"/>
    <x v="0"/>
    <n v="92000"/>
    <n v="77000"/>
    <n v="15000"/>
    <n v="0"/>
    <x v="0"/>
    <x v="0"/>
    <x v="2"/>
    <x v="2"/>
    <s v="India"/>
    <s v="samihaahuja@example.org"/>
    <n v="918044000000"/>
    <x v="4"/>
    <n v="65"/>
    <n v="80"/>
    <s v="Non-AC"/>
    <x v="1314"/>
    <d v="1999-08-29T00:00:00"/>
    <n v="-9.8210262828535608"/>
    <x v="1"/>
    <n v="184000"/>
    <n v="214000"/>
  </r>
  <r>
    <s v="Uthkarsh Thaker"/>
    <s v="STU781"/>
    <s v="ENR781"/>
    <x v="1"/>
    <x v="0"/>
    <n v="4"/>
    <s v="Computer Science and Engineering"/>
    <x v="5"/>
    <n v="169000"/>
    <n v="154000"/>
    <n v="15000"/>
    <n v="0"/>
    <x v="0"/>
    <x v="0"/>
    <x v="6"/>
    <x v="3"/>
    <s v="India"/>
    <s v="shettykaira@example.com"/>
    <n v="919296000000"/>
    <x v="3"/>
    <n v="65"/>
    <n v="84"/>
    <s v="AC"/>
    <x v="1315"/>
    <d v="2002-08-09T00:00:00"/>
    <n v="-9.8210262828535608"/>
    <x v="2"/>
    <n v="676000"/>
    <n v="736000"/>
  </r>
  <r>
    <s v="Dhanuk Gour"/>
    <s v="STU1173"/>
    <s v="ENR1173"/>
    <x v="5"/>
    <x v="0"/>
    <n v="4"/>
    <s v="Computer Science and Engineering"/>
    <x v="1"/>
    <n v="169000"/>
    <n v="154000"/>
    <n v="15000"/>
    <n v="0"/>
    <x v="0"/>
    <x v="1"/>
    <x v="0"/>
    <x v="0"/>
    <s v="India"/>
    <s v="mahajandrishya@example.net"/>
    <n v="919427000000"/>
    <x v="2"/>
    <n v="65"/>
    <n v="92"/>
    <s v="Non-AC"/>
    <x v="1316"/>
    <d v="2003-03-09T00:00:00"/>
    <n v="-9.8210262828535608"/>
    <x v="2"/>
    <n v="676000"/>
    <n v="736000"/>
  </r>
  <r>
    <s v="Kismat Bail"/>
    <s v="STU176"/>
    <s v="ENR176"/>
    <x v="2"/>
    <x v="1"/>
    <n v="2"/>
    <s v="Computer Science Engineering"/>
    <x v="6"/>
    <n v="92000"/>
    <n v="77000"/>
    <n v="15000"/>
    <n v="0"/>
    <x v="0"/>
    <x v="1"/>
    <x v="3"/>
    <x v="3"/>
    <s v="India"/>
    <s v="ajani@example.org"/>
    <n v="917307000000"/>
    <x v="3"/>
    <n v="65"/>
    <n v="78"/>
    <s v="Non-AC"/>
    <x v="1317"/>
    <d v="1997-09-29T00:00:00"/>
    <n v="-9.8210262828535608"/>
    <x v="9"/>
    <n v="184000"/>
    <n v="214000"/>
  </r>
  <r>
    <s v="Raunak Mangal"/>
    <s v="STU760"/>
    <s v="ENR760"/>
    <x v="2"/>
    <x v="0"/>
    <n v="4"/>
    <s v="Computer Science and Engineering"/>
    <x v="2"/>
    <n v="169000"/>
    <n v="154000"/>
    <n v="15000"/>
    <n v="0"/>
    <x v="0"/>
    <x v="1"/>
    <x v="7"/>
    <x v="6"/>
    <s v="India"/>
    <s v="vanya79@example.com"/>
    <n v="917228000000"/>
    <x v="4"/>
    <n v="65"/>
    <n v="79"/>
    <s v="Non-AC"/>
    <x v="1318"/>
    <d v="2002-02-01T00:00:00"/>
    <n v="-9.8210262828535608"/>
    <x v="6"/>
    <n v="676000"/>
    <n v="736000"/>
  </r>
  <r>
    <s v="Siya Venkataraman"/>
    <s v="STU759"/>
    <s v="ENR759"/>
    <x v="3"/>
    <x v="0"/>
    <n v="4"/>
    <s v="Computer Science and Engineering"/>
    <x v="6"/>
    <n v="169000"/>
    <n v="154000"/>
    <n v="15000"/>
    <n v="0"/>
    <x v="0"/>
    <x v="2"/>
    <x v="0"/>
    <x v="0"/>
    <s v="India"/>
    <s v="shethdarshit@example.org"/>
    <n v="918644000000"/>
    <x v="4"/>
    <n v="65"/>
    <n v="63"/>
    <s v="AC"/>
    <x v="1319"/>
    <d v="2002-05-08T00:00:00"/>
    <n v="-9.8210262828535608"/>
    <x v="6"/>
    <n v="676000"/>
    <n v="736000"/>
  </r>
  <r>
    <s v="Kabir Halder"/>
    <s v="STU675"/>
    <s v="ENR675"/>
    <x v="0"/>
    <x v="0"/>
    <n v="4"/>
    <s v="Computer Science and Engineering"/>
    <x v="4"/>
    <n v="169000"/>
    <n v="154000"/>
    <n v="15000"/>
    <n v="0"/>
    <x v="0"/>
    <x v="1"/>
    <x v="2"/>
    <x v="2"/>
    <s v="India"/>
    <s v="deymehul@example.net"/>
    <n v="919460000000"/>
    <x v="1"/>
    <n v="65"/>
    <n v="67"/>
    <s v="AC"/>
    <x v="1320"/>
    <d v="2004-08-16T00:00:00"/>
    <n v="-9.8210262828535608"/>
    <x v="5"/>
    <n v="676000"/>
    <n v="736000"/>
  </r>
  <r>
    <s v="Shlok Kala"/>
    <s v="STU412"/>
    <s v="ENR412"/>
    <x v="2"/>
    <x v="1"/>
    <n v="2"/>
    <s v="Computer Science Engineering"/>
    <x v="4"/>
    <n v="92000"/>
    <n v="77000"/>
    <n v="15000"/>
    <n v="0"/>
    <x v="0"/>
    <x v="2"/>
    <x v="3"/>
    <x v="3"/>
    <s v="India"/>
    <s v="sahilborra@example.com"/>
    <n v="917318000000"/>
    <x v="4"/>
    <n v="65"/>
    <n v="67"/>
    <s v="AC"/>
    <x v="1321"/>
    <d v="2002-01-21T00:00:00"/>
    <n v="-9.8210262828535608"/>
    <x v="6"/>
    <n v="184000"/>
    <n v="214000"/>
  </r>
  <r>
    <s v="Lakshit Gour"/>
    <s v="STU163"/>
    <s v="ENR163"/>
    <x v="3"/>
    <x v="0"/>
    <n v="4"/>
    <s v="Computer Science and Engineering"/>
    <x v="6"/>
    <n v="169000"/>
    <n v="154000"/>
    <n v="15000"/>
    <n v="0"/>
    <x v="0"/>
    <x v="2"/>
    <x v="8"/>
    <x v="7"/>
    <s v="India"/>
    <s v="taran56@example.com"/>
    <n v="917184000000"/>
    <x v="4"/>
    <n v="65"/>
    <n v="88"/>
    <s v="Non-AC"/>
    <x v="1322"/>
    <d v="2001-05-30T00:00:00"/>
    <n v="-9.8210262828535608"/>
    <x v="0"/>
    <n v="676000"/>
    <n v="736000"/>
  </r>
  <r>
    <s v="Umang Dani"/>
    <s v="STU465"/>
    <s v="ENR465"/>
    <x v="2"/>
    <x v="0"/>
    <n v="4"/>
    <s v="Computer Science and Engineering"/>
    <x v="9"/>
    <n v="169000"/>
    <n v="154000"/>
    <n v="15000"/>
    <n v="0"/>
    <x v="0"/>
    <x v="2"/>
    <x v="9"/>
    <x v="8"/>
    <s v="India"/>
    <s v="sagarvritika@example.com"/>
    <n v="917817000000"/>
    <x v="3"/>
    <n v="64"/>
    <n v="70"/>
    <s v="Non-AC"/>
    <x v="1323"/>
    <d v="2005-03-03T00:00:00"/>
    <n v="-10.8210262828535"/>
    <x v="5"/>
    <n v="676000"/>
    <n v="736000"/>
  </r>
  <r>
    <s v="Jayant Dass"/>
    <s v="STU972"/>
    <s v="ENR972"/>
    <x v="0"/>
    <x v="0"/>
    <n v="4"/>
    <s v="Computer Science and Engineering"/>
    <x v="3"/>
    <n v="169000"/>
    <n v="154000"/>
    <n v="15000"/>
    <n v="0"/>
    <x v="0"/>
    <x v="1"/>
    <x v="9"/>
    <x v="8"/>
    <s v="India"/>
    <s v="rkulkarni@example.com"/>
    <n v="917249000000"/>
    <x v="2"/>
    <n v="64"/>
    <n v="89"/>
    <s v="AC"/>
    <x v="1324"/>
    <d v="2003-09-15T00:00:00"/>
    <n v="-10.8210262828535"/>
    <x v="3"/>
    <n v="676000"/>
    <n v="736000"/>
  </r>
  <r>
    <s v="Biju Khare"/>
    <s v="STU288"/>
    <s v="ENR288"/>
    <x v="1"/>
    <x v="1"/>
    <n v="2"/>
    <s v="Computer Science Engineering"/>
    <x v="1"/>
    <n v="92000"/>
    <n v="77000"/>
    <n v="15000"/>
    <n v="0"/>
    <x v="0"/>
    <x v="2"/>
    <x v="0"/>
    <x v="0"/>
    <s v="India"/>
    <s v="rdara@example.net"/>
    <n v="919626000000"/>
    <x v="2"/>
    <n v="64"/>
    <n v="72"/>
    <s v="AC"/>
    <x v="1325"/>
    <d v="1998-01-08T00:00:00"/>
    <n v="-10.8210262828535"/>
    <x v="9"/>
    <n v="184000"/>
    <n v="214000"/>
  </r>
  <r>
    <s v="Hrishita Balay"/>
    <s v="STU733"/>
    <s v="ENR733"/>
    <x v="1"/>
    <x v="0"/>
    <n v="4"/>
    <s v="Computer Science and Engineering"/>
    <x v="3"/>
    <n v="169000"/>
    <n v="154000"/>
    <n v="15000"/>
    <n v="0"/>
    <x v="0"/>
    <x v="0"/>
    <x v="1"/>
    <x v="1"/>
    <s v="India"/>
    <s v="misha73@example.org"/>
    <n v="919737000000"/>
    <x v="1"/>
    <n v="64"/>
    <n v="66"/>
    <s v="Non-AC"/>
    <x v="1326"/>
    <d v="2005-05-03T00:00:00"/>
    <n v="-10.8210262828535"/>
    <x v="5"/>
    <n v="676000"/>
    <n v="736000"/>
  </r>
  <r>
    <s v="Samaira Buch"/>
    <s v="STU814"/>
    <s v="ENR814"/>
    <x v="4"/>
    <x v="0"/>
    <n v="4"/>
    <s v="Computer Science and Engineering"/>
    <x v="2"/>
    <n v="169000"/>
    <n v="154000"/>
    <n v="15000"/>
    <n v="0"/>
    <x v="0"/>
    <x v="2"/>
    <x v="1"/>
    <x v="1"/>
    <s v="India"/>
    <s v="dayalhimmat@example.org"/>
    <n v="919068000000"/>
    <x v="1"/>
    <n v="64"/>
    <n v="71"/>
    <s v="AC"/>
    <x v="1327"/>
    <d v="2004-11-17T00:00:00"/>
    <n v="-10.8210262828535"/>
    <x v="5"/>
    <n v="676000"/>
    <n v="736000"/>
  </r>
  <r>
    <s v="Myra Mahal"/>
    <s v="STU815"/>
    <s v="ENR815"/>
    <x v="0"/>
    <x v="0"/>
    <n v="4"/>
    <s v="Computer Science and Engineering"/>
    <x v="0"/>
    <n v="169000"/>
    <n v="154000"/>
    <n v="15000"/>
    <n v="0"/>
    <x v="0"/>
    <x v="1"/>
    <x v="8"/>
    <x v="7"/>
    <s v="India"/>
    <s v="amira86@example.org"/>
    <n v="918822000000"/>
    <x v="0"/>
    <n v="64"/>
    <n v="68"/>
    <s v="Non-AC"/>
    <x v="1328"/>
    <d v="2000-07-08T00:00:00"/>
    <n v="-10.8210262828535"/>
    <x v="1"/>
    <n v="676000"/>
    <n v="736000"/>
  </r>
  <r>
    <s v="Rhea Gandhi"/>
    <s v="STU355"/>
    <s v="ENR355"/>
    <x v="3"/>
    <x v="0"/>
    <n v="4"/>
    <s v="Computer Science and Engineering"/>
    <x v="9"/>
    <n v="169000"/>
    <n v="154000"/>
    <n v="15000"/>
    <n v="0"/>
    <x v="0"/>
    <x v="1"/>
    <x v="0"/>
    <x v="0"/>
    <s v="India"/>
    <s v="raghav81@example.net"/>
    <n v="917085000000"/>
    <x v="2"/>
    <n v="64"/>
    <n v="79"/>
    <s v="AC"/>
    <x v="1329"/>
    <d v="2003-11-20T00:00:00"/>
    <n v="-10.8210262828535"/>
    <x v="3"/>
    <n v="676000"/>
    <n v="736000"/>
  </r>
  <r>
    <s v="Devansh Khalsa"/>
    <s v="STU289"/>
    <s v="ENR289"/>
    <x v="1"/>
    <x v="1"/>
    <n v="2"/>
    <s v="Computer Science Engineering"/>
    <x v="0"/>
    <n v="92000"/>
    <n v="77000"/>
    <n v="15000"/>
    <n v="0"/>
    <x v="0"/>
    <x v="2"/>
    <x v="7"/>
    <x v="6"/>
    <s v="India"/>
    <s v="dharanya@example.com"/>
    <n v="919704000000"/>
    <x v="2"/>
    <n v="64"/>
    <n v="76"/>
    <s v="AC"/>
    <x v="1330"/>
    <d v="1999-09-01T00:00:00"/>
    <n v="-10.8210262828535"/>
    <x v="1"/>
    <n v="184000"/>
    <n v="214000"/>
  </r>
  <r>
    <s v="Jiya Bhat"/>
    <s v="STU106"/>
    <s v="ENR106"/>
    <x v="0"/>
    <x v="0"/>
    <n v="4"/>
    <s v="Computer Science and Engineering"/>
    <x v="4"/>
    <n v="169000"/>
    <n v="154000"/>
    <n v="15000"/>
    <n v="0"/>
    <x v="0"/>
    <x v="0"/>
    <x v="5"/>
    <x v="5"/>
    <s v="India"/>
    <s v="kismatanand@example.org"/>
    <n v="919427000000"/>
    <x v="0"/>
    <n v="64"/>
    <n v="92"/>
    <s v="Non-AC"/>
    <x v="1331"/>
    <d v="2005-03-20T00:00:00"/>
    <n v="-10.8210262828535"/>
    <x v="5"/>
    <n v="676000"/>
    <n v="736000"/>
  </r>
  <r>
    <s v="Amira Saha"/>
    <s v="STU739"/>
    <s v="ENR739"/>
    <x v="1"/>
    <x v="0"/>
    <n v="4"/>
    <s v="Computer Science and Engineering"/>
    <x v="2"/>
    <n v="169000"/>
    <n v="154000"/>
    <n v="15000"/>
    <n v="0"/>
    <x v="0"/>
    <x v="2"/>
    <x v="5"/>
    <x v="5"/>
    <s v="India"/>
    <s v="narya@example.com"/>
    <n v="919306000000"/>
    <x v="0"/>
    <n v="64"/>
    <n v="89"/>
    <s v="AC"/>
    <x v="1332"/>
    <d v="2004-04-03T00:00:00"/>
    <n v="-10.8210262828535"/>
    <x v="3"/>
    <n v="676000"/>
    <n v="736000"/>
  </r>
  <r>
    <s v="Ryan Kannan"/>
    <s v="STU218"/>
    <s v="ENR218"/>
    <x v="0"/>
    <x v="0"/>
    <n v="4"/>
    <s v="Computer Science and Engineering"/>
    <x v="8"/>
    <n v="169000"/>
    <n v="154000"/>
    <n v="15000"/>
    <n v="0"/>
    <x v="0"/>
    <x v="1"/>
    <x v="1"/>
    <x v="1"/>
    <s v="India"/>
    <s v="yuvaan49@example.net"/>
    <n v="917359000000"/>
    <x v="1"/>
    <n v="64"/>
    <n v="73"/>
    <s v="Non-AC"/>
    <x v="1333"/>
    <d v="2002-08-01T00:00:00"/>
    <n v="-10.8210262828535"/>
    <x v="2"/>
    <n v="676000"/>
    <n v="736000"/>
  </r>
  <r>
    <s v="Miraan Devan"/>
    <s v="STU330"/>
    <s v="ENR330"/>
    <x v="5"/>
    <x v="1"/>
    <n v="2"/>
    <s v="Computer Science Engineering"/>
    <x v="6"/>
    <n v="92000"/>
    <n v="77000"/>
    <n v="15000"/>
    <n v="0"/>
    <x v="0"/>
    <x v="2"/>
    <x v="0"/>
    <x v="0"/>
    <s v="India"/>
    <s v="lakshaykunda@example.net"/>
    <n v="919027000000"/>
    <x v="4"/>
    <n v="64"/>
    <n v="63"/>
    <s v="Non-AC"/>
    <x v="1334"/>
    <d v="1996-10-15T00:00:00"/>
    <n v="-10.8210262828535"/>
    <x v="8"/>
    <n v="184000"/>
    <n v="214000"/>
  </r>
  <r>
    <s v="Elakshi Dubey"/>
    <s v="STU005"/>
    <s v="ENR005"/>
    <x v="4"/>
    <x v="0"/>
    <n v="4"/>
    <s v="Computer Science and Engineering"/>
    <x v="9"/>
    <n v="169000"/>
    <n v="154000"/>
    <n v="15000"/>
    <n v="0"/>
    <x v="0"/>
    <x v="2"/>
    <x v="9"/>
    <x v="8"/>
    <s v="India"/>
    <s v="madhup39@example.org"/>
    <n v="919493000000"/>
    <x v="2"/>
    <n v="64"/>
    <n v="66"/>
    <s v="Non-AC"/>
    <x v="1335"/>
    <d v="2000-08-15T00:00:00"/>
    <n v="-10.8210262828535"/>
    <x v="0"/>
    <n v="676000"/>
    <n v="736000"/>
  </r>
  <r>
    <s v="Elakshi Singh"/>
    <s v="STU783"/>
    <s v="ENR783"/>
    <x v="1"/>
    <x v="0"/>
    <n v="4"/>
    <s v="Computer Science and Engineering"/>
    <x v="0"/>
    <n v="169000"/>
    <n v="154000"/>
    <n v="15000"/>
    <n v="0"/>
    <x v="0"/>
    <x v="1"/>
    <x v="0"/>
    <x v="0"/>
    <s v="India"/>
    <s v="nakul58@example.org"/>
    <n v="917367000000"/>
    <x v="3"/>
    <n v="64"/>
    <n v="81"/>
    <s v="AC"/>
    <x v="1336"/>
    <d v="2005-06-26T00:00:00"/>
    <n v="-10.8210262828535"/>
    <x v="5"/>
    <n v="676000"/>
    <n v="736000"/>
  </r>
  <r>
    <s v="Raghav Chada"/>
    <s v="STU439"/>
    <s v="ENR439"/>
    <x v="0"/>
    <x v="1"/>
    <n v="2"/>
    <s v="Computer Science Engineering"/>
    <x v="4"/>
    <n v="92000"/>
    <n v="77000"/>
    <n v="15000"/>
    <n v="0"/>
    <x v="0"/>
    <x v="0"/>
    <x v="6"/>
    <x v="3"/>
    <s v="India"/>
    <s v="shanayagoel@example.net"/>
    <n v="919697000000"/>
    <x v="1"/>
    <n v="64"/>
    <n v="91"/>
    <s v="AC"/>
    <x v="1337"/>
    <d v="2001-08-02T00:00:00"/>
    <n v="-10.8210262828535"/>
    <x v="6"/>
    <n v="184000"/>
    <n v="214000"/>
  </r>
  <r>
    <s v="Jivin Bansal"/>
    <s v="STU026"/>
    <s v="ENR026"/>
    <x v="3"/>
    <x v="0"/>
    <n v="4"/>
    <s v="Computer Science and Engineering"/>
    <x v="0"/>
    <n v="169000"/>
    <n v="154000"/>
    <n v="15000"/>
    <n v="0"/>
    <x v="0"/>
    <x v="0"/>
    <x v="3"/>
    <x v="3"/>
    <s v="India"/>
    <s v="talwaranya@example.net"/>
    <n v="917875000000"/>
    <x v="3"/>
    <n v="64"/>
    <n v="81"/>
    <s v="Non-AC"/>
    <x v="1338"/>
    <d v="2006-06-13T00:00:00"/>
    <n v="-10.8210262828535"/>
    <x v="4"/>
    <n v="676000"/>
    <n v="736000"/>
  </r>
  <r>
    <s v="Gatik Kota"/>
    <s v="STU172"/>
    <s v="ENR172"/>
    <x v="5"/>
    <x v="0"/>
    <n v="4"/>
    <s v="Computer Science and Engineering"/>
    <x v="3"/>
    <n v="169000"/>
    <n v="154000"/>
    <n v="15000"/>
    <n v="0"/>
    <x v="0"/>
    <x v="2"/>
    <x v="8"/>
    <x v="7"/>
    <s v="India"/>
    <s v="kavya97@example.com"/>
    <n v="919634000000"/>
    <x v="3"/>
    <n v="64"/>
    <n v="85"/>
    <s v="AC"/>
    <x v="1339"/>
    <d v="2003-05-20T00:00:00"/>
    <n v="-10.8210262828535"/>
    <x v="2"/>
    <n v="676000"/>
    <n v="736000"/>
  </r>
  <r>
    <s v="Mohanlal Choudhury"/>
    <s v="STU157"/>
    <s v="ENR157"/>
    <x v="5"/>
    <x v="0"/>
    <n v="4"/>
    <s v="Computer Science and Engineering"/>
    <x v="7"/>
    <n v="169000"/>
    <n v="154000"/>
    <n v="15000"/>
    <n v="0"/>
    <x v="0"/>
    <x v="1"/>
    <x v="6"/>
    <x v="3"/>
    <s v="India"/>
    <s v="bhargavamadhav@example.net"/>
    <n v="919224000000"/>
    <x v="4"/>
    <n v="64"/>
    <n v="90"/>
    <s v="Non-AC"/>
    <x v="1340"/>
    <d v="2004-05-23T00:00:00"/>
    <n v="-10.8210262828535"/>
    <x v="3"/>
    <n v="676000"/>
    <n v="736000"/>
  </r>
  <r>
    <s v="Shamik Sathe"/>
    <s v="STU999"/>
    <s v="ENR999"/>
    <x v="0"/>
    <x v="0"/>
    <n v="4"/>
    <s v="Computer Science and Engineering"/>
    <x v="9"/>
    <n v="169000"/>
    <n v="154000"/>
    <n v="15000"/>
    <n v="0"/>
    <x v="0"/>
    <x v="0"/>
    <x v="1"/>
    <x v="1"/>
    <s v="India"/>
    <s v="qsolanki@example.org"/>
    <n v="919429000000"/>
    <x v="0"/>
    <n v="64"/>
    <n v="80"/>
    <s v="AC"/>
    <x v="1341"/>
    <d v="2001-07-17T00:00:00"/>
    <n v="-10.8210262828535"/>
    <x v="6"/>
    <n v="676000"/>
    <n v="736000"/>
  </r>
  <r>
    <s v="Aarush Balan"/>
    <s v="STU1069"/>
    <s v="ENR1069"/>
    <x v="1"/>
    <x v="0"/>
    <n v="4"/>
    <s v="Computer Science and Engineering"/>
    <x v="7"/>
    <n v="169000"/>
    <n v="154000"/>
    <n v="15000"/>
    <n v="0"/>
    <x v="0"/>
    <x v="0"/>
    <x v="5"/>
    <x v="5"/>
    <s v="India"/>
    <s v="yuvraj-83@example.com"/>
    <n v="917528000000"/>
    <x v="4"/>
    <n v="64"/>
    <n v="74"/>
    <s v="Non-AC"/>
    <x v="1342"/>
    <d v="2003-09-26T00:00:00"/>
    <n v="-10.8210262828535"/>
    <x v="3"/>
    <n v="676000"/>
    <n v="736000"/>
  </r>
  <r>
    <s v="Nirvi Sura"/>
    <s v="STU799"/>
    <s v="ENR799"/>
    <x v="5"/>
    <x v="0"/>
    <n v="4"/>
    <s v="Computer Science and Engineering"/>
    <x v="3"/>
    <n v="169000"/>
    <n v="154000"/>
    <n v="15000"/>
    <n v="0"/>
    <x v="0"/>
    <x v="1"/>
    <x v="9"/>
    <x v="8"/>
    <s v="India"/>
    <s v="gokultank@example.com"/>
    <n v="917262000000"/>
    <x v="0"/>
    <n v="64"/>
    <n v="72"/>
    <s v="AC"/>
    <x v="1343"/>
    <d v="2003-10-23T00:00:00"/>
    <n v="-10.8210262828535"/>
    <x v="3"/>
    <n v="676000"/>
    <n v="736000"/>
  </r>
  <r>
    <s v="Bhamini Kala"/>
    <s v="STU211"/>
    <s v="ENR211"/>
    <x v="1"/>
    <x v="0"/>
    <n v="4"/>
    <s v="Computer Science and Engineering"/>
    <x v="1"/>
    <n v="169000"/>
    <n v="154000"/>
    <n v="15000"/>
    <n v="0"/>
    <x v="0"/>
    <x v="0"/>
    <x v="6"/>
    <x v="3"/>
    <s v="India"/>
    <s v="kavyadani@example.com"/>
    <n v="919646000000"/>
    <x v="0"/>
    <n v="64"/>
    <n v="89"/>
    <s v="AC"/>
    <x v="1344"/>
    <d v="2003-12-31T00:00:00"/>
    <n v="-10.8210262828535"/>
    <x v="3"/>
    <n v="676000"/>
    <n v="736000"/>
  </r>
  <r>
    <s v="Umang Tata"/>
    <s v="STU213"/>
    <s v="ENR213"/>
    <x v="0"/>
    <x v="0"/>
    <n v="4"/>
    <s v="Computer Science and Engineering"/>
    <x v="9"/>
    <n v="169000"/>
    <n v="154000"/>
    <n v="15000"/>
    <n v="0"/>
    <x v="0"/>
    <x v="0"/>
    <x v="6"/>
    <x v="3"/>
    <s v="India"/>
    <s v="kiara55@example.net"/>
    <n v="918664000000"/>
    <x v="4"/>
    <n v="64"/>
    <n v="81"/>
    <s v="Non-AC"/>
    <x v="1345"/>
    <d v="2002-06-23T00:00:00"/>
    <n v="-10.8210262828535"/>
    <x v="6"/>
    <n v="676000"/>
    <n v="736000"/>
  </r>
  <r>
    <s v="Nakul Bumb"/>
    <s v="STU485"/>
    <s v="ENR485"/>
    <x v="4"/>
    <x v="0"/>
    <n v="4"/>
    <s v="Computer Science and Engineering"/>
    <x v="0"/>
    <n v="169000"/>
    <n v="154000"/>
    <n v="15000"/>
    <n v="0"/>
    <x v="0"/>
    <x v="2"/>
    <x v="5"/>
    <x v="5"/>
    <s v="India"/>
    <s v="amanitailor@example.net"/>
    <n v="917534000000"/>
    <x v="4"/>
    <n v="64"/>
    <n v="61"/>
    <s v="AC"/>
    <x v="1346"/>
    <d v="2002-08-02T00:00:00"/>
    <n v="-10.8210262828535"/>
    <x v="2"/>
    <n v="676000"/>
    <n v="736000"/>
  </r>
  <r>
    <s v="Aradhya Vohra"/>
    <s v="STU974"/>
    <s v="ENR974"/>
    <x v="2"/>
    <x v="0"/>
    <n v="4"/>
    <s v="Computer Science and Engineering"/>
    <x v="9"/>
    <n v="169000"/>
    <n v="154000"/>
    <n v="15000"/>
    <n v="0"/>
    <x v="0"/>
    <x v="1"/>
    <x v="4"/>
    <x v="4"/>
    <s v="India"/>
    <s v="pranayvasa@example.org"/>
    <n v="919161000000"/>
    <x v="1"/>
    <n v="64"/>
    <n v="77"/>
    <s v="AC"/>
    <x v="1347"/>
    <d v="2005-08-07T00:00:00"/>
    <n v="-10.8210262828535"/>
    <x v="4"/>
    <n v="676000"/>
    <n v="736000"/>
  </r>
  <r>
    <s v="Aayush Tak"/>
    <s v="STU973"/>
    <s v="ENR973"/>
    <x v="4"/>
    <x v="0"/>
    <n v="4"/>
    <s v="Computer Science and Engineering"/>
    <x v="3"/>
    <n v="169000"/>
    <n v="154000"/>
    <n v="15000"/>
    <n v="0"/>
    <x v="0"/>
    <x v="0"/>
    <x v="0"/>
    <x v="0"/>
    <s v="India"/>
    <s v="smajumdar@example.net"/>
    <n v="919654000000"/>
    <x v="0"/>
    <n v="64"/>
    <n v="86"/>
    <s v="Non-AC"/>
    <x v="1348"/>
    <d v="2005-11-28T00:00:00"/>
    <n v="-10.8210262828535"/>
    <x v="4"/>
    <n v="676000"/>
    <n v="736000"/>
  </r>
  <r>
    <s v="Anya Ray"/>
    <s v="STU710"/>
    <s v="ENR710"/>
    <x v="1"/>
    <x v="0"/>
    <n v="4"/>
    <s v="Computer Science and Engineering"/>
    <x v="2"/>
    <n v="169000"/>
    <n v="154000"/>
    <n v="15000"/>
    <n v="0"/>
    <x v="0"/>
    <x v="0"/>
    <x v="5"/>
    <x v="5"/>
    <s v="India"/>
    <s v="ndate@example.net"/>
    <n v="918985000000"/>
    <x v="3"/>
    <n v="64"/>
    <n v="71"/>
    <s v="Non-AC"/>
    <x v="1349"/>
    <d v="2001-09-02T00:00:00"/>
    <n v="-10.8210262828535"/>
    <x v="6"/>
    <n v="676000"/>
    <n v="736000"/>
  </r>
  <r>
    <s v="Faiyaz Arora"/>
    <s v="STU700"/>
    <s v="ENR700"/>
    <x v="0"/>
    <x v="0"/>
    <n v="4"/>
    <s v="Computer Science and Engineering"/>
    <x v="9"/>
    <n v="169000"/>
    <n v="154000"/>
    <n v="15000"/>
    <n v="0"/>
    <x v="0"/>
    <x v="2"/>
    <x v="6"/>
    <x v="3"/>
    <s v="India"/>
    <s v="wagrawal@example.com"/>
    <n v="917847000000"/>
    <x v="0"/>
    <n v="64"/>
    <n v="72"/>
    <s v="Non-AC"/>
    <x v="1350"/>
    <d v="2002-09-05T00:00:00"/>
    <n v="-10.8210262828535"/>
    <x v="2"/>
    <n v="676000"/>
    <n v="736000"/>
  </r>
  <r>
    <s v="Divit Sane"/>
    <s v="STU541"/>
    <s v="ENR541"/>
    <x v="5"/>
    <x v="0"/>
    <n v="4"/>
    <s v="Computer Science and Engineering"/>
    <x v="7"/>
    <n v="169000"/>
    <n v="154000"/>
    <n v="15000"/>
    <n v="0"/>
    <x v="0"/>
    <x v="0"/>
    <x v="1"/>
    <x v="1"/>
    <s v="India"/>
    <s v="bailparinaaz@example.net"/>
    <n v="917411000000"/>
    <x v="2"/>
    <n v="64"/>
    <n v="84"/>
    <s v="AC"/>
    <x v="1351"/>
    <d v="2004-09-25T00:00:00"/>
    <n v="-10.8210262828535"/>
    <x v="5"/>
    <n v="676000"/>
    <n v="736000"/>
  </r>
  <r>
    <s v="Ehsaan Sant"/>
    <s v="STU491"/>
    <s v="ENR491"/>
    <x v="4"/>
    <x v="1"/>
    <n v="2"/>
    <s v="Computer Science Engineering"/>
    <x v="4"/>
    <n v="92000"/>
    <n v="77000"/>
    <n v="15000"/>
    <n v="0"/>
    <x v="0"/>
    <x v="2"/>
    <x v="9"/>
    <x v="8"/>
    <s v="India"/>
    <s v="vloke@example.org"/>
    <n v="919260000000"/>
    <x v="4"/>
    <n v="64"/>
    <n v="90"/>
    <s v="Non-AC"/>
    <x v="1352"/>
    <d v="1998-04-14T00:00:00"/>
    <n v="-10.8210262828535"/>
    <x v="9"/>
    <n v="184000"/>
    <n v="214000"/>
  </r>
  <r>
    <s v="Piya Jani"/>
    <s v="STU076"/>
    <s v="ENR076"/>
    <x v="4"/>
    <x v="0"/>
    <n v="4"/>
    <s v="Computer Science and Engineering"/>
    <x v="9"/>
    <n v="169000"/>
    <n v="154000"/>
    <n v="15000"/>
    <n v="0"/>
    <x v="0"/>
    <x v="2"/>
    <x v="1"/>
    <x v="1"/>
    <s v="India"/>
    <s v="abaria@example.net"/>
    <n v="917268000000"/>
    <x v="1"/>
    <n v="64"/>
    <n v="86"/>
    <s v="AC"/>
    <x v="1353"/>
    <d v="2004-08-11T00:00:00"/>
    <n v="-10.8210262828535"/>
    <x v="5"/>
    <n v="676000"/>
    <n v="736000"/>
  </r>
  <r>
    <s v="Neysa Dubey"/>
    <s v="STU842"/>
    <s v="ENR842"/>
    <x v="3"/>
    <x v="0"/>
    <n v="4"/>
    <s v="Computer Science and Engineering"/>
    <x v="7"/>
    <n v="169000"/>
    <n v="154000"/>
    <n v="15000"/>
    <n v="0"/>
    <x v="0"/>
    <x v="0"/>
    <x v="7"/>
    <x v="6"/>
    <s v="India"/>
    <s v="urvi31@example.net"/>
    <n v="918056000000"/>
    <x v="0"/>
    <n v="64"/>
    <n v="64"/>
    <s v="AC"/>
    <x v="1354"/>
    <d v="2003-11-09T00:00:00"/>
    <n v="-10.8210262828535"/>
    <x v="3"/>
    <n v="676000"/>
    <n v="736000"/>
  </r>
  <r>
    <s v="Nitara Lalla"/>
    <s v="STU1151"/>
    <s v="ENR1151"/>
    <x v="4"/>
    <x v="0"/>
    <n v="4"/>
    <s v="Computer Science and Engineering"/>
    <x v="6"/>
    <n v="169000"/>
    <n v="154000"/>
    <n v="15000"/>
    <n v="0"/>
    <x v="0"/>
    <x v="1"/>
    <x v="3"/>
    <x v="3"/>
    <s v="India"/>
    <s v="framachandran@example.org"/>
    <n v="918643000000"/>
    <x v="2"/>
    <n v="64"/>
    <n v="83"/>
    <s v="AC"/>
    <x v="1355"/>
    <d v="2000-07-03T00:00:00"/>
    <n v="-10.8210262828535"/>
    <x v="1"/>
    <n v="676000"/>
    <n v="736000"/>
  </r>
  <r>
    <s v="Rati Anne"/>
    <s v="STU909"/>
    <s v="ENR909"/>
    <x v="5"/>
    <x v="0"/>
    <n v="4"/>
    <s v="Computer Science and Engineering"/>
    <x v="7"/>
    <n v="169000"/>
    <n v="154000"/>
    <n v="15000"/>
    <n v="0"/>
    <x v="0"/>
    <x v="1"/>
    <x v="4"/>
    <x v="4"/>
    <s v="India"/>
    <s v="nishithkanda@example.net"/>
    <n v="919373000000"/>
    <x v="3"/>
    <n v="64"/>
    <n v="76"/>
    <s v="Non-AC"/>
    <x v="1356"/>
    <d v="2000-12-02T00:00:00"/>
    <n v="-10.8210262828535"/>
    <x v="0"/>
    <n v="676000"/>
    <n v="736000"/>
  </r>
  <r>
    <s v="Piya Mand"/>
    <s v="STU1154"/>
    <s v="ENR1154"/>
    <x v="0"/>
    <x v="0"/>
    <n v="4"/>
    <s v="Computer Science and Engineering"/>
    <x v="2"/>
    <n v="169000"/>
    <n v="154000"/>
    <n v="15000"/>
    <n v="0"/>
    <x v="0"/>
    <x v="0"/>
    <x v="6"/>
    <x v="3"/>
    <s v="India"/>
    <s v="qdhar@example.com"/>
    <n v="919870000000"/>
    <x v="3"/>
    <n v="64"/>
    <n v="92"/>
    <s v="AC"/>
    <x v="1357"/>
    <d v="2002-10-25T00:00:00"/>
    <n v="-10.8210262828535"/>
    <x v="2"/>
    <n v="676000"/>
    <n v="736000"/>
  </r>
  <r>
    <s v="Kabir Din"/>
    <s v="STU591"/>
    <s v="ENR591"/>
    <x v="5"/>
    <x v="0"/>
    <n v="4"/>
    <s v="Computer Science and Engineering"/>
    <x v="8"/>
    <n v="169000"/>
    <n v="154000"/>
    <n v="15000"/>
    <n v="0"/>
    <x v="0"/>
    <x v="1"/>
    <x v="7"/>
    <x v="6"/>
    <s v="India"/>
    <s v="sdevi@example.com"/>
    <n v="918787000000"/>
    <x v="0"/>
    <n v="64"/>
    <n v="84"/>
    <s v="AC"/>
    <x v="1358"/>
    <d v="2001-07-07T00:00:00"/>
    <n v="-10.8210262828535"/>
    <x v="0"/>
    <n v="676000"/>
    <n v="736000"/>
  </r>
  <r>
    <s v="Gokul Jayaraman"/>
    <s v="STU836"/>
    <s v="ENR836"/>
    <x v="4"/>
    <x v="0"/>
    <n v="4"/>
    <s v="Computer Science and Engineering"/>
    <x v="1"/>
    <n v="169000"/>
    <n v="154000"/>
    <n v="15000"/>
    <n v="0"/>
    <x v="0"/>
    <x v="1"/>
    <x v="6"/>
    <x v="3"/>
    <s v="India"/>
    <s v="goswamipari@example.org"/>
    <n v="919432000000"/>
    <x v="4"/>
    <n v="64"/>
    <n v="63"/>
    <s v="Non-AC"/>
    <x v="1359"/>
    <d v="2002-01-25T00:00:00"/>
    <n v="-10.8210262828535"/>
    <x v="6"/>
    <n v="676000"/>
    <n v="736000"/>
  </r>
  <r>
    <s v="Mohanlal Sagar"/>
    <s v="STU256"/>
    <s v="ENR256"/>
    <x v="1"/>
    <x v="1"/>
    <n v="2"/>
    <s v="Computer Science Engineering"/>
    <x v="4"/>
    <n v="92000"/>
    <n v="77000"/>
    <n v="15000"/>
    <n v="0"/>
    <x v="0"/>
    <x v="2"/>
    <x v="2"/>
    <x v="2"/>
    <s v="India"/>
    <s v="osachar@example.com"/>
    <n v="918382000000"/>
    <x v="0"/>
    <n v="64"/>
    <n v="69"/>
    <s v="Non-AC"/>
    <x v="1360"/>
    <d v="2002-06-23T00:00:00"/>
    <n v="-10.8210262828535"/>
    <x v="6"/>
    <n v="184000"/>
    <n v="214000"/>
  </r>
  <r>
    <s v="Rhea Hora"/>
    <s v="STU1107"/>
    <s v="ENR1107"/>
    <x v="0"/>
    <x v="0"/>
    <n v="4"/>
    <s v="Computer Science and Engineering"/>
    <x v="9"/>
    <n v="169000"/>
    <n v="154000"/>
    <n v="15000"/>
    <n v="0"/>
    <x v="0"/>
    <x v="1"/>
    <x v="3"/>
    <x v="3"/>
    <s v="India"/>
    <s v="divij54@example.net"/>
    <n v="919088000000"/>
    <x v="3"/>
    <n v="64"/>
    <n v="64"/>
    <s v="AC"/>
    <x v="1361"/>
    <d v="2004-06-02T00:00:00"/>
    <n v="-10.8210262828535"/>
    <x v="3"/>
    <n v="676000"/>
    <n v="736000"/>
  </r>
  <r>
    <s v="Neelofar Shankar"/>
    <s v="STU830"/>
    <s v="ENR830"/>
    <x v="1"/>
    <x v="0"/>
    <n v="4"/>
    <s v="Computer Science and Engineering"/>
    <x v="0"/>
    <n v="169000"/>
    <n v="154000"/>
    <n v="15000"/>
    <n v="0"/>
    <x v="0"/>
    <x v="1"/>
    <x v="4"/>
    <x v="4"/>
    <s v="India"/>
    <s v="mahikaramachandran@example.net"/>
    <n v="919895000000"/>
    <x v="0"/>
    <n v="64"/>
    <n v="64"/>
    <s v="Non-AC"/>
    <x v="1362"/>
    <d v="2001-06-05T00:00:00"/>
    <n v="-10.8210262828535"/>
    <x v="0"/>
    <n v="676000"/>
    <n v="736000"/>
  </r>
  <r>
    <s v="Aniruddh Ray"/>
    <s v="STU299"/>
    <s v="ENR299"/>
    <x v="5"/>
    <x v="0"/>
    <n v="4"/>
    <s v="Computer Science and Engineering"/>
    <x v="6"/>
    <n v="169000"/>
    <n v="154000"/>
    <n v="15000"/>
    <n v="0"/>
    <x v="0"/>
    <x v="0"/>
    <x v="9"/>
    <x v="8"/>
    <s v="India"/>
    <s v="chakrabortyivan@example.com"/>
    <n v="918197000000"/>
    <x v="2"/>
    <n v="64"/>
    <n v="73"/>
    <s v="AC"/>
    <x v="1363"/>
    <d v="2004-06-14T00:00:00"/>
    <n v="-10.8210262828535"/>
    <x v="3"/>
    <n v="676000"/>
    <n v="736000"/>
  </r>
  <r>
    <s v="Anahi Bansal"/>
    <s v="STU841"/>
    <s v="ENR841"/>
    <x v="4"/>
    <x v="0"/>
    <n v="4"/>
    <s v="Computer Science and Engineering"/>
    <x v="5"/>
    <n v="169000"/>
    <n v="154000"/>
    <n v="15000"/>
    <n v="0"/>
    <x v="0"/>
    <x v="2"/>
    <x v="3"/>
    <x v="3"/>
    <s v="India"/>
    <s v="aaryahi44@example.org"/>
    <n v="919603000000"/>
    <x v="3"/>
    <n v="64"/>
    <n v="70"/>
    <s v="Non-AC"/>
    <x v="1364"/>
    <d v="2004-06-03T00:00:00"/>
    <n v="-10.8210262828535"/>
    <x v="3"/>
    <n v="676000"/>
    <n v="736000"/>
  </r>
  <r>
    <s v="Jivika Kumar"/>
    <s v="STU119"/>
    <s v="ENR119"/>
    <x v="4"/>
    <x v="0"/>
    <n v="4"/>
    <s v="Computer Science and Engineering"/>
    <x v="6"/>
    <n v="169000"/>
    <n v="154000"/>
    <n v="15000"/>
    <n v="0"/>
    <x v="0"/>
    <x v="1"/>
    <x v="7"/>
    <x v="6"/>
    <s v="India"/>
    <s v="armaan39@example.com"/>
    <n v="917871000000"/>
    <x v="2"/>
    <n v="64"/>
    <n v="61"/>
    <s v="Non-AC"/>
    <x v="1365"/>
    <d v="2003-07-25T00:00:00"/>
    <n v="-10.8210262828535"/>
    <x v="3"/>
    <n v="676000"/>
    <n v="736000"/>
  </r>
  <r>
    <s v="Kabir Datta"/>
    <s v="STU410"/>
    <s v="ENR410"/>
    <x v="2"/>
    <x v="1"/>
    <n v="2"/>
    <s v="Computer Science Engineering"/>
    <x v="6"/>
    <n v="92000"/>
    <n v="77000"/>
    <n v="15000"/>
    <n v="0"/>
    <x v="0"/>
    <x v="0"/>
    <x v="1"/>
    <x v="1"/>
    <s v="India"/>
    <s v="anvi71@example.org"/>
    <n v="919096000000"/>
    <x v="1"/>
    <n v="64"/>
    <n v="71"/>
    <s v="Non-AC"/>
    <x v="1366"/>
    <d v="1998-01-27T00:00:00"/>
    <n v="-10.8210262828535"/>
    <x v="9"/>
    <n v="184000"/>
    <n v="214000"/>
  </r>
  <r>
    <s v="Shanaya Sule"/>
    <s v="STU490"/>
    <s v="ENR490"/>
    <x v="0"/>
    <x v="0"/>
    <n v="4"/>
    <s v="Computer Science and Engineering"/>
    <x v="7"/>
    <n v="169000"/>
    <n v="154000"/>
    <n v="15000"/>
    <n v="0"/>
    <x v="0"/>
    <x v="0"/>
    <x v="3"/>
    <x v="3"/>
    <s v="India"/>
    <s v="rohan65@example.org"/>
    <n v="919587000000"/>
    <x v="0"/>
    <n v="64"/>
    <n v="81"/>
    <s v="AC"/>
    <x v="1367"/>
    <d v="2004-01-19T00:00:00"/>
    <n v="-10.8210262828535"/>
    <x v="3"/>
    <n v="676000"/>
    <n v="736000"/>
  </r>
  <r>
    <s v="Lavanya Arora"/>
    <s v="STU681"/>
    <s v="ENR681"/>
    <x v="3"/>
    <x v="0"/>
    <n v="4"/>
    <s v="Computer Science and Engineering"/>
    <x v="0"/>
    <n v="169000"/>
    <n v="154000"/>
    <n v="15000"/>
    <n v="0"/>
    <x v="0"/>
    <x v="0"/>
    <x v="7"/>
    <x v="6"/>
    <s v="India"/>
    <s v="ikant@example.net"/>
    <n v="917677000000"/>
    <x v="4"/>
    <n v="64"/>
    <n v="73"/>
    <s v="Non-AC"/>
    <x v="1368"/>
    <d v="2001-07-21T00:00:00"/>
    <n v="-10.8210262828535"/>
    <x v="6"/>
    <n v="676000"/>
    <n v="736000"/>
  </r>
  <r>
    <s v="Manjari Dasgupta"/>
    <s v="STU047"/>
    <s v="ENR047"/>
    <x v="1"/>
    <x v="0"/>
    <n v="4"/>
    <s v="Computer Science and Engineering"/>
    <x v="5"/>
    <n v="169000"/>
    <n v="154000"/>
    <n v="15000"/>
    <n v="0"/>
    <x v="0"/>
    <x v="2"/>
    <x v="4"/>
    <x v="4"/>
    <s v="India"/>
    <s v="chaudharidharmajan@example.org"/>
    <n v="919050000000"/>
    <x v="4"/>
    <n v="64"/>
    <n v="73"/>
    <s v="Non-AC"/>
    <x v="1369"/>
    <d v="2003-08-25T00:00:00"/>
    <n v="-10.8210262828535"/>
    <x v="3"/>
    <n v="676000"/>
    <n v="736000"/>
  </r>
  <r>
    <s v="Nitara Saraf"/>
    <s v="STU1093"/>
    <s v="ENR1093"/>
    <x v="1"/>
    <x v="0"/>
    <n v="4"/>
    <s v="Computer Science and Engineering"/>
    <x v="0"/>
    <n v="169000"/>
    <n v="154000"/>
    <n v="15000"/>
    <n v="0"/>
    <x v="0"/>
    <x v="1"/>
    <x v="0"/>
    <x v="0"/>
    <s v="India"/>
    <s v="anneamani@example.com"/>
    <n v="917092000000"/>
    <x v="0"/>
    <n v="64"/>
    <n v="76"/>
    <s v="AC"/>
    <x v="1370"/>
    <d v="2003-05-26T00:00:00"/>
    <n v="-10.8210262828535"/>
    <x v="2"/>
    <n v="676000"/>
    <n v="736000"/>
  </r>
  <r>
    <s v="Shamik Kumar"/>
    <s v="STU821"/>
    <s v="ENR821"/>
    <x v="2"/>
    <x v="0"/>
    <n v="4"/>
    <s v="Computer Science and Engineering"/>
    <x v="8"/>
    <n v="169000"/>
    <n v="154000"/>
    <n v="15000"/>
    <n v="0"/>
    <x v="0"/>
    <x v="0"/>
    <x v="3"/>
    <x v="3"/>
    <s v="India"/>
    <s v="ojas60@example.net"/>
    <n v="919976000000"/>
    <x v="1"/>
    <n v="64"/>
    <n v="83"/>
    <s v="AC"/>
    <x v="1371"/>
    <d v="2001-07-27T00:00:00"/>
    <n v="-10.8210262828535"/>
    <x v="6"/>
    <n v="676000"/>
    <n v="736000"/>
  </r>
  <r>
    <s v="Vritika Kakar"/>
    <s v="STU597"/>
    <s v="ENR597"/>
    <x v="1"/>
    <x v="0"/>
    <n v="4"/>
    <s v="Computer Science and Engineering"/>
    <x v="1"/>
    <n v="169000"/>
    <n v="154000"/>
    <n v="15000"/>
    <n v="0"/>
    <x v="0"/>
    <x v="2"/>
    <x v="2"/>
    <x v="2"/>
    <s v="India"/>
    <s v="sumer09@example.org"/>
    <n v="919672000000"/>
    <x v="2"/>
    <n v="64"/>
    <n v="62"/>
    <s v="AC"/>
    <x v="1372"/>
    <d v="2002-09-04T00:00:00"/>
    <n v="-10.8210262828535"/>
    <x v="2"/>
    <n v="676000"/>
    <n v="736000"/>
  </r>
  <r>
    <s v="Devansh Kapadia"/>
    <s v="STU259"/>
    <s v="ENR259"/>
    <x v="4"/>
    <x v="0"/>
    <n v="4"/>
    <s v="Computer Science and Engineering"/>
    <x v="4"/>
    <n v="169000"/>
    <n v="154000"/>
    <n v="15000"/>
    <n v="0"/>
    <x v="0"/>
    <x v="0"/>
    <x v="5"/>
    <x v="5"/>
    <s v="India"/>
    <s v="tara30@example.com"/>
    <n v="917970000000"/>
    <x v="2"/>
    <n v="64"/>
    <n v="82"/>
    <s v="Non-AC"/>
    <x v="1373"/>
    <d v="2001-06-10T00:00:00"/>
    <n v="-10.8210262828535"/>
    <x v="0"/>
    <n v="676000"/>
    <n v="736000"/>
  </r>
  <r>
    <s v="Ivana Roy"/>
    <s v="STU501"/>
    <s v="ENR501"/>
    <x v="1"/>
    <x v="0"/>
    <n v="4"/>
    <s v="Computer Science and Engineering"/>
    <x v="1"/>
    <n v="169000"/>
    <n v="154000"/>
    <n v="15000"/>
    <n v="0"/>
    <x v="0"/>
    <x v="2"/>
    <x v="4"/>
    <x v="4"/>
    <s v="India"/>
    <s v="rjoshi@example.com"/>
    <n v="917341000000"/>
    <x v="3"/>
    <n v="64"/>
    <n v="72"/>
    <s v="AC"/>
    <x v="1374"/>
    <d v="2005-06-12T00:00:00"/>
    <n v="-10.8210262828535"/>
    <x v="5"/>
    <n v="676000"/>
    <n v="736000"/>
  </r>
  <r>
    <s v="Tejas Barad"/>
    <s v="STU222"/>
    <s v="ENR222"/>
    <x v="4"/>
    <x v="1"/>
    <n v="2"/>
    <s v="Computer Science Engineering"/>
    <x v="1"/>
    <n v="92000"/>
    <n v="77000"/>
    <n v="15000"/>
    <n v="0"/>
    <x v="0"/>
    <x v="1"/>
    <x v="7"/>
    <x v="6"/>
    <s v="India"/>
    <s v="onkar30@example.org"/>
    <n v="919438000000"/>
    <x v="1"/>
    <n v="64"/>
    <n v="63"/>
    <s v="AC"/>
    <x v="1375"/>
    <d v="1997-06-11T00:00:00"/>
    <n v="-10.8210262828535"/>
    <x v="8"/>
    <n v="184000"/>
    <n v="214000"/>
  </r>
  <r>
    <s v="Tiya Kara"/>
    <s v="STU003"/>
    <s v="ENR003"/>
    <x v="4"/>
    <x v="0"/>
    <n v="4"/>
    <s v="Computer Science and Engineering"/>
    <x v="2"/>
    <n v="169000"/>
    <n v="154000"/>
    <n v="15000"/>
    <n v="0"/>
    <x v="0"/>
    <x v="0"/>
    <x v="7"/>
    <x v="6"/>
    <s v="India"/>
    <s v="horaishita@example.net"/>
    <n v="918421000000"/>
    <x v="4"/>
    <n v="63"/>
    <n v="61"/>
    <s v="AC"/>
    <x v="1376"/>
    <d v="2004-03-27T00:00:00"/>
    <n v="-11.8210262828535"/>
    <x v="3"/>
    <n v="676000"/>
    <n v="736000"/>
  </r>
  <r>
    <s v="Lakshit Bhalla"/>
    <s v="STU025"/>
    <s v="ENR025"/>
    <x v="3"/>
    <x v="0"/>
    <n v="4"/>
    <s v="Computer Science and Engineering"/>
    <x v="7"/>
    <n v="169000"/>
    <n v="154000"/>
    <n v="15000"/>
    <n v="0"/>
    <x v="0"/>
    <x v="0"/>
    <x v="4"/>
    <x v="4"/>
    <s v="India"/>
    <s v="wasonmehul@example.org"/>
    <n v="919236000000"/>
    <x v="2"/>
    <n v="63"/>
    <n v="83"/>
    <s v="Non-AC"/>
    <x v="1377"/>
    <d v="2005-10-08T00:00:00"/>
    <n v="-11.8210262828535"/>
    <x v="4"/>
    <n v="676000"/>
    <n v="736000"/>
  </r>
  <r>
    <s v="Ishita Swamy"/>
    <s v="STU426"/>
    <s v="ENR426"/>
    <x v="4"/>
    <x v="1"/>
    <n v="2"/>
    <s v="Computer Science Engineering"/>
    <x v="5"/>
    <n v="92000"/>
    <n v="77000"/>
    <n v="15000"/>
    <n v="0"/>
    <x v="0"/>
    <x v="0"/>
    <x v="3"/>
    <x v="3"/>
    <s v="India"/>
    <s v="nityamani@example.org"/>
    <n v="919368000000"/>
    <x v="1"/>
    <n v="63"/>
    <n v="60"/>
    <s v="Non-AC"/>
    <x v="1378"/>
    <d v="2001-01-19T00:00:00"/>
    <n v="-11.8210262828535"/>
    <x v="0"/>
    <n v="184000"/>
    <n v="214000"/>
  </r>
  <r>
    <s v="Jayan Boase"/>
    <s v="STU268"/>
    <s v="ENR268"/>
    <x v="5"/>
    <x v="0"/>
    <n v="4"/>
    <s v="Computer Science and Engineering"/>
    <x v="4"/>
    <n v="169000"/>
    <n v="154000"/>
    <n v="15000"/>
    <n v="0"/>
    <x v="0"/>
    <x v="1"/>
    <x v="2"/>
    <x v="2"/>
    <s v="India"/>
    <s v="gatikmadan@example.org"/>
    <n v="917734000000"/>
    <x v="4"/>
    <n v="63"/>
    <n v="80"/>
    <s v="Non-AC"/>
    <x v="1379"/>
    <d v="2002-08-07T00:00:00"/>
    <n v="-11.8210262828535"/>
    <x v="2"/>
    <n v="676000"/>
    <n v="736000"/>
  </r>
  <r>
    <s v="Pihu Chad"/>
    <s v="STU267"/>
    <s v="ENR267"/>
    <x v="1"/>
    <x v="0"/>
    <n v="4"/>
    <s v="Computer Science and Engineering"/>
    <x v="5"/>
    <n v="169000"/>
    <n v="154000"/>
    <n v="15000"/>
    <n v="0"/>
    <x v="0"/>
    <x v="2"/>
    <x v="1"/>
    <x v="1"/>
    <s v="India"/>
    <s v="inaaya-55@example.org"/>
    <n v="918470000000"/>
    <x v="2"/>
    <n v="63"/>
    <n v="69"/>
    <s v="AC"/>
    <x v="1380"/>
    <d v="2004-06-01T00:00:00"/>
    <n v="-11.8210262828535"/>
    <x v="3"/>
    <n v="676000"/>
    <n v="736000"/>
  </r>
  <r>
    <s v="Samarth Kaul"/>
    <s v="STU080"/>
    <s v="ENR080"/>
    <x v="3"/>
    <x v="0"/>
    <n v="4"/>
    <s v="Computer Science and Engineering"/>
    <x v="2"/>
    <n v="169000"/>
    <n v="154000"/>
    <n v="15000"/>
    <n v="0"/>
    <x v="0"/>
    <x v="0"/>
    <x v="6"/>
    <x v="3"/>
    <s v="India"/>
    <s v="rheasrivastava@example.net"/>
    <n v="918934000000"/>
    <x v="2"/>
    <n v="63"/>
    <n v="85"/>
    <s v="AC"/>
    <x v="1381"/>
    <d v="2006-05-17T00:00:00"/>
    <n v="-11.8210262828535"/>
    <x v="4"/>
    <n v="676000"/>
    <n v="736000"/>
  </r>
  <r>
    <s v="Jayesh Bhargava"/>
    <s v="STU179"/>
    <s v="ENR179"/>
    <x v="4"/>
    <x v="0"/>
    <n v="4"/>
    <s v="Computer Science and Engineering"/>
    <x v="5"/>
    <n v="169000"/>
    <n v="154000"/>
    <n v="15000"/>
    <n v="0"/>
    <x v="0"/>
    <x v="2"/>
    <x v="6"/>
    <x v="3"/>
    <s v="India"/>
    <s v="amiraarora@example.com"/>
    <n v="918564000000"/>
    <x v="0"/>
    <n v="63"/>
    <n v="76"/>
    <s v="AC"/>
    <x v="1382"/>
    <d v="2003-08-16T00:00:00"/>
    <n v="-11.8210262828535"/>
    <x v="3"/>
    <n v="676000"/>
    <n v="736000"/>
  </r>
  <r>
    <s v="Zain Bir"/>
    <s v="STU008"/>
    <s v="ENR008"/>
    <x v="5"/>
    <x v="0"/>
    <n v="4"/>
    <s v="Computer Science and Engineering"/>
    <x v="3"/>
    <n v="169000"/>
    <n v="154000"/>
    <n v="15000"/>
    <n v="0"/>
    <x v="0"/>
    <x v="0"/>
    <x v="0"/>
    <x v="0"/>
    <s v="India"/>
    <s v="jayan67@example.com"/>
    <n v="919507000000"/>
    <x v="1"/>
    <n v="63"/>
    <n v="77"/>
    <s v="AC"/>
    <x v="1383"/>
    <d v="2004-05-07T00:00:00"/>
    <n v="-11.8210262828535"/>
    <x v="3"/>
    <n v="676000"/>
    <n v="736000"/>
  </r>
  <r>
    <s v="Azad Rattan"/>
    <s v="STU183"/>
    <s v="ENR183"/>
    <x v="0"/>
    <x v="0"/>
    <n v="4"/>
    <s v="Computer Science and Engineering"/>
    <x v="4"/>
    <n v="169000"/>
    <n v="154000"/>
    <n v="15000"/>
    <n v="0"/>
    <x v="0"/>
    <x v="1"/>
    <x v="2"/>
    <x v="2"/>
    <s v="India"/>
    <s v="haridharmajan@example.net"/>
    <n v="917602000000"/>
    <x v="3"/>
    <n v="63"/>
    <n v="83"/>
    <s v="AC"/>
    <x v="1384"/>
    <d v="2001-05-29T00:00:00"/>
    <n v="-11.8210262828535"/>
    <x v="0"/>
    <n v="676000"/>
    <n v="736000"/>
  </r>
  <r>
    <s v="Ishaan Din"/>
    <s v="STU220"/>
    <s v="ENR220"/>
    <x v="4"/>
    <x v="0"/>
    <n v="4"/>
    <s v="Computer Science and Engineering"/>
    <x v="5"/>
    <n v="169000"/>
    <n v="154000"/>
    <n v="15000"/>
    <n v="0"/>
    <x v="0"/>
    <x v="1"/>
    <x v="6"/>
    <x v="3"/>
    <s v="India"/>
    <s v="siyagaba@example.org"/>
    <n v="919878000000"/>
    <x v="4"/>
    <n v="63"/>
    <n v="87"/>
    <s v="AC"/>
    <x v="1385"/>
    <d v="2006-02-10T00:00:00"/>
    <n v="-11.8210262828535"/>
    <x v="4"/>
    <n v="676000"/>
    <n v="736000"/>
  </r>
  <r>
    <s v="Romil Kapoor"/>
    <s v="STU198"/>
    <s v="ENR198"/>
    <x v="3"/>
    <x v="0"/>
    <n v="4"/>
    <s v="Computer Science and Engineering"/>
    <x v="4"/>
    <n v="169000"/>
    <n v="154000"/>
    <n v="15000"/>
    <n v="0"/>
    <x v="0"/>
    <x v="0"/>
    <x v="2"/>
    <x v="2"/>
    <s v="India"/>
    <s v="fdesai@example.org"/>
    <n v="919006000000"/>
    <x v="4"/>
    <n v="63"/>
    <n v="78"/>
    <s v="AC"/>
    <x v="1386"/>
    <d v="2005-05-24T00:00:00"/>
    <n v="-11.8210262828535"/>
    <x v="5"/>
    <n v="676000"/>
    <n v="736000"/>
  </r>
  <r>
    <s v="Fateh Ramakrishnan"/>
    <s v="STU460"/>
    <s v="ENR460"/>
    <x v="5"/>
    <x v="1"/>
    <n v="2"/>
    <s v="Computer Science Engineering"/>
    <x v="1"/>
    <n v="92000"/>
    <n v="77000"/>
    <n v="15000"/>
    <n v="0"/>
    <x v="0"/>
    <x v="1"/>
    <x v="3"/>
    <x v="3"/>
    <s v="India"/>
    <s v="lavanyabarad@example.com"/>
    <n v="917127000000"/>
    <x v="2"/>
    <n v="63"/>
    <n v="60"/>
    <s v="Non-AC"/>
    <x v="1387"/>
    <d v="1997-05-24T00:00:00"/>
    <n v="-11.8210262828535"/>
    <x v="8"/>
    <n v="184000"/>
    <n v="214000"/>
  </r>
  <r>
    <s v="Ivana Koshy"/>
    <s v="STU070"/>
    <s v="ENR070"/>
    <x v="5"/>
    <x v="0"/>
    <n v="4"/>
    <s v="Computer Science and Engineering"/>
    <x v="1"/>
    <n v="169000"/>
    <n v="154000"/>
    <n v="15000"/>
    <n v="0"/>
    <x v="0"/>
    <x v="1"/>
    <x v="2"/>
    <x v="2"/>
    <s v="India"/>
    <s v="dhanuk38@example.org"/>
    <n v="919039000000"/>
    <x v="1"/>
    <n v="63"/>
    <n v="80"/>
    <s v="Non-AC"/>
    <x v="1388"/>
    <d v="2005-09-09T00:00:00"/>
    <n v="-11.8210262828535"/>
    <x v="4"/>
    <n v="676000"/>
    <n v="736000"/>
  </r>
  <r>
    <s v="Jiya Dayal"/>
    <s v="STU068"/>
    <s v="ENR068"/>
    <x v="0"/>
    <x v="0"/>
    <n v="4"/>
    <s v="Computer Science and Engineering"/>
    <x v="2"/>
    <n v="169000"/>
    <n v="154000"/>
    <n v="15000"/>
    <n v="0"/>
    <x v="0"/>
    <x v="2"/>
    <x v="0"/>
    <x v="0"/>
    <s v="India"/>
    <s v="surshanaya@example.com"/>
    <n v="917953000000"/>
    <x v="0"/>
    <n v="63"/>
    <n v="75"/>
    <s v="AC"/>
    <x v="1389"/>
    <d v="2005-10-07T00:00:00"/>
    <n v="-11.8210262828535"/>
    <x v="4"/>
    <n v="676000"/>
    <n v="736000"/>
  </r>
  <r>
    <s v="Alisha Sheth"/>
    <s v="STU358"/>
    <s v="ENR358"/>
    <x v="3"/>
    <x v="0"/>
    <n v="4"/>
    <s v="Computer Science and Engineering"/>
    <x v="0"/>
    <n v="169000"/>
    <n v="154000"/>
    <n v="15000"/>
    <n v="0"/>
    <x v="0"/>
    <x v="2"/>
    <x v="0"/>
    <x v="0"/>
    <s v="India"/>
    <s v="kapureshani@example.org"/>
    <n v="918307000000"/>
    <x v="3"/>
    <n v="63"/>
    <n v="88"/>
    <s v="AC"/>
    <x v="1390"/>
    <d v="2005-11-11T00:00:00"/>
    <n v="-11.8210262828535"/>
    <x v="4"/>
    <n v="676000"/>
    <n v="736000"/>
  </r>
  <r>
    <s v="Yuvaan Agate"/>
    <s v="STU062"/>
    <s v="ENR062"/>
    <x v="5"/>
    <x v="0"/>
    <n v="4"/>
    <s v="Computer Science and Engineering"/>
    <x v="6"/>
    <n v="169000"/>
    <n v="154000"/>
    <n v="15000"/>
    <n v="0"/>
    <x v="0"/>
    <x v="2"/>
    <x v="2"/>
    <x v="2"/>
    <s v="India"/>
    <s v="sarinmishti@example.org"/>
    <n v="917309000000"/>
    <x v="2"/>
    <n v="63"/>
    <n v="70"/>
    <s v="AC"/>
    <x v="1391"/>
    <d v="2004-09-07T00:00:00"/>
    <n v="-11.8210262828535"/>
    <x v="5"/>
    <n v="676000"/>
    <n v="736000"/>
  </r>
  <r>
    <s v="Nitya Tandon"/>
    <s v="STU407"/>
    <s v="ENR407"/>
    <x v="1"/>
    <x v="1"/>
    <n v="2"/>
    <s v="Computer Science Engineering"/>
    <x v="6"/>
    <n v="92000"/>
    <n v="77000"/>
    <n v="15000"/>
    <n v="0"/>
    <x v="0"/>
    <x v="1"/>
    <x v="3"/>
    <x v="3"/>
    <s v="India"/>
    <s v="xdalal@example.com"/>
    <n v="919454000000"/>
    <x v="1"/>
    <n v="63"/>
    <n v="73"/>
    <s v="Non-AC"/>
    <x v="1392"/>
    <d v="1999-01-21T00:00:00"/>
    <n v="-11.8210262828535"/>
    <x v="7"/>
    <n v="184000"/>
    <n v="214000"/>
  </r>
  <r>
    <s v="Veer Rattan"/>
    <s v="STU219"/>
    <s v="ENR219"/>
    <x v="5"/>
    <x v="0"/>
    <n v="4"/>
    <s v="Computer Science and Engineering"/>
    <x v="9"/>
    <n v="169000"/>
    <n v="154000"/>
    <n v="15000"/>
    <n v="0"/>
    <x v="0"/>
    <x v="0"/>
    <x v="7"/>
    <x v="6"/>
    <s v="India"/>
    <s v="bhattojas@example.org"/>
    <n v="917931000000"/>
    <x v="1"/>
    <n v="63"/>
    <n v="81"/>
    <s v="Non-AC"/>
    <x v="1393"/>
    <d v="2004-02-13T00:00:00"/>
    <n v="-11.8210262828535"/>
    <x v="3"/>
    <n v="676000"/>
    <n v="736000"/>
  </r>
  <r>
    <s v="Hiran Kamdar"/>
    <s v="STU313"/>
    <s v="ENR313"/>
    <x v="1"/>
    <x v="0"/>
    <n v="4"/>
    <s v="Computer Science and Engineering"/>
    <x v="0"/>
    <n v="169000"/>
    <n v="154000"/>
    <n v="15000"/>
    <n v="0"/>
    <x v="0"/>
    <x v="1"/>
    <x v="4"/>
    <x v="4"/>
    <s v="India"/>
    <s v="comarmisha@example.com"/>
    <n v="917340000000"/>
    <x v="4"/>
    <n v="63"/>
    <n v="88"/>
    <s v="Non-AC"/>
    <x v="1394"/>
    <d v="2004-02-25T00:00:00"/>
    <n v="-11.8210262828535"/>
    <x v="3"/>
    <n v="676000"/>
    <n v="736000"/>
  </r>
  <r>
    <s v="Inaaya  Srinivasan"/>
    <s v="STU057"/>
    <s v="ENR057"/>
    <x v="5"/>
    <x v="0"/>
    <n v="4"/>
    <s v="Computer Science and Engineering"/>
    <x v="0"/>
    <n v="169000"/>
    <n v="154000"/>
    <n v="15000"/>
    <n v="0"/>
    <x v="0"/>
    <x v="2"/>
    <x v="0"/>
    <x v="0"/>
    <s v="India"/>
    <s v="zsarna@example.net"/>
    <n v="918313000000"/>
    <x v="0"/>
    <n v="63"/>
    <n v="82"/>
    <s v="AC"/>
    <x v="1395"/>
    <d v="2003-03-05T00:00:00"/>
    <n v="-11.8210262828535"/>
    <x v="2"/>
    <n v="676000"/>
    <n v="736000"/>
  </r>
  <r>
    <s v="Umang Ram"/>
    <s v="STU415"/>
    <s v="ENR415"/>
    <x v="1"/>
    <x v="1"/>
    <n v="2"/>
    <s v="Computer Science Engineering"/>
    <x v="4"/>
    <n v="92000"/>
    <n v="77000"/>
    <n v="15000"/>
    <n v="0"/>
    <x v="0"/>
    <x v="1"/>
    <x v="0"/>
    <x v="0"/>
    <s v="India"/>
    <s v="raghav82@example.net"/>
    <n v="918572000000"/>
    <x v="0"/>
    <n v="63"/>
    <n v="81"/>
    <s v="AC"/>
    <x v="1396"/>
    <d v="2001-11-30T00:00:00"/>
    <n v="-11.8210262828535"/>
    <x v="6"/>
    <n v="184000"/>
    <n v="214000"/>
  </r>
  <r>
    <s v="Mishti Khare"/>
    <s v="STU499"/>
    <s v="ENR499"/>
    <x v="4"/>
    <x v="1"/>
    <n v="2"/>
    <s v="Computer Science Engineering"/>
    <x v="3"/>
    <n v="92000"/>
    <n v="77000"/>
    <n v="15000"/>
    <n v="0"/>
    <x v="0"/>
    <x v="2"/>
    <x v="5"/>
    <x v="5"/>
    <s v="India"/>
    <s v="jiya68@example.net"/>
    <n v="917117000000"/>
    <x v="0"/>
    <n v="63"/>
    <n v="70"/>
    <s v="Non-AC"/>
    <x v="1397"/>
    <d v="1999-03-25T00:00:00"/>
    <n v="-11.8210262828535"/>
    <x v="7"/>
    <n v="184000"/>
    <n v="214000"/>
  </r>
  <r>
    <s v="Jayan Solanki"/>
    <s v="STU357"/>
    <s v="ENR357"/>
    <x v="1"/>
    <x v="1"/>
    <n v="2"/>
    <s v="Computer Science Engineering"/>
    <x v="3"/>
    <n v="92000"/>
    <n v="77000"/>
    <n v="15000"/>
    <n v="0"/>
    <x v="0"/>
    <x v="0"/>
    <x v="4"/>
    <x v="4"/>
    <s v="India"/>
    <s v="nvyas@example.com"/>
    <n v="917617000000"/>
    <x v="4"/>
    <n v="63"/>
    <n v="74"/>
    <s v="Non-AC"/>
    <x v="1398"/>
    <d v="1998-04-24T00:00:00"/>
    <n v="-11.8210262828535"/>
    <x v="9"/>
    <n v="184000"/>
    <n v="214000"/>
  </r>
  <r>
    <s v="Shlok Joshi"/>
    <s v="STU153"/>
    <s v="ENR153"/>
    <x v="4"/>
    <x v="0"/>
    <n v="4"/>
    <s v="Computer Science and Engineering"/>
    <x v="0"/>
    <n v="169000"/>
    <n v="154000"/>
    <n v="15000"/>
    <n v="0"/>
    <x v="0"/>
    <x v="1"/>
    <x v="9"/>
    <x v="8"/>
    <s v="India"/>
    <s v="adara@example.org"/>
    <n v="919293000000"/>
    <x v="4"/>
    <n v="63"/>
    <n v="77"/>
    <s v="AC"/>
    <x v="1399"/>
    <d v="2004-06-09T00:00:00"/>
    <n v="-11.8210262828535"/>
    <x v="3"/>
    <n v="676000"/>
    <n v="736000"/>
  </r>
  <r>
    <s v="Priyansh Deep"/>
    <s v="STU189"/>
    <s v="ENR189"/>
    <x v="1"/>
    <x v="0"/>
    <n v="4"/>
    <s v="Computer Science and Engineering"/>
    <x v="5"/>
    <n v="169000"/>
    <n v="154000"/>
    <n v="15000"/>
    <n v="0"/>
    <x v="0"/>
    <x v="2"/>
    <x v="0"/>
    <x v="0"/>
    <s v="India"/>
    <s v="adirachowdhury@example.com"/>
    <n v="919058000000"/>
    <x v="3"/>
    <n v="63"/>
    <n v="79"/>
    <s v="AC"/>
    <x v="1400"/>
    <d v="2003-12-28T00:00:00"/>
    <n v="-11.8210262828535"/>
    <x v="3"/>
    <n v="676000"/>
    <n v="736000"/>
  </r>
  <r>
    <s v="Priyansh Brar"/>
    <s v="STU546"/>
    <s v="ENR546"/>
    <x v="4"/>
    <x v="0"/>
    <n v="4"/>
    <s v="Computer Science and Engineering"/>
    <x v="2"/>
    <n v="169000"/>
    <n v="154000"/>
    <n v="15000"/>
    <n v="0"/>
    <x v="0"/>
    <x v="1"/>
    <x v="6"/>
    <x v="3"/>
    <s v="India"/>
    <s v="vargheseanahi@example.com"/>
    <n v="918738000000"/>
    <x v="3"/>
    <n v="63"/>
    <n v="79"/>
    <s v="AC"/>
    <x v="1401"/>
    <d v="2000-09-25T00:00:00"/>
    <n v="-11.8210262828535"/>
    <x v="0"/>
    <n v="676000"/>
    <n v="736000"/>
  </r>
  <r>
    <s v="Ishaan Anne"/>
    <s v="STU128"/>
    <s v="ENR128"/>
    <x v="0"/>
    <x v="1"/>
    <n v="2"/>
    <s v="Computer Science Engineering"/>
    <x v="0"/>
    <n v="92000"/>
    <n v="77000"/>
    <n v="15000"/>
    <n v="0"/>
    <x v="0"/>
    <x v="2"/>
    <x v="4"/>
    <x v="4"/>
    <s v="India"/>
    <s v="ivana59@example.org"/>
    <n v="918342000000"/>
    <x v="3"/>
    <n v="63"/>
    <n v="89"/>
    <s v="Non-AC"/>
    <x v="1402"/>
    <d v="2002-01-22T00:00:00"/>
    <n v="-11.8210262828535"/>
    <x v="6"/>
    <n v="184000"/>
    <n v="214000"/>
  </r>
  <r>
    <s v="Sahil Bassi"/>
    <s v="STU1132"/>
    <s v="ENR1132"/>
    <x v="4"/>
    <x v="0"/>
    <n v="4"/>
    <s v="Computer Science and Engineering"/>
    <x v="5"/>
    <n v="169000"/>
    <n v="154000"/>
    <n v="15000"/>
    <n v="0"/>
    <x v="0"/>
    <x v="1"/>
    <x v="0"/>
    <x v="0"/>
    <s v="India"/>
    <s v="kadakiashray@example.org"/>
    <n v="919125000000"/>
    <x v="3"/>
    <n v="63"/>
    <n v="74"/>
    <s v="Non-AC"/>
    <x v="1403"/>
    <d v="2004-11-09T00:00:00"/>
    <n v="-11.8210262828535"/>
    <x v="5"/>
    <n v="676000"/>
    <n v="736000"/>
  </r>
  <r>
    <s v="Ehsaan Grewal"/>
    <s v="STU1140"/>
    <s v="ENR1140"/>
    <x v="1"/>
    <x v="0"/>
    <n v="4"/>
    <s v="Computer Science and Engineering"/>
    <x v="7"/>
    <n v="169000"/>
    <n v="154000"/>
    <n v="15000"/>
    <n v="0"/>
    <x v="0"/>
    <x v="0"/>
    <x v="6"/>
    <x v="3"/>
    <s v="India"/>
    <s v="suranahi@example.com"/>
    <n v="919694000000"/>
    <x v="0"/>
    <n v="63"/>
    <n v="83"/>
    <s v="Non-AC"/>
    <x v="1404"/>
    <d v="2002-12-18T00:00:00"/>
    <n v="-11.8210262828535"/>
    <x v="2"/>
    <n v="676000"/>
    <n v="736000"/>
  </r>
  <r>
    <s v="Inaaya  Bhavsar"/>
    <s v="STU266"/>
    <s v="ENR266"/>
    <x v="5"/>
    <x v="1"/>
    <n v="2"/>
    <s v="Computer Science Engineering"/>
    <x v="4"/>
    <n v="92000"/>
    <n v="77000"/>
    <n v="15000"/>
    <n v="0"/>
    <x v="0"/>
    <x v="1"/>
    <x v="4"/>
    <x v="4"/>
    <s v="India"/>
    <s v="ranganathananahi@example.com"/>
    <n v="918845000000"/>
    <x v="1"/>
    <n v="63"/>
    <n v="79"/>
    <s v="AC"/>
    <x v="1405"/>
    <d v="2000-08-13T00:00:00"/>
    <n v="-11.8210262828535"/>
    <x v="0"/>
    <n v="184000"/>
    <n v="214000"/>
  </r>
  <r>
    <s v="Akarsh Barad"/>
    <s v="STU264"/>
    <s v="ENR264"/>
    <x v="2"/>
    <x v="1"/>
    <n v="2"/>
    <s v="Computer Science Engineering"/>
    <x v="0"/>
    <n v="92000"/>
    <n v="77000"/>
    <n v="15000"/>
    <n v="0"/>
    <x v="0"/>
    <x v="0"/>
    <x v="1"/>
    <x v="1"/>
    <s v="India"/>
    <s v="mjani@example.net"/>
    <n v="917507000000"/>
    <x v="1"/>
    <n v="63"/>
    <n v="62"/>
    <s v="Non-AC"/>
    <x v="1406"/>
    <d v="2000-03-29T00:00:00"/>
    <n v="-11.8210262828535"/>
    <x v="1"/>
    <n v="184000"/>
    <n v="214000"/>
  </r>
  <r>
    <s v="Aniruddh Uppal"/>
    <s v="STU838"/>
    <s v="ENR838"/>
    <x v="3"/>
    <x v="0"/>
    <n v="4"/>
    <s v="Computer Science and Engineering"/>
    <x v="8"/>
    <n v="169000"/>
    <n v="154000"/>
    <n v="15000"/>
    <n v="0"/>
    <x v="0"/>
    <x v="2"/>
    <x v="1"/>
    <x v="1"/>
    <s v="India"/>
    <s v="drishyakumer@example.org"/>
    <n v="919474000000"/>
    <x v="2"/>
    <n v="63"/>
    <n v="81"/>
    <s v="AC"/>
    <x v="1407"/>
    <d v="2005-01-10T00:00:00"/>
    <n v="-11.8210262828535"/>
    <x v="5"/>
    <n v="676000"/>
    <n v="736000"/>
  </r>
  <r>
    <s v="Yashvi Dhar"/>
    <s v="STU193"/>
    <s v="ENR193"/>
    <x v="4"/>
    <x v="1"/>
    <n v="2"/>
    <s v="Computer Science Engineering"/>
    <x v="3"/>
    <n v="92000"/>
    <n v="77000"/>
    <n v="15000"/>
    <n v="0"/>
    <x v="0"/>
    <x v="0"/>
    <x v="1"/>
    <x v="1"/>
    <s v="India"/>
    <s v="bhatiagokul@example.com"/>
    <n v="917237000000"/>
    <x v="1"/>
    <n v="63"/>
    <n v="81"/>
    <s v="AC"/>
    <x v="1408"/>
    <d v="1999-02-15T00:00:00"/>
    <n v="-11.8210262828535"/>
    <x v="7"/>
    <n v="184000"/>
    <n v="214000"/>
  </r>
  <r>
    <s v="Zara Talwar"/>
    <s v="STU521"/>
    <s v="ENR521"/>
    <x v="1"/>
    <x v="0"/>
    <n v="4"/>
    <s v="Computer Science and Engineering"/>
    <x v="3"/>
    <n v="169000"/>
    <n v="154000"/>
    <n v="15000"/>
    <n v="0"/>
    <x v="0"/>
    <x v="0"/>
    <x v="3"/>
    <x v="3"/>
    <s v="India"/>
    <s v="mohanlal82@example.net"/>
    <n v="918291000000"/>
    <x v="4"/>
    <n v="63"/>
    <n v="73"/>
    <s v="AC"/>
    <x v="1409"/>
    <d v="2002-01-09T00:00:00"/>
    <n v="-11.8210262828535"/>
    <x v="6"/>
    <n v="676000"/>
    <n v="736000"/>
  </r>
  <r>
    <s v="Kashvi Bassi"/>
    <s v="STU260"/>
    <s v="ENR260"/>
    <x v="3"/>
    <x v="1"/>
    <n v="2"/>
    <s v="Computer Science Engineering"/>
    <x v="4"/>
    <n v="92000"/>
    <n v="77000"/>
    <n v="15000"/>
    <n v="0"/>
    <x v="0"/>
    <x v="1"/>
    <x v="4"/>
    <x v="4"/>
    <s v="India"/>
    <s v="gokhalemyra@example.net"/>
    <n v="917313000000"/>
    <x v="0"/>
    <n v="63"/>
    <n v="60"/>
    <s v="Non-AC"/>
    <x v="1410"/>
    <d v="2001-08-16T00:00:00"/>
    <n v="-11.8210262828535"/>
    <x v="6"/>
    <n v="184000"/>
    <n v="214000"/>
  </r>
  <r>
    <s v="Dhruv Kamdar"/>
    <s v="STU525"/>
    <s v="ENR525"/>
    <x v="2"/>
    <x v="0"/>
    <n v="4"/>
    <s v="Computer Science and Engineering"/>
    <x v="9"/>
    <n v="169000"/>
    <n v="154000"/>
    <n v="15000"/>
    <n v="0"/>
    <x v="0"/>
    <x v="2"/>
    <x v="9"/>
    <x v="8"/>
    <s v="India"/>
    <s v="kibejivin@example.com"/>
    <n v="918495000000"/>
    <x v="4"/>
    <n v="63"/>
    <n v="67"/>
    <s v="Non-AC"/>
    <x v="1411"/>
    <d v="2001-09-27T00:00:00"/>
    <n v="-11.8210262828535"/>
    <x v="6"/>
    <n v="676000"/>
    <n v="736000"/>
  </r>
  <r>
    <s v="Ojas Madan"/>
    <s v="STU1150"/>
    <s v="ENR1150"/>
    <x v="3"/>
    <x v="0"/>
    <n v="4"/>
    <s v="Computer Science and Engineering"/>
    <x v="5"/>
    <n v="169000"/>
    <n v="154000"/>
    <n v="15000"/>
    <n v="0"/>
    <x v="0"/>
    <x v="0"/>
    <x v="8"/>
    <x v="7"/>
    <s v="India"/>
    <s v="mehullalla@example.net"/>
    <n v="919007000000"/>
    <x v="3"/>
    <n v="63"/>
    <n v="74"/>
    <s v="AC"/>
    <x v="1412"/>
    <d v="2004-01-12T00:00:00"/>
    <n v="-11.8210262828535"/>
    <x v="3"/>
    <n v="676000"/>
    <n v="736000"/>
  </r>
  <r>
    <s v="Hrishita Bir"/>
    <s v="STU1172"/>
    <s v="ENR1172"/>
    <x v="4"/>
    <x v="0"/>
    <n v="4"/>
    <s v="Computer Science and Engineering"/>
    <x v="2"/>
    <n v="169000"/>
    <n v="154000"/>
    <n v="15000"/>
    <n v="0"/>
    <x v="0"/>
    <x v="2"/>
    <x v="9"/>
    <x v="8"/>
    <s v="India"/>
    <s v="onkar42@example.com"/>
    <n v="918530000000"/>
    <x v="3"/>
    <n v="63"/>
    <n v="67"/>
    <s v="Non-AC"/>
    <x v="1413"/>
    <d v="2000-07-03T00:00:00"/>
    <n v="-11.8210262828535"/>
    <x v="1"/>
    <n v="676000"/>
    <n v="736000"/>
  </r>
  <r>
    <s v="Divit Tata"/>
    <s v="STU793"/>
    <s v="ENR793"/>
    <x v="1"/>
    <x v="0"/>
    <n v="4"/>
    <s v="Computer Science and Engineering"/>
    <x v="8"/>
    <n v="169000"/>
    <n v="154000"/>
    <n v="15000"/>
    <n v="0"/>
    <x v="0"/>
    <x v="1"/>
    <x v="4"/>
    <x v="4"/>
    <s v="India"/>
    <s v="chadadhruv@example.com"/>
    <n v="918014000000"/>
    <x v="4"/>
    <n v="63"/>
    <n v="71"/>
    <s v="Non-AC"/>
    <x v="1414"/>
    <d v="2002-01-16T00:00:00"/>
    <n v="-11.8210262828535"/>
    <x v="6"/>
    <n v="676000"/>
    <n v="736000"/>
  </r>
  <r>
    <s v="Rasha Raja"/>
    <s v="STU552"/>
    <s v="ENR552"/>
    <x v="2"/>
    <x v="0"/>
    <n v="4"/>
    <s v="Computer Science and Engineering"/>
    <x v="3"/>
    <n v="169000"/>
    <n v="154000"/>
    <n v="15000"/>
    <n v="0"/>
    <x v="0"/>
    <x v="2"/>
    <x v="2"/>
    <x v="2"/>
    <s v="India"/>
    <s v="neysa79@example.com"/>
    <n v="917959000000"/>
    <x v="4"/>
    <n v="63"/>
    <n v="63"/>
    <s v="AC"/>
    <x v="1415"/>
    <d v="2005-04-12T00:00:00"/>
    <n v="-11.8210262828535"/>
    <x v="5"/>
    <n v="676000"/>
    <n v="736000"/>
  </r>
  <r>
    <s v="Eshani Bose"/>
    <s v="STU1193"/>
    <s v="ENR1193"/>
    <x v="3"/>
    <x v="0"/>
    <n v="4"/>
    <s v="Computer Science and Engineering"/>
    <x v="0"/>
    <n v="169000"/>
    <n v="154000"/>
    <n v="15000"/>
    <n v="0"/>
    <x v="0"/>
    <x v="1"/>
    <x v="4"/>
    <x v="4"/>
    <s v="India"/>
    <s v="drishya21@example.com"/>
    <n v="917744000000"/>
    <x v="4"/>
    <n v="63"/>
    <n v="75"/>
    <s v="AC"/>
    <x v="1416"/>
    <d v="2005-09-18T00:00:00"/>
    <n v="-11.8210262828535"/>
    <x v="4"/>
    <n v="676000"/>
    <n v="736000"/>
  </r>
  <r>
    <s v="Heer Chokshi"/>
    <s v="STU579"/>
    <s v="ENR579"/>
    <x v="0"/>
    <x v="0"/>
    <n v="4"/>
    <s v="Computer Science and Engineering"/>
    <x v="5"/>
    <n v="169000"/>
    <n v="154000"/>
    <n v="15000"/>
    <n v="0"/>
    <x v="0"/>
    <x v="0"/>
    <x v="3"/>
    <x v="3"/>
    <s v="India"/>
    <s v="zaraahluwalia@example.net"/>
    <n v="918497000000"/>
    <x v="2"/>
    <n v="63"/>
    <n v="76"/>
    <s v="Non-AC"/>
    <x v="1417"/>
    <d v="2003-06-11T00:00:00"/>
    <n v="-11.8210262828535"/>
    <x v="2"/>
    <n v="676000"/>
    <n v="736000"/>
  </r>
  <r>
    <s v="Amani Hari"/>
    <s v="STU580"/>
    <s v="ENR580"/>
    <x v="2"/>
    <x v="0"/>
    <n v="4"/>
    <s v="Computer Science and Engineering"/>
    <x v="1"/>
    <n v="169000"/>
    <n v="154000"/>
    <n v="15000"/>
    <n v="0"/>
    <x v="0"/>
    <x v="1"/>
    <x v="3"/>
    <x v="3"/>
    <s v="India"/>
    <s v="karabiju@example.com"/>
    <n v="919043000000"/>
    <x v="0"/>
    <n v="63"/>
    <n v="85"/>
    <s v="AC"/>
    <x v="1418"/>
    <d v="2003-08-11T00:00:00"/>
    <n v="-11.8210262828535"/>
    <x v="3"/>
    <n v="676000"/>
    <n v="736000"/>
  </r>
  <r>
    <s v="Kanav Boase"/>
    <s v="STU592"/>
    <s v="ENR592"/>
    <x v="2"/>
    <x v="0"/>
    <n v="4"/>
    <s v="Computer Science and Engineering"/>
    <x v="1"/>
    <n v="169000"/>
    <n v="154000"/>
    <n v="15000"/>
    <n v="0"/>
    <x v="0"/>
    <x v="0"/>
    <x v="0"/>
    <x v="0"/>
    <s v="India"/>
    <s v="nitara16@example.org"/>
    <n v="917361000000"/>
    <x v="3"/>
    <n v="63"/>
    <n v="60"/>
    <s v="AC"/>
    <x v="1419"/>
    <d v="2005-04-24T00:00:00"/>
    <n v="-11.8210262828535"/>
    <x v="5"/>
    <n v="676000"/>
    <n v="736000"/>
  </r>
  <r>
    <s v="Suhana Rajagopalan"/>
    <s v="STU754"/>
    <s v="ENR754"/>
    <x v="5"/>
    <x v="0"/>
    <n v="4"/>
    <s v="Computer Science and Engineering"/>
    <x v="9"/>
    <n v="169000"/>
    <n v="154000"/>
    <n v="15000"/>
    <n v="0"/>
    <x v="0"/>
    <x v="1"/>
    <x v="1"/>
    <x v="1"/>
    <s v="India"/>
    <s v="hsolanki@example.com"/>
    <n v="917152000000"/>
    <x v="2"/>
    <n v="63"/>
    <n v="84"/>
    <s v="Non-AC"/>
    <x v="1420"/>
    <d v="2005-04-05T00:00:00"/>
    <n v="-11.8210262828535"/>
    <x v="5"/>
    <n v="676000"/>
    <n v="736000"/>
  </r>
  <r>
    <s v="Mohanlal Varty"/>
    <s v="STU145"/>
    <s v="ENR145"/>
    <x v="0"/>
    <x v="1"/>
    <n v="2"/>
    <s v="Computer Science Engineering"/>
    <x v="1"/>
    <n v="92000"/>
    <n v="77000"/>
    <n v="15000"/>
    <n v="0"/>
    <x v="0"/>
    <x v="0"/>
    <x v="1"/>
    <x v="1"/>
    <s v="India"/>
    <s v="sshukla@example.com"/>
    <n v="918086000000"/>
    <x v="3"/>
    <n v="63"/>
    <n v="79"/>
    <s v="AC"/>
    <x v="1421"/>
    <d v="1999-01-24T00:00:00"/>
    <n v="-11.8210262828535"/>
    <x v="7"/>
    <n v="184000"/>
    <n v="214000"/>
  </r>
  <r>
    <s v="Nakul Tara"/>
    <s v="STU752"/>
    <s v="ENR752"/>
    <x v="0"/>
    <x v="0"/>
    <n v="4"/>
    <s v="Computer Science and Engineering"/>
    <x v="6"/>
    <n v="169000"/>
    <n v="154000"/>
    <n v="15000"/>
    <n v="0"/>
    <x v="0"/>
    <x v="2"/>
    <x v="7"/>
    <x v="6"/>
    <s v="India"/>
    <s v="xkeer@example.org"/>
    <n v="919373000000"/>
    <x v="3"/>
    <n v="63"/>
    <n v="72"/>
    <s v="AC"/>
    <x v="1422"/>
    <d v="2002-11-17T00:00:00"/>
    <n v="-11.8210262828535"/>
    <x v="2"/>
    <n v="676000"/>
    <n v="736000"/>
  </r>
  <r>
    <s v="Samar Kota"/>
    <s v="STU213"/>
    <s v="ENR213"/>
    <x v="0"/>
    <x v="1"/>
    <n v="2"/>
    <s v="Computer Science Engineering"/>
    <x v="0"/>
    <n v="92000"/>
    <n v="77000"/>
    <n v="15000"/>
    <n v="0"/>
    <x v="0"/>
    <x v="0"/>
    <x v="6"/>
    <x v="3"/>
    <s v="India"/>
    <s v="wsengupta@example.net"/>
    <n v="919803000000"/>
    <x v="2"/>
    <n v="63"/>
    <n v="79"/>
    <s v="Non-AC"/>
    <x v="1423"/>
    <d v="1999-07-07T00:00:00"/>
    <n v="-11.8210262828535"/>
    <x v="7"/>
    <n v="184000"/>
    <n v="214000"/>
  </r>
  <r>
    <s v="Divyansh Manda"/>
    <s v="STU741"/>
    <s v="ENR741"/>
    <x v="0"/>
    <x v="0"/>
    <n v="4"/>
    <s v="Computer Science and Engineering"/>
    <x v="7"/>
    <n v="169000"/>
    <n v="154000"/>
    <n v="15000"/>
    <n v="0"/>
    <x v="0"/>
    <x v="1"/>
    <x v="5"/>
    <x v="5"/>
    <s v="India"/>
    <s v="alishakhare@example.org"/>
    <n v="917289000000"/>
    <x v="0"/>
    <n v="63"/>
    <n v="77"/>
    <s v="AC"/>
    <x v="1424"/>
    <d v="2003-08-10T00:00:00"/>
    <n v="-11.8210262828535"/>
    <x v="3"/>
    <n v="676000"/>
    <n v="736000"/>
  </r>
  <r>
    <s v="Saanvi Kibe"/>
    <s v="STU619"/>
    <s v="ENR619"/>
    <x v="4"/>
    <x v="0"/>
    <n v="4"/>
    <s v="Computer Science and Engineering"/>
    <x v="0"/>
    <n v="169000"/>
    <n v="154000"/>
    <n v="15000"/>
    <n v="0"/>
    <x v="0"/>
    <x v="0"/>
    <x v="0"/>
    <x v="0"/>
    <s v="India"/>
    <s v="dubeykimaya@example.org"/>
    <n v="919812000000"/>
    <x v="3"/>
    <n v="63"/>
    <n v="68"/>
    <s v="AC"/>
    <x v="1425"/>
    <d v="2006-03-05T00:00:00"/>
    <n v="-11.8210262828535"/>
    <x v="4"/>
    <n v="676000"/>
    <n v="736000"/>
  </r>
  <r>
    <s v="Nishith Bains"/>
    <s v="STU645"/>
    <s v="ENR645"/>
    <x v="4"/>
    <x v="0"/>
    <n v="4"/>
    <s v="Computer Science and Engineering"/>
    <x v="8"/>
    <n v="169000"/>
    <n v="154000"/>
    <n v="15000"/>
    <n v="0"/>
    <x v="0"/>
    <x v="1"/>
    <x v="4"/>
    <x v="4"/>
    <s v="India"/>
    <s v="buchpari@example.org"/>
    <n v="917615000000"/>
    <x v="0"/>
    <n v="63"/>
    <n v="77"/>
    <s v="Non-AC"/>
    <x v="1426"/>
    <d v="2003-11-13T00:00:00"/>
    <n v="-11.8210262828535"/>
    <x v="3"/>
    <n v="676000"/>
    <n v="736000"/>
  </r>
  <r>
    <s v="Aniruddh Taneja"/>
    <s v="STU274"/>
    <s v="ENR274"/>
    <x v="0"/>
    <x v="1"/>
    <n v="2"/>
    <s v="Computer Science Engineering"/>
    <x v="3"/>
    <n v="92000"/>
    <n v="77000"/>
    <n v="15000"/>
    <n v="0"/>
    <x v="0"/>
    <x v="0"/>
    <x v="2"/>
    <x v="2"/>
    <s v="India"/>
    <s v="navyadani@example.com"/>
    <n v="918312000000"/>
    <x v="4"/>
    <n v="63"/>
    <n v="76"/>
    <s v="Non-AC"/>
    <x v="1427"/>
    <d v="1999-06-17T00:00:00"/>
    <n v="-11.8210262828535"/>
    <x v="7"/>
    <n v="184000"/>
    <n v="214000"/>
  </r>
  <r>
    <s v="Taran Golla"/>
    <s v="STU689"/>
    <s v="ENR689"/>
    <x v="2"/>
    <x v="0"/>
    <n v="4"/>
    <s v="Computer Science and Engineering"/>
    <x v="1"/>
    <n v="169000"/>
    <n v="154000"/>
    <n v="15000"/>
    <n v="0"/>
    <x v="0"/>
    <x v="2"/>
    <x v="0"/>
    <x v="0"/>
    <s v="India"/>
    <s v="bhallasana@example.net"/>
    <n v="919490000000"/>
    <x v="0"/>
    <n v="63"/>
    <n v="60"/>
    <s v="Non-AC"/>
    <x v="1428"/>
    <d v="2003-08-23T00:00:00"/>
    <n v="-11.8210262828535"/>
    <x v="3"/>
    <n v="676000"/>
    <n v="736000"/>
  </r>
  <r>
    <s v="Divij Seth"/>
    <s v="STU500"/>
    <s v="ENR500"/>
    <x v="2"/>
    <x v="0"/>
    <n v="4"/>
    <s v="Computer Science and Engineering"/>
    <x v="6"/>
    <n v="169000"/>
    <n v="154000"/>
    <n v="15000"/>
    <n v="0"/>
    <x v="0"/>
    <x v="2"/>
    <x v="6"/>
    <x v="3"/>
    <s v="India"/>
    <s v="choudhryarnav@example.net"/>
    <n v="918602000000"/>
    <x v="3"/>
    <n v="63"/>
    <n v="85"/>
    <s v="Non-AC"/>
    <x v="1429"/>
    <d v="2005-07-11T00:00:00"/>
    <n v="-11.8210262828535"/>
    <x v="4"/>
    <n v="676000"/>
    <n v="736000"/>
  </r>
  <r>
    <s v="Divij Deo"/>
    <s v="STU1039"/>
    <s v="ENR1039"/>
    <x v="1"/>
    <x v="0"/>
    <n v="4"/>
    <s v="Computer Science and Engineering"/>
    <x v="1"/>
    <n v="169000"/>
    <n v="154000"/>
    <n v="15000"/>
    <n v="0"/>
    <x v="0"/>
    <x v="0"/>
    <x v="2"/>
    <x v="2"/>
    <s v="India"/>
    <s v="raunak37@example.org"/>
    <n v="918833000000"/>
    <x v="0"/>
    <n v="63"/>
    <n v="61"/>
    <s v="AC"/>
    <x v="1430"/>
    <d v="2003-04-30T00:00:00"/>
    <n v="-11.8210262828535"/>
    <x v="2"/>
    <n v="676000"/>
    <n v="736000"/>
  </r>
  <r>
    <s v="Vritika Kala"/>
    <s v="STU880"/>
    <s v="ENR880"/>
    <x v="2"/>
    <x v="0"/>
    <n v="4"/>
    <s v="Computer Science and Engineering"/>
    <x v="1"/>
    <n v="169000"/>
    <n v="154000"/>
    <n v="15000"/>
    <n v="0"/>
    <x v="0"/>
    <x v="0"/>
    <x v="9"/>
    <x v="8"/>
    <s v="India"/>
    <s v="bsodhi@example.net"/>
    <n v="918636000000"/>
    <x v="1"/>
    <n v="63"/>
    <n v="78"/>
    <s v="AC"/>
    <x v="1431"/>
    <d v="2001-12-27T00:00:00"/>
    <n v="-11.8210262828535"/>
    <x v="6"/>
    <n v="676000"/>
    <n v="736000"/>
  </r>
  <r>
    <s v="Mishti Toor"/>
    <s v="STU303"/>
    <s v="ENR303"/>
    <x v="1"/>
    <x v="1"/>
    <n v="2"/>
    <s v="Computer Science Engineering"/>
    <x v="5"/>
    <n v="92000"/>
    <n v="77000"/>
    <n v="15000"/>
    <n v="0"/>
    <x v="0"/>
    <x v="1"/>
    <x v="7"/>
    <x v="6"/>
    <s v="India"/>
    <s v="nayantaradash@example.com"/>
    <n v="917229000000"/>
    <x v="4"/>
    <n v="63"/>
    <n v="78"/>
    <s v="AC"/>
    <x v="1432"/>
    <d v="1999-08-07T00:00:00"/>
    <n v="-11.8210262828535"/>
    <x v="1"/>
    <n v="184000"/>
    <n v="214000"/>
  </r>
  <r>
    <s v="Lakshit Bawa"/>
    <s v="STU1036"/>
    <s v="ENR1036"/>
    <x v="4"/>
    <x v="0"/>
    <n v="4"/>
    <s v="Computer Science and Engineering"/>
    <x v="3"/>
    <n v="169000"/>
    <n v="154000"/>
    <n v="15000"/>
    <n v="0"/>
    <x v="0"/>
    <x v="0"/>
    <x v="0"/>
    <x v="0"/>
    <s v="India"/>
    <s v="jjayaraman@example.org"/>
    <n v="918739000000"/>
    <x v="4"/>
    <n v="63"/>
    <n v="87"/>
    <s v="Non-AC"/>
    <x v="1433"/>
    <d v="2005-10-08T00:00:00"/>
    <n v="-11.8210262828535"/>
    <x v="4"/>
    <n v="676000"/>
    <n v="736000"/>
  </r>
  <r>
    <s v="Zoya Baria"/>
    <s v="STU910"/>
    <s v="ENR910"/>
    <x v="5"/>
    <x v="0"/>
    <n v="4"/>
    <s v="Computer Science and Engineering"/>
    <x v="1"/>
    <n v="169000"/>
    <n v="154000"/>
    <n v="15000"/>
    <n v="0"/>
    <x v="0"/>
    <x v="2"/>
    <x v="4"/>
    <x v="4"/>
    <s v="India"/>
    <s v="abram98@example.net"/>
    <n v="917026000000"/>
    <x v="4"/>
    <n v="63"/>
    <n v="63"/>
    <s v="Non-AC"/>
    <x v="1434"/>
    <d v="2002-08-23T00:00:00"/>
    <n v="-11.8210262828535"/>
    <x v="2"/>
    <n v="676000"/>
    <n v="736000"/>
  </r>
  <r>
    <s v="Navya Singhal"/>
    <s v="STU1108"/>
    <s v="ENR1108"/>
    <x v="4"/>
    <x v="0"/>
    <n v="4"/>
    <s v="Computer Science and Engineering"/>
    <x v="5"/>
    <n v="169000"/>
    <n v="154000"/>
    <n v="15000"/>
    <n v="0"/>
    <x v="0"/>
    <x v="2"/>
    <x v="8"/>
    <x v="7"/>
    <s v="India"/>
    <s v="kimaya58@example.org"/>
    <n v="917749000000"/>
    <x v="3"/>
    <n v="63"/>
    <n v="82"/>
    <s v="AC"/>
    <x v="1435"/>
    <d v="2004-12-10T00:00:00"/>
    <n v="-11.8210262828535"/>
    <x v="5"/>
    <n v="676000"/>
    <n v="736000"/>
  </r>
  <r>
    <s v="Samaira Tank"/>
    <s v="STU459"/>
    <s v="ENR459"/>
    <x v="5"/>
    <x v="0"/>
    <n v="4"/>
    <s v="Computer Science and Engineering"/>
    <x v="8"/>
    <n v="169000"/>
    <n v="154000"/>
    <n v="15000"/>
    <n v="0"/>
    <x v="0"/>
    <x v="0"/>
    <x v="8"/>
    <x v="7"/>
    <s v="India"/>
    <s v="sakshamkurian@example.com"/>
    <n v="917414000000"/>
    <x v="2"/>
    <n v="63"/>
    <n v="88"/>
    <s v="Non-AC"/>
    <x v="1436"/>
    <d v="2003-12-03T00:00:00"/>
    <n v="-11.8210262828535"/>
    <x v="3"/>
    <n v="676000"/>
    <n v="736000"/>
  </r>
  <r>
    <s v="Hazel Dhar"/>
    <s v="STU1077"/>
    <s v="ENR1077"/>
    <x v="5"/>
    <x v="0"/>
    <n v="4"/>
    <s v="Computer Science and Engineering"/>
    <x v="6"/>
    <n v="169000"/>
    <n v="154000"/>
    <n v="15000"/>
    <n v="0"/>
    <x v="0"/>
    <x v="2"/>
    <x v="4"/>
    <x v="4"/>
    <s v="India"/>
    <s v="vanya24@example.org"/>
    <n v="917053000000"/>
    <x v="2"/>
    <n v="63"/>
    <n v="86"/>
    <s v="Non-AC"/>
    <x v="1437"/>
    <d v="2003-05-28T00:00:00"/>
    <n v="-11.8210262828535"/>
    <x v="2"/>
    <n v="676000"/>
    <n v="736000"/>
  </r>
  <r>
    <s v="Anvi Hora"/>
    <s v="STU431"/>
    <s v="ENR431"/>
    <x v="2"/>
    <x v="0"/>
    <n v="4"/>
    <s v="Computer Science and Engineering"/>
    <x v="9"/>
    <n v="169000"/>
    <n v="154000"/>
    <n v="15000"/>
    <n v="0"/>
    <x v="0"/>
    <x v="1"/>
    <x v="6"/>
    <x v="3"/>
    <s v="India"/>
    <s v="mahikakaran@example.com"/>
    <n v="919194000000"/>
    <x v="2"/>
    <n v="63"/>
    <n v="61"/>
    <s v="Non-AC"/>
    <x v="1438"/>
    <d v="2004-06-21T00:00:00"/>
    <n v="-11.8210262828535"/>
    <x v="3"/>
    <n v="676000"/>
    <n v="736000"/>
  </r>
  <r>
    <s v="Renee Borde"/>
    <s v="STU1010"/>
    <s v="ENR1010"/>
    <x v="3"/>
    <x v="0"/>
    <n v="4"/>
    <s v="Computer Science and Engineering"/>
    <x v="9"/>
    <n v="169000"/>
    <n v="154000"/>
    <n v="15000"/>
    <n v="0"/>
    <x v="0"/>
    <x v="0"/>
    <x v="3"/>
    <x v="3"/>
    <s v="India"/>
    <s v="fatehkari@example.org"/>
    <n v="918183000000"/>
    <x v="4"/>
    <n v="63"/>
    <n v="88"/>
    <s v="Non-AC"/>
    <x v="1439"/>
    <d v="2005-07-16T00:00:00"/>
    <n v="-11.8210262828535"/>
    <x v="4"/>
    <n v="676000"/>
    <n v="736000"/>
  </r>
  <r>
    <s v="Dhanush Anand"/>
    <s v="STU1009"/>
    <s v="ENR1009"/>
    <x v="0"/>
    <x v="0"/>
    <n v="4"/>
    <s v="Computer Science and Engineering"/>
    <x v="6"/>
    <n v="169000"/>
    <n v="154000"/>
    <n v="15000"/>
    <n v="0"/>
    <x v="0"/>
    <x v="1"/>
    <x v="7"/>
    <x v="6"/>
    <s v="India"/>
    <s v="yloyal@example.com"/>
    <n v="918735000000"/>
    <x v="3"/>
    <n v="62"/>
    <n v="79"/>
    <s v="Non-AC"/>
    <x v="1440"/>
    <d v="2000-10-22T00:00:00"/>
    <n v="-12.8210262828535"/>
    <x v="0"/>
    <n v="676000"/>
    <n v="736000"/>
  </r>
  <r>
    <s v="Krish Comar"/>
    <s v="STU130"/>
    <s v="ENR130"/>
    <x v="0"/>
    <x v="1"/>
    <n v="2"/>
    <s v="Computer Science Engineering"/>
    <x v="3"/>
    <n v="92000"/>
    <n v="77000"/>
    <n v="15000"/>
    <n v="0"/>
    <x v="0"/>
    <x v="0"/>
    <x v="1"/>
    <x v="1"/>
    <s v="India"/>
    <s v="keertrisha@example.com"/>
    <n v="919476000000"/>
    <x v="3"/>
    <n v="62"/>
    <n v="90"/>
    <s v="Non-AC"/>
    <x v="1441"/>
    <d v="1999-10-13T00:00:00"/>
    <n v="-12.8210262828535"/>
    <x v="1"/>
    <n v="184000"/>
    <n v="214000"/>
  </r>
  <r>
    <s v="Ayesha Sachdeva"/>
    <s v="STU132"/>
    <s v="ENR132"/>
    <x v="2"/>
    <x v="1"/>
    <n v="2"/>
    <s v="Computer Science Engineering"/>
    <x v="5"/>
    <n v="92000"/>
    <n v="77000"/>
    <n v="15000"/>
    <n v="0"/>
    <x v="0"/>
    <x v="2"/>
    <x v="5"/>
    <x v="5"/>
    <s v="India"/>
    <s v="neelofar50@example.org"/>
    <n v="919401000000"/>
    <x v="1"/>
    <n v="62"/>
    <n v="69"/>
    <s v="Non-AC"/>
    <x v="1442"/>
    <d v="1998-03-18T00:00:00"/>
    <n v="-12.8210262828535"/>
    <x v="9"/>
    <n v="184000"/>
    <n v="214000"/>
  </r>
  <r>
    <s v="Darshit Lad"/>
    <s v="STU135"/>
    <s v="ENR135"/>
    <x v="0"/>
    <x v="1"/>
    <n v="2"/>
    <s v="Computer Science Engineering"/>
    <x v="3"/>
    <n v="92000"/>
    <n v="77000"/>
    <n v="15000"/>
    <n v="0"/>
    <x v="0"/>
    <x v="2"/>
    <x v="7"/>
    <x v="6"/>
    <s v="India"/>
    <s v="manikyakara@example.net"/>
    <n v="917794000000"/>
    <x v="1"/>
    <n v="62"/>
    <n v="90"/>
    <s v="AC"/>
    <x v="1443"/>
    <d v="2000-12-20T00:00:00"/>
    <n v="-12.8210262828535"/>
    <x v="0"/>
    <n v="184000"/>
    <n v="214000"/>
  </r>
  <r>
    <s v="Lakshay Chaudhuri"/>
    <s v="STU197"/>
    <s v="ENR197"/>
    <x v="2"/>
    <x v="0"/>
    <n v="4"/>
    <s v="Computer Science and Engineering"/>
    <x v="8"/>
    <n v="169000"/>
    <n v="154000"/>
    <n v="15000"/>
    <n v="0"/>
    <x v="0"/>
    <x v="0"/>
    <x v="5"/>
    <x v="5"/>
    <s v="India"/>
    <s v="jedwin@example.com"/>
    <n v="918792000000"/>
    <x v="0"/>
    <n v="62"/>
    <n v="75"/>
    <s v="AC"/>
    <x v="1444"/>
    <d v="2000-10-03T00:00:00"/>
    <n v="-12.8210262828535"/>
    <x v="0"/>
    <n v="676000"/>
    <n v="736000"/>
  </r>
  <r>
    <s v="Tejas Madan"/>
    <s v="STU027"/>
    <s v="ENR027"/>
    <x v="3"/>
    <x v="0"/>
    <n v="4"/>
    <s v="Computer Science and Engineering"/>
    <x v="2"/>
    <n v="169000"/>
    <n v="154000"/>
    <n v="15000"/>
    <n v="0"/>
    <x v="0"/>
    <x v="0"/>
    <x v="5"/>
    <x v="5"/>
    <s v="India"/>
    <s v="guhanehmat@example.com"/>
    <n v="917927000000"/>
    <x v="0"/>
    <n v="62"/>
    <n v="65"/>
    <s v="Non-AC"/>
    <x v="1445"/>
    <d v="2001-08-25T00:00:00"/>
    <n v="-12.8210262828535"/>
    <x v="6"/>
    <n v="676000"/>
    <n v="736000"/>
  </r>
  <r>
    <s v="Madhav Garg"/>
    <s v="STU201"/>
    <s v="ENR201"/>
    <x v="1"/>
    <x v="0"/>
    <n v="4"/>
    <s v="Computer Science and Engineering"/>
    <x v="2"/>
    <n v="169000"/>
    <n v="154000"/>
    <n v="15000"/>
    <n v="0"/>
    <x v="0"/>
    <x v="0"/>
    <x v="6"/>
    <x v="3"/>
    <s v="India"/>
    <s v="riyakata@example.net"/>
    <n v="919941000000"/>
    <x v="2"/>
    <n v="62"/>
    <n v="80"/>
    <s v="Non-AC"/>
    <x v="1446"/>
    <d v="2001-04-18T00:00:00"/>
    <n v="-12.8210262828535"/>
    <x v="0"/>
    <n v="676000"/>
    <n v="736000"/>
  </r>
  <r>
    <s v="Siya Sarraf"/>
    <s v="STU744"/>
    <s v="ENR744"/>
    <x v="1"/>
    <x v="0"/>
    <n v="4"/>
    <s v="Computer Science and Engineering"/>
    <x v="0"/>
    <n v="169000"/>
    <n v="154000"/>
    <n v="15000"/>
    <n v="0"/>
    <x v="0"/>
    <x v="1"/>
    <x v="7"/>
    <x v="6"/>
    <s v="India"/>
    <s v="skunda@example.org"/>
    <n v="918821000000"/>
    <x v="3"/>
    <n v="62"/>
    <n v="64"/>
    <s v="Non-AC"/>
    <x v="1447"/>
    <d v="2002-11-10T00:00:00"/>
    <n v="-12.8210262828535"/>
    <x v="2"/>
    <n v="676000"/>
    <n v="736000"/>
  </r>
  <r>
    <s v="Dhruv Amble"/>
    <s v="STU1012"/>
    <s v="ENR1012"/>
    <x v="4"/>
    <x v="0"/>
    <n v="4"/>
    <s v="Computer Science and Engineering"/>
    <x v="6"/>
    <n v="169000"/>
    <n v="154000"/>
    <n v="15000"/>
    <n v="0"/>
    <x v="0"/>
    <x v="0"/>
    <x v="6"/>
    <x v="3"/>
    <s v="India"/>
    <s v="hiran01@example.net"/>
    <n v="919815000000"/>
    <x v="1"/>
    <n v="62"/>
    <n v="73"/>
    <s v="AC"/>
    <x v="1448"/>
    <d v="2006-01-05T00:00:00"/>
    <n v="-12.8210262828535"/>
    <x v="4"/>
    <n v="676000"/>
    <n v="736000"/>
  </r>
  <r>
    <s v="Shayak Ramanathan"/>
    <s v="STU735"/>
    <s v="ENR735"/>
    <x v="5"/>
    <x v="0"/>
    <n v="4"/>
    <s v="Computer Science and Engineering"/>
    <x v="4"/>
    <n v="169000"/>
    <n v="154000"/>
    <n v="15000"/>
    <n v="0"/>
    <x v="0"/>
    <x v="1"/>
    <x v="2"/>
    <x v="2"/>
    <s v="India"/>
    <s v="catwal@example.org"/>
    <n v="919428000000"/>
    <x v="2"/>
    <n v="62"/>
    <n v="77"/>
    <s v="Non-AC"/>
    <x v="1449"/>
    <d v="2000-10-29T00:00:00"/>
    <n v="-12.8210262828535"/>
    <x v="0"/>
    <n v="676000"/>
    <n v="736000"/>
  </r>
  <r>
    <s v="Darshit Dixit"/>
    <s v="STU702"/>
    <s v="ENR702"/>
    <x v="5"/>
    <x v="0"/>
    <n v="4"/>
    <s v="Computer Science and Engineering"/>
    <x v="0"/>
    <n v="169000"/>
    <n v="154000"/>
    <n v="15000"/>
    <n v="0"/>
    <x v="0"/>
    <x v="0"/>
    <x v="5"/>
    <x v="5"/>
    <s v="India"/>
    <s v="vardaniya13@example.com"/>
    <n v="917365000000"/>
    <x v="1"/>
    <n v="62"/>
    <n v="69"/>
    <s v="Non-AC"/>
    <x v="1450"/>
    <d v="2005-07-07T00:00:00"/>
    <n v="-12.8210262828535"/>
    <x v="5"/>
    <n v="676000"/>
    <n v="736000"/>
  </r>
  <r>
    <s v="Romil Batta"/>
    <s v="STU221"/>
    <s v="ENR221"/>
    <x v="4"/>
    <x v="0"/>
    <n v="4"/>
    <s v="Computer Science and Engineering"/>
    <x v="2"/>
    <n v="169000"/>
    <n v="154000"/>
    <n v="15000"/>
    <n v="0"/>
    <x v="0"/>
    <x v="2"/>
    <x v="6"/>
    <x v="3"/>
    <s v="India"/>
    <s v="kaira87@example.net"/>
    <n v="917349000000"/>
    <x v="4"/>
    <n v="62"/>
    <n v="81"/>
    <s v="Non-AC"/>
    <x v="1451"/>
    <d v="2003-11-29T00:00:00"/>
    <n v="-12.8210262828535"/>
    <x v="3"/>
    <n v="676000"/>
    <n v="736000"/>
  </r>
  <r>
    <s v="Purab Grewal"/>
    <s v="STU978"/>
    <s v="ENR978"/>
    <x v="1"/>
    <x v="0"/>
    <n v="4"/>
    <s v="Computer Science and Engineering"/>
    <x v="9"/>
    <n v="169000"/>
    <n v="154000"/>
    <n v="15000"/>
    <n v="0"/>
    <x v="0"/>
    <x v="0"/>
    <x v="8"/>
    <x v="7"/>
    <s v="India"/>
    <s v="navya68@example.net"/>
    <n v="918159000000"/>
    <x v="0"/>
    <n v="62"/>
    <n v="80"/>
    <s v="Non-AC"/>
    <x v="1452"/>
    <d v="2001-04-08T00:00:00"/>
    <n v="-12.8210262828535"/>
    <x v="0"/>
    <n v="676000"/>
    <n v="736000"/>
  </r>
  <r>
    <s v="Indrans Ganguly"/>
    <s v="STU1190"/>
    <s v="ENR1190"/>
    <x v="3"/>
    <x v="0"/>
    <n v="4"/>
    <s v="Computer Science and Engineering"/>
    <x v="8"/>
    <n v="169000"/>
    <n v="154000"/>
    <n v="15000"/>
    <n v="0"/>
    <x v="0"/>
    <x v="0"/>
    <x v="5"/>
    <x v="5"/>
    <s v="India"/>
    <s v="ladtara@example.com"/>
    <n v="917077000000"/>
    <x v="2"/>
    <n v="62"/>
    <n v="80"/>
    <s v="AC"/>
    <x v="1453"/>
    <d v="2003-05-09T00:00:00"/>
    <n v="-12.8210262828535"/>
    <x v="2"/>
    <n v="676000"/>
    <n v="736000"/>
  </r>
  <r>
    <s v="Tejas Dayal"/>
    <s v="STU185"/>
    <s v="ENR185"/>
    <x v="1"/>
    <x v="0"/>
    <n v="4"/>
    <s v="Computer Science and Engineering"/>
    <x v="7"/>
    <n v="169000"/>
    <n v="154000"/>
    <n v="15000"/>
    <n v="0"/>
    <x v="0"/>
    <x v="1"/>
    <x v="6"/>
    <x v="3"/>
    <s v="India"/>
    <s v="chackoemir@example.com"/>
    <n v="917619000000"/>
    <x v="3"/>
    <n v="62"/>
    <n v="76"/>
    <s v="Non-AC"/>
    <x v="1454"/>
    <d v="2000-11-27T00:00:00"/>
    <n v="-12.8210262828535"/>
    <x v="0"/>
    <n v="676000"/>
    <n v="736000"/>
  </r>
  <r>
    <s v="Anahita Basu"/>
    <s v="STU037"/>
    <s v="ENR037"/>
    <x v="5"/>
    <x v="0"/>
    <n v="4"/>
    <s v="Computer Science and Engineering"/>
    <x v="1"/>
    <n v="169000"/>
    <n v="154000"/>
    <n v="15000"/>
    <n v="0"/>
    <x v="0"/>
    <x v="1"/>
    <x v="9"/>
    <x v="8"/>
    <s v="India"/>
    <s v="indrajitarora@example.com"/>
    <n v="917094000000"/>
    <x v="2"/>
    <n v="62"/>
    <n v="87"/>
    <s v="AC"/>
    <x v="1455"/>
    <d v="2004-01-24T00:00:00"/>
    <n v="-12.8210262828535"/>
    <x v="3"/>
    <n v="676000"/>
    <n v="736000"/>
  </r>
  <r>
    <s v="Alia Gokhale"/>
    <s v="STU103"/>
    <s v="ENR103"/>
    <x v="2"/>
    <x v="0"/>
    <n v="4"/>
    <s v="Computer Science and Engineering"/>
    <x v="0"/>
    <n v="169000"/>
    <n v="154000"/>
    <n v="15000"/>
    <n v="0"/>
    <x v="0"/>
    <x v="1"/>
    <x v="5"/>
    <x v="5"/>
    <s v="India"/>
    <s v="shalvdass@example.com"/>
    <n v="919253000000"/>
    <x v="3"/>
    <n v="62"/>
    <n v="80"/>
    <s v="AC"/>
    <x v="1456"/>
    <d v="2004-07-17T00:00:00"/>
    <n v="-12.8210262828535"/>
    <x v="5"/>
    <n v="676000"/>
    <n v="736000"/>
  </r>
  <r>
    <s v="Romil Wagle"/>
    <s v="STU116"/>
    <s v="ENR116"/>
    <x v="2"/>
    <x v="0"/>
    <n v="4"/>
    <s v="Computer Science and Engineering"/>
    <x v="4"/>
    <n v="169000"/>
    <n v="154000"/>
    <n v="15000"/>
    <n v="0"/>
    <x v="0"/>
    <x v="2"/>
    <x v="6"/>
    <x v="3"/>
    <s v="India"/>
    <s v="krishnamurthyhiran@example.net"/>
    <n v="919271000000"/>
    <x v="4"/>
    <n v="62"/>
    <n v="67"/>
    <s v="Non-AC"/>
    <x v="1457"/>
    <d v="2001-12-25T00:00:00"/>
    <n v="-12.8210262828535"/>
    <x v="6"/>
    <n v="676000"/>
    <n v="736000"/>
  </r>
  <r>
    <s v="Vanya Kumar"/>
    <s v="STU881"/>
    <s v="ENR881"/>
    <x v="5"/>
    <x v="0"/>
    <n v="4"/>
    <s v="Computer Science and Engineering"/>
    <x v="3"/>
    <n v="169000"/>
    <n v="154000"/>
    <n v="15000"/>
    <n v="0"/>
    <x v="0"/>
    <x v="1"/>
    <x v="6"/>
    <x v="3"/>
    <s v="India"/>
    <s v="hayreritvik@example.net"/>
    <n v="918734000000"/>
    <x v="1"/>
    <n v="62"/>
    <n v="70"/>
    <s v="AC"/>
    <x v="1458"/>
    <d v="2002-10-14T00:00:00"/>
    <n v="-12.8210262828535"/>
    <x v="2"/>
    <n v="676000"/>
    <n v="736000"/>
  </r>
  <r>
    <s v="Zara Kumer"/>
    <s v="STU840"/>
    <s v="ENR840"/>
    <x v="2"/>
    <x v="0"/>
    <n v="4"/>
    <s v="Computer Science and Engineering"/>
    <x v="7"/>
    <n v="169000"/>
    <n v="154000"/>
    <n v="15000"/>
    <n v="0"/>
    <x v="0"/>
    <x v="0"/>
    <x v="5"/>
    <x v="5"/>
    <s v="India"/>
    <s v="acharyahunar@example.net"/>
    <n v="917354000000"/>
    <x v="4"/>
    <n v="62"/>
    <n v="75"/>
    <s v="Non-AC"/>
    <x v="1459"/>
    <d v="2001-08-17T00:00:00"/>
    <n v="-12.8210262828535"/>
    <x v="6"/>
    <n v="676000"/>
    <n v="736000"/>
  </r>
  <r>
    <s v="Riaan Varkey"/>
    <s v="STU882"/>
    <s v="ENR882"/>
    <x v="5"/>
    <x v="0"/>
    <n v="4"/>
    <s v="Computer Science and Engineering"/>
    <x v="3"/>
    <n v="169000"/>
    <n v="154000"/>
    <n v="15000"/>
    <n v="0"/>
    <x v="0"/>
    <x v="2"/>
    <x v="8"/>
    <x v="7"/>
    <s v="India"/>
    <s v="riyatandon@example.net"/>
    <n v="917240000000"/>
    <x v="0"/>
    <n v="62"/>
    <n v="72"/>
    <s v="Non-AC"/>
    <x v="1460"/>
    <d v="2003-02-16T00:00:00"/>
    <n v="-12.8210262828535"/>
    <x v="2"/>
    <n v="676000"/>
    <n v="736000"/>
  </r>
  <r>
    <s v="Priyansh Wable"/>
    <s v="STU1119"/>
    <s v="ENR1119"/>
    <x v="4"/>
    <x v="0"/>
    <n v="4"/>
    <s v="Computer Science and Engineering"/>
    <x v="3"/>
    <n v="169000"/>
    <n v="154000"/>
    <n v="15000"/>
    <n v="0"/>
    <x v="0"/>
    <x v="0"/>
    <x v="5"/>
    <x v="5"/>
    <s v="India"/>
    <s v="myraswamy@example.com"/>
    <n v="918267000000"/>
    <x v="3"/>
    <n v="62"/>
    <n v="72"/>
    <s v="AC"/>
    <x v="1461"/>
    <d v="2002-07-10T00:00:00"/>
    <n v="-12.8210262828535"/>
    <x v="2"/>
    <n v="676000"/>
    <n v="736000"/>
  </r>
  <r>
    <s v="Vanya Char"/>
    <s v="STU919"/>
    <s v="ENR919"/>
    <x v="3"/>
    <x v="0"/>
    <n v="4"/>
    <s v="Computer Science and Engineering"/>
    <x v="4"/>
    <n v="169000"/>
    <n v="154000"/>
    <n v="15000"/>
    <n v="0"/>
    <x v="0"/>
    <x v="0"/>
    <x v="1"/>
    <x v="1"/>
    <s v="India"/>
    <s v="shlokchakraborty@example.com"/>
    <n v="919938000000"/>
    <x v="2"/>
    <n v="62"/>
    <n v="72"/>
    <s v="AC"/>
    <x v="1462"/>
    <d v="2000-07-25T00:00:00"/>
    <n v="-12.8210262828535"/>
    <x v="0"/>
    <n v="676000"/>
    <n v="736000"/>
  </r>
  <r>
    <s v="Eva Hari"/>
    <s v="STU934"/>
    <s v="ENR934"/>
    <x v="1"/>
    <x v="0"/>
    <n v="4"/>
    <s v="Computer Science and Engineering"/>
    <x v="1"/>
    <n v="169000"/>
    <n v="154000"/>
    <n v="15000"/>
    <n v="0"/>
    <x v="0"/>
    <x v="0"/>
    <x v="6"/>
    <x v="3"/>
    <s v="India"/>
    <s v="dbatra@example.net"/>
    <n v="918768000000"/>
    <x v="4"/>
    <n v="62"/>
    <n v="84"/>
    <s v="Non-AC"/>
    <x v="1463"/>
    <d v="2005-05-21T00:00:00"/>
    <n v="-12.8210262828535"/>
    <x v="5"/>
    <n v="676000"/>
    <n v="736000"/>
  </r>
  <r>
    <s v="Shamik Uppal"/>
    <s v="STU940"/>
    <s v="ENR940"/>
    <x v="5"/>
    <x v="0"/>
    <n v="4"/>
    <s v="Computer Science and Engineering"/>
    <x v="0"/>
    <n v="169000"/>
    <n v="154000"/>
    <n v="15000"/>
    <n v="0"/>
    <x v="0"/>
    <x v="2"/>
    <x v="5"/>
    <x v="5"/>
    <s v="India"/>
    <s v="adah92@example.org"/>
    <n v="917874000000"/>
    <x v="1"/>
    <n v="62"/>
    <n v="90"/>
    <s v="Non-AC"/>
    <x v="1464"/>
    <d v="2003-05-14T00:00:00"/>
    <n v="-12.8210262828535"/>
    <x v="2"/>
    <n v="676000"/>
    <n v="736000"/>
  </r>
  <r>
    <s v="Aradhya Roy"/>
    <s v="STU835"/>
    <s v="ENR835"/>
    <x v="4"/>
    <x v="0"/>
    <n v="4"/>
    <s v="Computer Science and Engineering"/>
    <x v="0"/>
    <n v="169000"/>
    <n v="154000"/>
    <n v="15000"/>
    <n v="0"/>
    <x v="0"/>
    <x v="1"/>
    <x v="8"/>
    <x v="7"/>
    <s v="India"/>
    <s v="jkumar@example.org"/>
    <n v="918824000000"/>
    <x v="3"/>
    <n v="62"/>
    <n v="64"/>
    <s v="AC"/>
    <x v="1465"/>
    <d v="2002-01-20T00:00:00"/>
    <n v="-12.8210262828535"/>
    <x v="6"/>
    <n v="676000"/>
    <n v="736000"/>
  </r>
  <r>
    <s v="Ivana Atwal"/>
    <s v="STU1166"/>
    <s v="ENR1166"/>
    <x v="1"/>
    <x v="0"/>
    <n v="4"/>
    <s v="Computer Science and Engineering"/>
    <x v="8"/>
    <n v="169000"/>
    <n v="154000"/>
    <n v="15000"/>
    <n v="0"/>
    <x v="0"/>
    <x v="0"/>
    <x v="0"/>
    <x v="0"/>
    <s v="India"/>
    <s v="cherianmehul@example.org"/>
    <n v="919432000000"/>
    <x v="0"/>
    <n v="62"/>
    <n v="77"/>
    <s v="AC"/>
    <x v="1466"/>
    <d v="2005-01-10T00:00:00"/>
    <n v="-12.8210262828535"/>
    <x v="5"/>
    <n v="676000"/>
    <n v="736000"/>
  </r>
  <r>
    <s v="Ryan Mann"/>
    <s v="STU1086"/>
    <s v="ENR1086"/>
    <x v="5"/>
    <x v="0"/>
    <n v="4"/>
    <s v="Computer Science and Engineering"/>
    <x v="7"/>
    <n v="169000"/>
    <n v="154000"/>
    <n v="15000"/>
    <n v="0"/>
    <x v="0"/>
    <x v="2"/>
    <x v="2"/>
    <x v="2"/>
    <s v="India"/>
    <s v="thakursuhana@example.net"/>
    <n v="919945000000"/>
    <x v="0"/>
    <n v="62"/>
    <n v="84"/>
    <s v="Non-AC"/>
    <x v="1467"/>
    <d v="2001-03-10T00:00:00"/>
    <n v="-12.8210262828535"/>
    <x v="0"/>
    <n v="676000"/>
    <n v="736000"/>
  </r>
  <r>
    <s v="Taimur Sankar"/>
    <s v="STU501"/>
    <s v="ENR501"/>
    <x v="3"/>
    <x v="1"/>
    <n v="2"/>
    <s v="Computer Science Engineering"/>
    <x v="0"/>
    <n v="92000"/>
    <n v="77000"/>
    <n v="15000"/>
    <n v="0"/>
    <x v="0"/>
    <x v="0"/>
    <x v="2"/>
    <x v="2"/>
    <s v="India"/>
    <s v="shaanmaharaj@example.org"/>
    <n v="918987000000"/>
    <x v="0"/>
    <n v="62"/>
    <n v="92"/>
    <s v="Non-AC"/>
    <x v="1468"/>
    <d v="1999-04-26T00:00:00"/>
    <n v="-12.8210262828535"/>
    <x v="7"/>
    <n v="184000"/>
    <n v="214000"/>
  </r>
  <r>
    <s v="Adah Shah"/>
    <s v="STU792"/>
    <s v="ENR792"/>
    <x v="4"/>
    <x v="0"/>
    <n v="4"/>
    <s v="Computer Science and Engineering"/>
    <x v="3"/>
    <n v="169000"/>
    <n v="154000"/>
    <n v="15000"/>
    <n v="0"/>
    <x v="0"/>
    <x v="0"/>
    <x v="0"/>
    <x v="0"/>
    <s v="India"/>
    <s v="jcontractor@example.net"/>
    <n v="917274000000"/>
    <x v="2"/>
    <n v="62"/>
    <n v="72"/>
    <s v="AC"/>
    <x v="1469"/>
    <d v="2004-07-05T00:00:00"/>
    <n v="-12.8210262828535"/>
    <x v="3"/>
    <n v="676000"/>
    <n v="736000"/>
  </r>
  <r>
    <s v="Prisha Madan"/>
    <s v="STU175"/>
    <s v="ENR175"/>
    <x v="1"/>
    <x v="0"/>
    <n v="4"/>
    <s v="Computer Science and Engineering"/>
    <x v="8"/>
    <n v="169000"/>
    <n v="154000"/>
    <n v="15000"/>
    <n v="0"/>
    <x v="0"/>
    <x v="2"/>
    <x v="3"/>
    <x v="3"/>
    <s v="India"/>
    <s v="inaaya-datta@example.com"/>
    <n v="917220000000"/>
    <x v="0"/>
    <n v="62"/>
    <n v="85"/>
    <s v="Non-AC"/>
    <x v="1470"/>
    <d v="2005-03-13T00:00:00"/>
    <n v="-12.8210262828535"/>
    <x v="5"/>
    <n v="676000"/>
    <n v="736000"/>
  </r>
  <r>
    <s v="Tarini Choudhary"/>
    <s v="STU791"/>
    <s v="ENR791"/>
    <x v="3"/>
    <x v="0"/>
    <n v="4"/>
    <s v="Computer Science and Engineering"/>
    <x v="3"/>
    <n v="169000"/>
    <n v="154000"/>
    <n v="15000"/>
    <n v="0"/>
    <x v="0"/>
    <x v="1"/>
    <x v="7"/>
    <x v="6"/>
    <s v="India"/>
    <s v="rdugal@example.com"/>
    <n v="919116000000"/>
    <x v="4"/>
    <n v="62"/>
    <n v="80"/>
    <s v="Non-AC"/>
    <x v="1471"/>
    <d v="2004-07-18T00:00:00"/>
    <n v="-12.8210262828535"/>
    <x v="5"/>
    <n v="676000"/>
    <n v="736000"/>
  </r>
  <r>
    <s v="Kismat Shanker"/>
    <s v="STU874"/>
    <s v="ENR874"/>
    <x v="4"/>
    <x v="0"/>
    <n v="4"/>
    <s v="Computer Science and Engineering"/>
    <x v="6"/>
    <n v="169000"/>
    <n v="154000"/>
    <n v="15000"/>
    <n v="0"/>
    <x v="0"/>
    <x v="2"/>
    <x v="0"/>
    <x v="0"/>
    <s v="India"/>
    <s v="samairahans@example.com"/>
    <n v="917009000000"/>
    <x v="3"/>
    <n v="62"/>
    <n v="89"/>
    <s v="AC"/>
    <x v="1472"/>
    <d v="2002-09-17T00:00:00"/>
    <n v="-12.8210262828535"/>
    <x v="2"/>
    <n v="676000"/>
    <n v="736000"/>
  </r>
  <r>
    <s v="Ira Issac"/>
    <s v="STU837"/>
    <s v="ENR837"/>
    <x v="5"/>
    <x v="0"/>
    <n v="4"/>
    <s v="Computer Science and Engineering"/>
    <x v="1"/>
    <n v="169000"/>
    <n v="154000"/>
    <n v="15000"/>
    <n v="0"/>
    <x v="0"/>
    <x v="2"/>
    <x v="3"/>
    <x v="3"/>
    <s v="India"/>
    <s v="prerakdas@example.org"/>
    <n v="917803000000"/>
    <x v="3"/>
    <n v="62"/>
    <n v="87"/>
    <s v="Non-AC"/>
    <x v="1473"/>
    <d v="2000-11-16T00:00:00"/>
    <n v="-12.8210262828535"/>
    <x v="0"/>
    <n v="676000"/>
    <n v="736000"/>
  </r>
  <r>
    <s v="Alisha Rattan"/>
    <s v="STU332"/>
    <s v="ENR332"/>
    <x v="5"/>
    <x v="1"/>
    <n v="2"/>
    <s v="Computer Science Engineering"/>
    <x v="6"/>
    <n v="92000"/>
    <n v="77000"/>
    <n v="15000"/>
    <n v="0"/>
    <x v="0"/>
    <x v="0"/>
    <x v="5"/>
    <x v="5"/>
    <s v="India"/>
    <s v="inaaya-kalla@example.org"/>
    <n v="917618000000"/>
    <x v="0"/>
    <n v="62"/>
    <n v="66"/>
    <s v="Non-AC"/>
    <x v="1474"/>
    <d v="2000-08-31T00:00:00"/>
    <n v="-12.8210262828535"/>
    <x v="0"/>
    <n v="184000"/>
    <n v="214000"/>
  </r>
  <r>
    <s v="Aayush Shan"/>
    <s v="STU269"/>
    <s v="ENR269"/>
    <x v="0"/>
    <x v="1"/>
    <n v="2"/>
    <s v="Computer Science Engineering"/>
    <x v="6"/>
    <n v="92000"/>
    <n v="77000"/>
    <n v="15000"/>
    <n v="0"/>
    <x v="0"/>
    <x v="1"/>
    <x v="0"/>
    <x v="0"/>
    <s v="India"/>
    <s v="zdeo@example.net"/>
    <n v="919181000000"/>
    <x v="1"/>
    <n v="62"/>
    <n v="84"/>
    <s v="Non-AC"/>
    <x v="1475"/>
    <d v="2000-04-19T00:00:00"/>
    <n v="-12.8210262828535"/>
    <x v="1"/>
    <n v="184000"/>
    <n v="214000"/>
  </r>
  <r>
    <s v="Tara Din"/>
    <s v="STU603"/>
    <s v="ENR603"/>
    <x v="1"/>
    <x v="0"/>
    <n v="4"/>
    <s v="Computer Science and Engineering"/>
    <x v="2"/>
    <n v="169000"/>
    <n v="154000"/>
    <n v="15000"/>
    <n v="0"/>
    <x v="0"/>
    <x v="2"/>
    <x v="8"/>
    <x v="7"/>
    <s v="India"/>
    <s v="gargpriyansh@example.net"/>
    <n v="919500000000"/>
    <x v="2"/>
    <n v="62"/>
    <n v="63"/>
    <s v="Non-AC"/>
    <x v="1476"/>
    <d v="2005-12-12T00:00:00"/>
    <n v="-12.8210262828535"/>
    <x v="4"/>
    <n v="676000"/>
    <n v="736000"/>
  </r>
  <r>
    <s v="Stuvan Badami"/>
    <s v="STU235"/>
    <s v="ENR235"/>
    <x v="3"/>
    <x v="1"/>
    <n v="2"/>
    <s v="Computer Science Engineering"/>
    <x v="5"/>
    <n v="92000"/>
    <n v="77000"/>
    <n v="15000"/>
    <n v="0"/>
    <x v="0"/>
    <x v="2"/>
    <x v="0"/>
    <x v="0"/>
    <s v="India"/>
    <s v="eswamy@example.com"/>
    <n v="918119000000"/>
    <x v="3"/>
    <n v="62"/>
    <n v="63"/>
    <s v="AC"/>
    <x v="1477"/>
    <d v="1997-02-16T00:00:00"/>
    <n v="-12.8210262828535"/>
    <x v="8"/>
    <n v="184000"/>
    <n v="214000"/>
  </r>
  <r>
    <s v="Aaryahi Sura"/>
    <s v="STU562"/>
    <s v="ENR562"/>
    <x v="5"/>
    <x v="0"/>
    <n v="4"/>
    <s v="Computer Science and Engineering"/>
    <x v="1"/>
    <n v="169000"/>
    <n v="154000"/>
    <n v="15000"/>
    <n v="0"/>
    <x v="0"/>
    <x v="1"/>
    <x v="4"/>
    <x v="4"/>
    <s v="India"/>
    <s v="xhalder@example.net"/>
    <n v="918634000000"/>
    <x v="0"/>
    <n v="62"/>
    <n v="66"/>
    <s v="AC"/>
    <x v="1478"/>
    <d v="2005-06-11T00:00:00"/>
    <n v="-12.8210262828535"/>
    <x v="5"/>
    <n v="676000"/>
    <n v="736000"/>
  </r>
  <r>
    <s v="Tiya Kala"/>
    <s v="STU243"/>
    <s v="ENR243"/>
    <x v="3"/>
    <x v="1"/>
    <n v="2"/>
    <s v="Computer Science Engineering"/>
    <x v="1"/>
    <n v="92000"/>
    <n v="77000"/>
    <n v="15000"/>
    <n v="0"/>
    <x v="0"/>
    <x v="1"/>
    <x v="8"/>
    <x v="7"/>
    <s v="India"/>
    <s v="tarini01@example.org"/>
    <n v="917592000000"/>
    <x v="4"/>
    <n v="62"/>
    <n v="84"/>
    <s v="AC"/>
    <x v="1479"/>
    <d v="2002-04-04T00:00:00"/>
    <n v="-12.8210262828535"/>
    <x v="6"/>
    <n v="184000"/>
    <n v="214000"/>
  </r>
  <r>
    <s v="Heer Ganesan"/>
    <s v="STU540"/>
    <s v="ENR540"/>
    <x v="2"/>
    <x v="0"/>
    <n v="4"/>
    <s v="Computer Science and Engineering"/>
    <x v="3"/>
    <n v="169000"/>
    <n v="154000"/>
    <n v="15000"/>
    <n v="0"/>
    <x v="0"/>
    <x v="1"/>
    <x v="7"/>
    <x v="6"/>
    <s v="India"/>
    <s v="urvi31@example.org"/>
    <n v="917530000000"/>
    <x v="2"/>
    <n v="62"/>
    <n v="63"/>
    <s v="Non-AC"/>
    <x v="1480"/>
    <d v="2002-06-25T00:00:00"/>
    <n v="-12.8210262828535"/>
    <x v="6"/>
    <n v="676000"/>
    <n v="736000"/>
  </r>
  <r>
    <s v="Hansh Wali"/>
    <s v="STU373"/>
    <s v="ENR373"/>
    <x v="0"/>
    <x v="1"/>
    <n v="2"/>
    <s v="Computer Science Engineering"/>
    <x v="0"/>
    <n v="92000"/>
    <n v="77000"/>
    <n v="15000"/>
    <n v="0"/>
    <x v="0"/>
    <x v="0"/>
    <x v="3"/>
    <x v="3"/>
    <s v="India"/>
    <s v="kaulshamik@example.net"/>
    <n v="917977000000"/>
    <x v="1"/>
    <n v="62"/>
    <n v="87"/>
    <s v="Non-AC"/>
    <x v="1481"/>
    <d v="1999-07-24T00:00:00"/>
    <n v="-12.8210262828535"/>
    <x v="1"/>
    <n v="184000"/>
    <n v="214000"/>
  </r>
  <r>
    <s v="Kaira Krishnan"/>
    <s v="STU516"/>
    <s v="ENR516"/>
    <x v="3"/>
    <x v="0"/>
    <n v="4"/>
    <s v="Computer Science and Engineering"/>
    <x v="9"/>
    <n v="169000"/>
    <n v="154000"/>
    <n v="15000"/>
    <n v="0"/>
    <x v="0"/>
    <x v="2"/>
    <x v="3"/>
    <x v="3"/>
    <s v="India"/>
    <s v="vbuch@example.net"/>
    <n v="919672000000"/>
    <x v="2"/>
    <n v="62"/>
    <n v="75"/>
    <s v="Non-AC"/>
    <x v="1482"/>
    <d v="2004-04-19T00:00:00"/>
    <n v="-12.8210262828535"/>
    <x v="3"/>
    <n v="676000"/>
    <n v="736000"/>
  </r>
  <r>
    <s v="Zeeshan Wable"/>
    <s v="STU277"/>
    <s v="ENR277"/>
    <x v="3"/>
    <x v="1"/>
    <n v="2"/>
    <s v="Computer Science Engineering"/>
    <x v="1"/>
    <n v="92000"/>
    <n v="77000"/>
    <n v="15000"/>
    <n v="0"/>
    <x v="0"/>
    <x v="2"/>
    <x v="2"/>
    <x v="2"/>
    <s v="India"/>
    <s v="aaryahivarma@example.com"/>
    <n v="918571000000"/>
    <x v="2"/>
    <n v="62"/>
    <n v="92"/>
    <s v="AC"/>
    <x v="1483"/>
    <d v="1998-05-02T00:00:00"/>
    <n v="-12.8210262828535"/>
    <x v="9"/>
    <n v="184000"/>
    <n v="214000"/>
  </r>
  <r>
    <s v="Taran Bhavsar"/>
    <s v="STU491"/>
    <s v="ENR491"/>
    <x v="5"/>
    <x v="0"/>
    <n v="4"/>
    <s v="Computer Science and Engineering"/>
    <x v="8"/>
    <n v="169000"/>
    <n v="154000"/>
    <n v="15000"/>
    <n v="0"/>
    <x v="0"/>
    <x v="2"/>
    <x v="0"/>
    <x v="0"/>
    <s v="India"/>
    <s v="magarritvik@example.com"/>
    <n v="918673000000"/>
    <x v="0"/>
    <n v="62"/>
    <n v="72"/>
    <s v="AC"/>
    <x v="1484"/>
    <d v="2003-04-29T00:00:00"/>
    <n v="-12.8210262828535"/>
    <x v="2"/>
    <n v="676000"/>
    <n v="736000"/>
  </r>
  <r>
    <s v="Ivan Desai"/>
    <s v="STU329"/>
    <s v="ENR329"/>
    <x v="5"/>
    <x v="0"/>
    <n v="4"/>
    <s v="Computer Science and Engineering"/>
    <x v="9"/>
    <n v="169000"/>
    <n v="154000"/>
    <n v="15000"/>
    <n v="0"/>
    <x v="0"/>
    <x v="1"/>
    <x v="2"/>
    <x v="2"/>
    <s v="India"/>
    <s v="smannan@example.com"/>
    <n v="919597000000"/>
    <x v="0"/>
    <n v="62"/>
    <n v="70"/>
    <s v="Non-AC"/>
    <x v="1485"/>
    <d v="2001-05-29T00:00:00"/>
    <n v="-12.8210262828535"/>
    <x v="0"/>
    <n v="676000"/>
    <n v="736000"/>
  </r>
  <r>
    <s v="Aniruddh Tella"/>
    <s v="STU353"/>
    <s v="ENR353"/>
    <x v="5"/>
    <x v="1"/>
    <n v="2"/>
    <s v="Computer Science Engineering"/>
    <x v="3"/>
    <n v="92000"/>
    <n v="77000"/>
    <n v="15000"/>
    <n v="0"/>
    <x v="0"/>
    <x v="2"/>
    <x v="9"/>
    <x v="8"/>
    <s v="India"/>
    <s v="mkant@example.net"/>
    <n v="918317000000"/>
    <x v="3"/>
    <n v="62"/>
    <n v="86"/>
    <s v="Non-AC"/>
    <x v="1486"/>
    <d v="2000-01-30T00:00:00"/>
    <n v="-12.8210262828535"/>
    <x v="1"/>
    <n v="184000"/>
    <n v="214000"/>
  </r>
  <r>
    <s v="Dharmajan Kumer"/>
    <s v="STU286"/>
    <s v="ENR286"/>
    <x v="1"/>
    <x v="1"/>
    <n v="2"/>
    <s v="Computer Science Engineering"/>
    <x v="0"/>
    <n v="92000"/>
    <n v="77000"/>
    <n v="15000"/>
    <n v="0"/>
    <x v="0"/>
    <x v="1"/>
    <x v="0"/>
    <x v="0"/>
    <s v="India"/>
    <s v="hazel58@example.org"/>
    <n v="919802000000"/>
    <x v="4"/>
    <n v="62"/>
    <n v="82"/>
    <s v="Non-AC"/>
    <x v="1487"/>
    <d v="1999-05-18T00:00:00"/>
    <n v="-12.8210262828535"/>
    <x v="7"/>
    <n v="184000"/>
    <n v="214000"/>
  </r>
  <r>
    <s v="Stuvan Bobal"/>
    <s v="STU471"/>
    <s v="ENR471"/>
    <x v="3"/>
    <x v="0"/>
    <n v="4"/>
    <s v="Computer Science and Engineering"/>
    <x v="2"/>
    <n v="169000"/>
    <n v="154000"/>
    <n v="15000"/>
    <n v="0"/>
    <x v="0"/>
    <x v="1"/>
    <x v="6"/>
    <x v="3"/>
    <s v="India"/>
    <s v="rasha58@example.net"/>
    <n v="917323000000"/>
    <x v="1"/>
    <n v="62"/>
    <n v="90"/>
    <s v="AC"/>
    <x v="1488"/>
    <d v="2004-07-13T00:00:00"/>
    <n v="-12.8210262828535"/>
    <x v="5"/>
    <n v="676000"/>
    <n v="736000"/>
  </r>
  <r>
    <s v="Sahil Srinivasan"/>
    <s v="STU440"/>
    <s v="ENR440"/>
    <x v="2"/>
    <x v="0"/>
    <n v="4"/>
    <s v="Computer Science and Engineering"/>
    <x v="7"/>
    <n v="169000"/>
    <n v="154000"/>
    <n v="15000"/>
    <n v="0"/>
    <x v="0"/>
    <x v="1"/>
    <x v="0"/>
    <x v="0"/>
    <s v="India"/>
    <s v="azadviswanathan@example.org"/>
    <n v="917597000000"/>
    <x v="3"/>
    <n v="62"/>
    <n v="88"/>
    <s v="AC"/>
    <x v="1489"/>
    <d v="2005-11-16T00:00:00"/>
    <n v="-12.8210262828535"/>
    <x v="4"/>
    <n v="676000"/>
    <n v="736000"/>
  </r>
  <r>
    <s v="Amira Mammen"/>
    <s v="STU363"/>
    <s v="ENR363"/>
    <x v="4"/>
    <x v="0"/>
    <n v="4"/>
    <s v="Computer Science and Engineering"/>
    <x v="9"/>
    <n v="169000"/>
    <n v="154000"/>
    <n v="15000"/>
    <n v="0"/>
    <x v="0"/>
    <x v="1"/>
    <x v="6"/>
    <x v="3"/>
    <s v="India"/>
    <s v="charviwali@example.net"/>
    <n v="917451000000"/>
    <x v="0"/>
    <n v="62"/>
    <n v="81"/>
    <s v="Non-AC"/>
    <x v="1490"/>
    <d v="2005-07-07T00:00:00"/>
    <n v="-12.8210262828535"/>
    <x v="5"/>
    <n v="676000"/>
    <n v="736000"/>
  </r>
  <r>
    <s v="Drishya Dugal"/>
    <s v="STU310"/>
    <s v="ENR310"/>
    <x v="0"/>
    <x v="1"/>
    <n v="2"/>
    <s v="Computer Science Engineering"/>
    <x v="6"/>
    <n v="92000"/>
    <n v="77000"/>
    <n v="15000"/>
    <n v="0"/>
    <x v="0"/>
    <x v="0"/>
    <x v="1"/>
    <x v="1"/>
    <s v="India"/>
    <s v="manikya80@example.org"/>
    <n v="917578000000"/>
    <x v="0"/>
    <n v="62"/>
    <n v="82"/>
    <s v="AC"/>
    <x v="1491"/>
    <d v="2000-08-17T00:00:00"/>
    <n v="-12.8210262828535"/>
    <x v="0"/>
    <n v="184000"/>
    <n v="214000"/>
  </r>
  <r>
    <s v="Indrans Bali"/>
    <s v="STU586"/>
    <s v="ENR586"/>
    <x v="2"/>
    <x v="0"/>
    <n v="4"/>
    <s v="Computer Science and Engineering"/>
    <x v="4"/>
    <n v="169000"/>
    <n v="154000"/>
    <n v="15000"/>
    <n v="0"/>
    <x v="0"/>
    <x v="0"/>
    <x v="4"/>
    <x v="4"/>
    <s v="India"/>
    <s v="sarahari@example.net"/>
    <n v="919108000000"/>
    <x v="0"/>
    <n v="62"/>
    <n v="82"/>
    <s v="Non-AC"/>
    <x v="1492"/>
    <d v="2000-11-21T00:00:00"/>
    <n v="-12.8210262828535"/>
    <x v="0"/>
    <n v="676000"/>
    <n v="736000"/>
  </r>
  <r>
    <s v="Badal Sekhon"/>
    <s v="STU1047"/>
    <s v="ENR1047"/>
    <x v="1"/>
    <x v="0"/>
    <n v="4"/>
    <s v="Computer Science and Engineering"/>
    <x v="3"/>
    <n v="169000"/>
    <n v="154000"/>
    <n v="15000"/>
    <n v="0"/>
    <x v="0"/>
    <x v="2"/>
    <x v="5"/>
    <x v="5"/>
    <s v="India"/>
    <s v="raunakgade@example.net"/>
    <n v="917461000000"/>
    <x v="3"/>
    <n v="62"/>
    <n v="75"/>
    <s v="AC"/>
    <x v="1493"/>
    <d v="2003-07-09T00:00:00"/>
    <n v="-12.8210262828535"/>
    <x v="3"/>
    <n v="676000"/>
    <n v="736000"/>
  </r>
  <r>
    <s v="Tara Desai"/>
    <s v="STU622"/>
    <s v="ENR622"/>
    <x v="2"/>
    <x v="0"/>
    <n v="4"/>
    <s v="Computer Science and Engineering"/>
    <x v="6"/>
    <n v="169000"/>
    <n v="154000"/>
    <n v="15000"/>
    <n v="0"/>
    <x v="0"/>
    <x v="0"/>
    <x v="9"/>
    <x v="8"/>
    <s v="India"/>
    <s v="raunak27@example.net"/>
    <n v="918716000000"/>
    <x v="3"/>
    <n v="62"/>
    <n v="61"/>
    <s v="AC"/>
    <x v="1494"/>
    <d v="2005-08-13T00:00:00"/>
    <n v="-12.8210262828535"/>
    <x v="4"/>
    <n v="676000"/>
    <n v="736000"/>
  </r>
  <r>
    <s v="Vardaniya Mangal"/>
    <s v="STU250"/>
    <s v="ENR250"/>
    <x v="3"/>
    <x v="0"/>
    <n v="4"/>
    <s v="Computer Science and Engineering"/>
    <x v="1"/>
    <n v="169000"/>
    <n v="154000"/>
    <n v="15000"/>
    <n v="0"/>
    <x v="0"/>
    <x v="0"/>
    <x v="7"/>
    <x v="6"/>
    <s v="India"/>
    <s v="tarasaksham@example.com"/>
    <n v="918272000000"/>
    <x v="2"/>
    <n v="62"/>
    <n v="80"/>
    <s v="Non-AC"/>
    <x v="1495"/>
    <d v="2002-06-11T00:00:00"/>
    <n v="-12.8210262828535"/>
    <x v="6"/>
    <n v="676000"/>
    <n v="736000"/>
  </r>
  <r>
    <s v="Nirvi Tara"/>
    <s v="STU649"/>
    <s v="ENR649"/>
    <x v="2"/>
    <x v="0"/>
    <n v="4"/>
    <s v="Computer Science and Engineering"/>
    <x v="5"/>
    <n v="169000"/>
    <n v="154000"/>
    <n v="15000"/>
    <n v="0"/>
    <x v="0"/>
    <x v="1"/>
    <x v="2"/>
    <x v="2"/>
    <s v="India"/>
    <s v="yogipihu@example.com"/>
    <n v="919190000000"/>
    <x v="2"/>
    <n v="62"/>
    <n v="72"/>
    <s v="Non-AC"/>
    <x v="1496"/>
    <d v="2004-05-02T00:00:00"/>
    <n v="-12.8210262828535"/>
    <x v="3"/>
    <n v="676000"/>
    <n v="736000"/>
  </r>
  <r>
    <s v="Rania Saraf"/>
    <s v="STU610"/>
    <s v="ENR610"/>
    <x v="2"/>
    <x v="0"/>
    <n v="4"/>
    <s v="Computer Science and Engineering"/>
    <x v="3"/>
    <n v="169000"/>
    <n v="154000"/>
    <n v="15000"/>
    <n v="0"/>
    <x v="0"/>
    <x v="1"/>
    <x v="7"/>
    <x v="6"/>
    <s v="India"/>
    <s v="biju64@example.org"/>
    <n v="917226000000"/>
    <x v="2"/>
    <n v="62"/>
    <n v="67"/>
    <s v="Non-AC"/>
    <x v="1497"/>
    <d v="2001-07-23T00:00:00"/>
    <n v="-12.8210262828535"/>
    <x v="6"/>
    <n v="676000"/>
    <n v="736000"/>
  </r>
  <r>
    <s v="Dhanush Bhatia"/>
    <s v="STU624"/>
    <s v="ENR624"/>
    <x v="0"/>
    <x v="0"/>
    <n v="4"/>
    <s v="Computer Science and Engineering"/>
    <x v="8"/>
    <n v="169000"/>
    <n v="154000"/>
    <n v="15000"/>
    <n v="0"/>
    <x v="0"/>
    <x v="0"/>
    <x v="0"/>
    <x v="0"/>
    <s v="India"/>
    <s v="sidhudhruv@example.com"/>
    <n v="918265000000"/>
    <x v="2"/>
    <n v="62"/>
    <n v="62"/>
    <s v="Non-AC"/>
    <x v="1498"/>
    <d v="2000-08-08T00:00:00"/>
    <n v="-12.8210262828535"/>
    <x v="0"/>
    <n v="676000"/>
    <n v="736000"/>
  </r>
  <r>
    <s v="Adira Bal"/>
    <s v="STU249"/>
    <s v="ENR249"/>
    <x v="0"/>
    <x v="0"/>
    <n v="4"/>
    <s v="Computer Science and Engineering"/>
    <x v="6"/>
    <n v="169000"/>
    <n v="154000"/>
    <n v="15000"/>
    <n v="0"/>
    <x v="0"/>
    <x v="2"/>
    <x v="3"/>
    <x v="3"/>
    <s v="India"/>
    <s v="skari@example.org"/>
    <n v="918949000000"/>
    <x v="0"/>
    <n v="62"/>
    <n v="89"/>
    <s v="AC"/>
    <x v="1499"/>
    <d v="2001-09-17T00:00:00"/>
    <n v="-12.8210262828535"/>
    <x v="6"/>
    <n v="676000"/>
    <n v="736000"/>
  </r>
  <r>
    <s v="Onkar Goel"/>
    <s v="STU450"/>
    <s v="ENR450"/>
    <x v="2"/>
    <x v="0"/>
    <n v="4"/>
    <s v="Computer Science and Engineering"/>
    <x v="1"/>
    <n v="169000"/>
    <n v="154000"/>
    <n v="15000"/>
    <n v="0"/>
    <x v="0"/>
    <x v="2"/>
    <x v="0"/>
    <x v="0"/>
    <s v="India"/>
    <s v="kalasamiha@example.net"/>
    <n v="919529000000"/>
    <x v="0"/>
    <n v="61"/>
    <n v="69"/>
    <s v="Non-AC"/>
    <x v="1500"/>
    <d v="2002-05-03T00:00:00"/>
    <n v="-13.8210262828535"/>
    <x v="6"/>
    <n v="676000"/>
    <n v="736000"/>
  </r>
  <r>
    <s v="Faiyaz Gandhi"/>
    <s v="STU398"/>
    <s v="ENR398"/>
    <x v="5"/>
    <x v="1"/>
    <n v="2"/>
    <s v="Computer Science Engineering"/>
    <x v="4"/>
    <n v="92000"/>
    <n v="77000"/>
    <n v="15000"/>
    <n v="0"/>
    <x v="0"/>
    <x v="1"/>
    <x v="9"/>
    <x v="8"/>
    <s v="India"/>
    <s v="lagandutt@example.com"/>
    <n v="918004000000"/>
    <x v="1"/>
    <n v="61"/>
    <n v="87"/>
    <s v="Non-AC"/>
    <x v="1501"/>
    <d v="1997-10-18T00:00:00"/>
    <n v="-13.8210262828535"/>
    <x v="9"/>
    <n v="184000"/>
    <n v="214000"/>
  </r>
  <r>
    <s v="Nishith Bose"/>
    <s v="STU094"/>
    <s v="ENR094"/>
    <x v="5"/>
    <x v="0"/>
    <n v="4"/>
    <s v="Computer Science and Engineering"/>
    <x v="6"/>
    <n v="169000"/>
    <n v="154000"/>
    <n v="15000"/>
    <n v="0"/>
    <x v="0"/>
    <x v="1"/>
    <x v="8"/>
    <x v="7"/>
    <s v="India"/>
    <s v="devanshchatterjee@example.com"/>
    <n v="917427000000"/>
    <x v="4"/>
    <n v="61"/>
    <n v="88"/>
    <s v="AC"/>
    <x v="1502"/>
    <d v="2001-12-26T00:00:00"/>
    <n v="-13.8210262828535"/>
    <x v="6"/>
    <n v="676000"/>
    <n v="736000"/>
  </r>
  <r>
    <s v="Riaan Deep"/>
    <s v="STU512"/>
    <s v="ENR512"/>
    <x v="4"/>
    <x v="0"/>
    <n v="4"/>
    <s v="Computer Science and Engineering"/>
    <x v="3"/>
    <n v="169000"/>
    <n v="154000"/>
    <n v="15000"/>
    <n v="0"/>
    <x v="0"/>
    <x v="0"/>
    <x v="5"/>
    <x v="5"/>
    <s v="India"/>
    <s v="vanya26@example.com"/>
    <n v="919215000000"/>
    <x v="4"/>
    <n v="61"/>
    <n v="73"/>
    <s v="AC"/>
    <x v="1503"/>
    <d v="2002-06-05T00:00:00"/>
    <n v="-13.8210262828535"/>
    <x v="6"/>
    <n v="676000"/>
    <n v="736000"/>
  </r>
  <r>
    <s v="Aaina Tailor"/>
    <s v="STU504"/>
    <s v="ENR504"/>
    <x v="0"/>
    <x v="1"/>
    <n v="2"/>
    <s v="Computer Science Engineering"/>
    <x v="5"/>
    <n v="92000"/>
    <n v="77000"/>
    <n v="15000"/>
    <n v="0"/>
    <x v="0"/>
    <x v="2"/>
    <x v="4"/>
    <x v="4"/>
    <s v="India"/>
    <s v="ehayer@example.net"/>
    <n v="919596000000"/>
    <x v="4"/>
    <n v="61"/>
    <n v="68"/>
    <s v="Non-AC"/>
    <x v="1504"/>
    <d v="1997-05-15T00:00:00"/>
    <n v="-13.8210262828535"/>
    <x v="8"/>
    <n v="184000"/>
    <n v="214000"/>
  </r>
  <r>
    <s v="Jhanvi Rajagopalan"/>
    <s v="STU862"/>
    <s v="ENR862"/>
    <x v="2"/>
    <x v="0"/>
    <n v="4"/>
    <s v="Computer Science and Engineering"/>
    <x v="8"/>
    <n v="169000"/>
    <n v="154000"/>
    <n v="15000"/>
    <n v="0"/>
    <x v="0"/>
    <x v="0"/>
    <x v="1"/>
    <x v="1"/>
    <s v="India"/>
    <s v="rborah@example.net"/>
    <n v="918630000000"/>
    <x v="2"/>
    <n v="61"/>
    <n v="74"/>
    <s v="AC"/>
    <x v="1505"/>
    <d v="2005-12-16T00:00:00"/>
    <n v="-13.8210262828535"/>
    <x v="4"/>
    <n v="676000"/>
    <n v="736000"/>
  </r>
  <r>
    <s v="Urvi Choudhury"/>
    <s v="STU955"/>
    <s v="ENR955"/>
    <x v="3"/>
    <x v="0"/>
    <n v="4"/>
    <s v="Computer Science and Engineering"/>
    <x v="5"/>
    <n v="169000"/>
    <n v="154000"/>
    <n v="15000"/>
    <n v="0"/>
    <x v="0"/>
    <x v="0"/>
    <x v="8"/>
    <x v="7"/>
    <s v="India"/>
    <s v="akarshbera@example.com"/>
    <n v="918684000000"/>
    <x v="2"/>
    <n v="61"/>
    <n v="71"/>
    <s v="AC"/>
    <x v="1506"/>
    <d v="2005-10-09T00:00:00"/>
    <n v="-13.8210262828535"/>
    <x v="4"/>
    <n v="676000"/>
    <n v="736000"/>
  </r>
  <r>
    <s v="Mishti Dayal"/>
    <s v="STU120"/>
    <s v="ENR120"/>
    <x v="0"/>
    <x v="0"/>
    <n v="4"/>
    <s v="Computer Science and Engineering"/>
    <x v="8"/>
    <n v="169000"/>
    <n v="154000"/>
    <n v="15000"/>
    <n v="0"/>
    <x v="0"/>
    <x v="2"/>
    <x v="0"/>
    <x v="0"/>
    <s v="India"/>
    <s v="alishasankaran@example.org"/>
    <n v="917387000000"/>
    <x v="3"/>
    <n v="61"/>
    <n v="60"/>
    <s v="Non-AC"/>
    <x v="1507"/>
    <d v="2003-01-05T00:00:00"/>
    <n v="-13.8210262828535"/>
    <x v="2"/>
    <n v="676000"/>
    <n v="736000"/>
  </r>
  <r>
    <s v="Anya Guha"/>
    <s v="STU1004"/>
    <s v="ENR1004"/>
    <x v="1"/>
    <x v="0"/>
    <n v="4"/>
    <s v="Computer Science and Engineering"/>
    <x v="8"/>
    <n v="169000"/>
    <n v="154000"/>
    <n v="15000"/>
    <n v="0"/>
    <x v="0"/>
    <x v="1"/>
    <x v="2"/>
    <x v="2"/>
    <s v="India"/>
    <s v="aayushbail@example.net"/>
    <n v="918577000000"/>
    <x v="3"/>
    <n v="61"/>
    <n v="64"/>
    <s v="AC"/>
    <x v="1508"/>
    <d v="2004-10-01T00:00:00"/>
    <n v="-13.8210262828535"/>
    <x v="5"/>
    <n v="676000"/>
    <n v="736000"/>
  </r>
  <r>
    <s v="Himmat Magar"/>
    <s v="STU336"/>
    <s v="ENR336"/>
    <x v="3"/>
    <x v="0"/>
    <n v="4"/>
    <s v="Computer Science and Engineering"/>
    <x v="4"/>
    <n v="169000"/>
    <n v="154000"/>
    <n v="15000"/>
    <n v="0"/>
    <x v="0"/>
    <x v="1"/>
    <x v="0"/>
    <x v="0"/>
    <s v="India"/>
    <s v="eshani59@example.com"/>
    <n v="917440000000"/>
    <x v="3"/>
    <n v="61"/>
    <n v="69"/>
    <s v="Non-AC"/>
    <x v="1509"/>
    <d v="2005-05-10T00:00:00"/>
    <n v="-13.8210262828535"/>
    <x v="5"/>
    <n v="676000"/>
    <n v="736000"/>
  </r>
  <r>
    <s v="Mishti Randhawa"/>
    <s v="STU344"/>
    <s v="ENR344"/>
    <x v="5"/>
    <x v="1"/>
    <n v="2"/>
    <s v="Computer Science Engineering"/>
    <x v="0"/>
    <n v="92000"/>
    <n v="77000"/>
    <n v="15000"/>
    <n v="0"/>
    <x v="0"/>
    <x v="0"/>
    <x v="5"/>
    <x v="5"/>
    <s v="India"/>
    <s v="pdugar@example.org"/>
    <n v="917772000000"/>
    <x v="0"/>
    <n v="61"/>
    <n v="84"/>
    <s v="AC"/>
    <x v="1510"/>
    <d v="1998-02-14T00:00:00"/>
    <n v="-13.8210262828535"/>
    <x v="9"/>
    <n v="184000"/>
    <n v="214000"/>
  </r>
  <r>
    <s v="Jiya Chatterjee"/>
    <s v="STU951"/>
    <s v="ENR951"/>
    <x v="3"/>
    <x v="0"/>
    <n v="4"/>
    <s v="Computer Science and Engineering"/>
    <x v="0"/>
    <n v="169000"/>
    <n v="154000"/>
    <n v="15000"/>
    <n v="0"/>
    <x v="0"/>
    <x v="1"/>
    <x v="6"/>
    <x v="3"/>
    <s v="India"/>
    <s v="chandrarhea@example.org"/>
    <n v="917807000000"/>
    <x v="0"/>
    <n v="61"/>
    <n v="87"/>
    <s v="Non-AC"/>
    <x v="1511"/>
    <d v="2001-07-02T00:00:00"/>
    <n v="-13.8210262828535"/>
    <x v="0"/>
    <n v="676000"/>
    <n v="736000"/>
  </r>
  <r>
    <s v="Charvi Arya"/>
    <s v="STU050"/>
    <s v="ENR050"/>
    <x v="2"/>
    <x v="0"/>
    <n v="4"/>
    <s v="Computer Science and Engineering"/>
    <x v="9"/>
    <n v="169000"/>
    <n v="154000"/>
    <n v="15000"/>
    <n v="0"/>
    <x v="0"/>
    <x v="1"/>
    <x v="6"/>
    <x v="3"/>
    <s v="India"/>
    <s v="lsridhar@example.com"/>
    <n v="919460000000"/>
    <x v="4"/>
    <n v="61"/>
    <n v="77"/>
    <s v="Non-AC"/>
    <x v="1512"/>
    <d v="2005-12-19T00:00:00"/>
    <n v="-13.8210262828535"/>
    <x v="4"/>
    <n v="676000"/>
    <n v="736000"/>
  </r>
  <r>
    <s v="Elakshi Raja"/>
    <s v="STU719"/>
    <s v="ENR719"/>
    <x v="5"/>
    <x v="0"/>
    <n v="4"/>
    <s v="Computer Science and Engineering"/>
    <x v="4"/>
    <n v="169000"/>
    <n v="154000"/>
    <n v="15000"/>
    <n v="0"/>
    <x v="0"/>
    <x v="0"/>
    <x v="1"/>
    <x v="1"/>
    <s v="India"/>
    <s v="zeeshangoda@example.org"/>
    <n v="918846000000"/>
    <x v="2"/>
    <n v="61"/>
    <n v="65"/>
    <s v="Non-AC"/>
    <x v="1513"/>
    <d v="2004-01-20T00:00:00"/>
    <n v="-13.8210262828535"/>
    <x v="3"/>
    <n v="676000"/>
    <n v="736000"/>
  </r>
  <r>
    <s v="Adira Chaudhuri"/>
    <s v="STU1124"/>
    <s v="ENR1124"/>
    <x v="5"/>
    <x v="0"/>
    <n v="4"/>
    <s v="Computer Science and Engineering"/>
    <x v="2"/>
    <n v="169000"/>
    <n v="154000"/>
    <n v="15000"/>
    <n v="0"/>
    <x v="0"/>
    <x v="1"/>
    <x v="6"/>
    <x v="3"/>
    <s v="India"/>
    <s v="vihaandoctor@example.com"/>
    <n v="917098000000"/>
    <x v="1"/>
    <n v="61"/>
    <n v="68"/>
    <s v="AC"/>
    <x v="1514"/>
    <d v="2004-02-21T00:00:00"/>
    <n v="-13.8210262828535"/>
    <x v="3"/>
    <n v="676000"/>
    <n v="736000"/>
  </r>
  <r>
    <s v="Kartik Chahal"/>
    <s v="STU885"/>
    <s v="ENR885"/>
    <x v="2"/>
    <x v="0"/>
    <n v="4"/>
    <s v="Computer Science and Engineering"/>
    <x v="7"/>
    <n v="169000"/>
    <n v="154000"/>
    <n v="15000"/>
    <n v="0"/>
    <x v="0"/>
    <x v="1"/>
    <x v="2"/>
    <x v="2"/>
    <s v="India"/>
    <s v="vaibhavkant@example.net"/>
    <n v="918109000000"/>
    <x v="0"/>
    <n v="61"/>
    <n v="87"/>
    <s v="Non-AC"/>
    <x v="1515"/>
    <d v="2000-09-09T00:00:00"/>
    <n v="-13.8210262828535"/>
    <x v="0"/>
    <n v="676000"/>
    <n v="736000"/>
  </r>
  <r>
    <s v="Zara Bhardwaj"/>
    <s v="STU496"/>
    <s v="ENR496"/>
    <x v="2"/>
    <x v="1"/>
    <n v="2"/>
    <s v="Computer Science Engineering"/>
    <x v="4"/>
    <n v="92000"/>
    <n v="77000"/>
    <n v="15000"/>
    <n v="0"/>
    <x v="0"/>
    <x v="0"/>
    <x v="1"/>
    <x v="1"/>
    <s v="India"/>
    <s v="lakshitsidhu@example.net"/>
    <n v="918996000000"/>
    <x v="0"/>
    <n v="61"/>
    <n v="90"/>
    <s v="AC"/>
    <x v="1516"/>
    <d v="1998-11-05T00:00:00"/>
    <n v="-13.8210262828535"/>
    <x v="7"/>
    <n v="184000"/>
    <n v="214000"/>
  </r>
  <r>
    <s v="Pari Chaudhari"/>
    <s v="STU889"/>
    <s v="ENR889"/>
    <x v="1"/>
    <x v="0"/>
    <n v="4"/>
    <s v="Computer Science and Engineering"/>
    <x v="3"/>
    <n v="169000"/>
    <n v="154000"/>
    <n v="15000"/>
    <n v="0"/>
    <x v="0"/>
    <x v="2"/>
    <x v="9"/>
    <x v="8"/>
    <s v="India"/>
    <s v="aliamanda@example.com"/>
    <n v="919838000000"/>
    <x v="2"/>
    <n v="61"/>
    <n v="82"/>
    <s v="AC"/>
    <x v="1517"/>
    <d v="2000-11-09T00:00:00"/>
    <n v="-13.8210262828535"/>
    <x v="0"/>
    <n v="676000"/>
    <n v="736000"/>
  </r>
  <r>
    <s v="Ivana Dhillon"/>
    <s v="STU334"/>
    <s v="ENR334"/>
    <x v="0"/>
    <x v="0"/>
    <n v="4"/>
    <s v="Computer Science and Engineering"/>
    <x v="4"/>
    <n v="169000"/>
    <n v="154000"/>
    <n v="15000"/>
    <n v="0"/>
    <x v="0"/>
    <x v="2"/>
    <x v="3"/>
    <x v="3"/>
    <s v="India"/>
    <s v="gatikborah@example.org"/>
    <n v="918523000000"/>
    <x v="4"/>
    <n v="61"/>
    <n v="88"/>
    <s v="AC"/>
    <x v="1518"/>
    <d v="2002-07-01T00:00:00"/>
    <n v="-13.8210262828535"/>
    <x v="6"/>
    <n v="676000"/>
    <n v="736000"/>
  </r>
  <r>
    <s v="Keya Savant"/>
    <s v="STU904"/>
    <s v="ENR904"/>
    <x v="0"/>
    <x v="0"/>
    <n v="4"/>
    <s v="Computer Science and Engineering"/>
    <x v="3"/>
    <n v="169000"/>
    <n v="154000"/>
    <n v="15000"/>
    <n v="0"/>
    <x v="0"/>
    <x v="1"/>
    <x v="5"/>
    <x v="5"/>
    <s v="India"/>
    <s v="deotejas@example.com"/>
    <n v="918271000000"/>
    <x v="2"/>
    <n v="61"/>
    <n v="79"/>
    <s v="AC"/>
    <x v="1519"/>
    <d v="2001-02-04T00:00:00"/>
    <n v="-13.8210262828535"/>
    <x v="0"/>
    <n v="676000"/>
    <n v="736000"/>
  </r>
  <r>
    <s v="Shanaya Kurian"/>
    <s v="STU205"/>
    <s v="ENR205"/>
    <x v="2"/>
    <x v="1"/>
    <n v="2"/>
    <s v="Computer Science Engineering"/>
    <x v="1"/>
    <n v="92000"/>
    <n v="77000"/>
    <n v="15000"/>
    <n v="0"/>
    <x v="0"/>
    <x v="0"/>
    <x v="2"/>
    <x v="2"/>
    <s v="India"/>
    <s v="hunarbuch@example.org"/>
    <n v="918692000000"/>
    <x v="0"/>
    <n v="61"/>
    <n v="87"/>
    <s v="AC"/>
    <x v="1520"/>
    <d v="1999-01-17T00:00:00"/>
    <n v="-13.8210262828535"/>
    <x v="7"/>
    <n v="184000"/>
    <n v="214000"/>
  </r>
  <r>
    <s v="Anahi Thakur"/>
    <s v="STU055"/>
    <s v="ENR055"/>
    <x v="5"/>
    <x v="0"/>
    <n v="4"/>
    <s v="Computer Science and Engineering"/>
    <x v="0"/>
    <n v="169000"/>
    <n v="154000"/>
    <n v="15000"/>
    <n v="0"/>
    <x v="0"/>
    <x v="2"/>
    <x v="3"/>
    <x v="3"/>
    <s v="India"/>
    <s v="hanshsehgal@example.org"/>
    <n v="918131000000"/>
    <x v="2"/>
    <n v="61"/>
    <n v="63"/>
    <s v="AC"/>
    <x v="1521"/>
    <d v="2003-09-29T00:00:00"/>
    <n v="-13.8210262828535"/>
    <x v="3"/>
    <n v="676000"/>
    <n v="736000"/>
  </r>
  <r>
    <s v="Gokul Bir"/>
    <s v="STU945"/>
    <s v="ENR945"/>
    <x v="4"/>
    <x v="0"/>
    <n v="4"/>
    <s v="Computer Science and Engineering"/>
    <x v="4"/>
    <n v="169000"/>
    <n v="154000"/>
    <n v="15000"/>
    <n v="0"/>
    <x v="0"/>
    <x v="0"/>
    <x v="5"/>
    <x v="5"/>
    <s v="India"/>
    <s v="ghanda@example.org"/>
    <n v="917235000000"/>
    <x v="4"/>
    <n v="61"/>
    <n v="87"/>
    <s v="Non-AC"/>
    <x v="1522"/>
    <d v="2000-08-25T00:00:00"/>
    <n v="-13.8210262828535"/>
    <x v="0"/>
    <n v="676000"/>
    <n v="736000"/>
  </r>
  <r>
    <s v="Gatik Shanker"/>
    <s v="STU126"/>
    <s v="ENR126"/>
    <x v="5"/>
    <x v="0"/>
    <n v="4"/>
    <s v="Computer Science and Engineering"/>
    <x v="2"/>
    <n v="169000"/>
    <n v="154000"/>
    <n v="15000"/>
    <n v="0"/>
    <x v="0"/>
    <x v="2"/>
    <x v="0"/>
    <x v="0"/>
    <s v="India"/>
    <s v="dhruv39@example.org"/>
    <n v="919897000000"/>
    <x v="1"/>
    <n v="61"/>
    <n v="81"/>
    <s v="AC"/>
    <x v="1523"/>
    <d v="2002-05-15T00:00:00"/>
    <n v="-13.8210262828535"/>
    <x v="6"/>
    <n v="676000"/>
    <n v="736000"/>
  </r>
  <r>
    <s v="Misha Bhardwaj"/>
    <s v="STU443"/>
    <s v="ENR443"/>
    <x v="1"/>
    <x v="0"/>
    <n v="4"/>
    <s v="Computer Science and Engineering"/>
    <x v="9"/>
    <n v="169000"/>
    <n v="154000"/>
    <n v="15000"/>
    <n v="0"/>
    <x v="0"/>
    <x v="0"/>
    <x v="2"/>
    <x v="2"/>
    <s v="India"/>
    <s v="gbhat@example.net"/>
    <n v="918808000000"/>
    <x v="0"/>
    <n v="61"/>
    <n v="74"/>
    <s v="Non-AC"/>
    <x v="1524"/>
    <d v="2004-01-05T00:00:00"/>
    <n v="-13.8210262828535"/>
    <x v="3"/>
    <n v="676000"/>
    <n v="736000"/>
  </r>
  <r>
    <s v="Myra Kalla"/>
    <s v="STU1186"/>
    <s v="ENR1186"/>
    <x v="2"/>
    <x v="0"/>
    <n v="4"/>
    <s v="Computer Science and Engineering"/>
    <x v="2"/>
    <n v="169000"/>
    <n v="154000"/>
    <n v="15000"/>
    <n v="0"/>
    <x v="0"/>
    <x v="0"/>
    <x v="0"/>
    <x v="0"/>
    <s v="India"/>
    <s v="samairabalan@example.com"/>
    <n v="917457000000"/>
    <x v="4"/>
    <n v="61"/>
    <n v="65"/>
    <s v="AC"/>
    <x v="1525"/>
    <d v="2001-01-23T00:00:00"/>
    <n v="-13.8210262828535"/>
    <x v="0"/>
    <n v="676000"/>
    <n v="736000"/>
  </r>
  <r>
    <s v="Nirvi Jayaraman"/>
    <s v="STU432"/>
    <s v="ENR432"/>
    <x v="4"/>
    <x v="1"/>
    <n v="2"/>
    <s v="Computer Science Engineering"/>
    <x v="0"/>
    <n v="92000"/>
    <n v="77000"/>
    <n v="15000"/>
    <n v="0"/>
    <x v="0"/>
    <x v="0"/>
    <x v="1"/>
    <x v="1"/>
    <s v="India"/>
    <s v="kavyasaxena@example.com"/>
    <n v="917268000000"/>
    <x v="0"/>
    <n v="61"/>
    <n v="88"/>
    <s v="Non-AC"/>
    <x v="1526"/>
    <d v="1997-09-13T00:00:00"/>
    <n v="-13.8210262828535"/>
    <x v="9"/>
    <n v="184000"/>
    <n v="214000"/>
  </r>
  <r>
    <s v="Adira Reddy"/>
    <s v="STU276"/>
    <s v="ENR276"/>
    <x v="0"/>
    <x v="0"/>
    <n v="4"/>
    <s v="Computer Science and Engineering"/>
    <x v="9"/>
    <n v="169000"/>
    <n v="154000"/>
    <n v="15000"/>
    <n v="0"/>
    <x v="0"/>
    <x v="0"/>
    <x v="5"/>
    <x v="5"/>
    <s v="India"/>
    <s v="hchandra@example.net"/>
    <n v="919171000000"/>
    <x v="2"/>
    <n v="61"/>
    <n v="72"/>
    <s v="AC"/>
    <x v="1527"/>
    <d v="2005-01-21T00:00:00"/>
    <n v="-13.8210262828535"/>
    <x v="5"/>
    <n v="676000"/>
    <n v="736000"/>
  </r>
  <r>
    <s v="Lakshit Dhar"/>
    <s v="STU011"/>
    <s v="ENR011"/>
    <x v="3"/>
    <x v="0"/>
    <n v="4"/>
    <s v="Computer Science and Engineering"/>
    <x v="0"/>
    <n v="169000"/>
    <n v="154000"/>
    <n v="15000"/>
    <n v="0"/>
    <x v="0"/>
    <x v="2"/>
    <x v="8"/>
    <x v="7"/>
    <s v="India"/>
    <s v="balasubramanianindrajit@example.net"/>
    <n v="919218000000"/>
    <x v="3"/>
    <n v="61"/>
    <n v="69"/>
    <s v="Non-AC"/>
    <x v="1528"/>
    <d v="2001-03-23T00:00:00"/>
    <n v="-13.8210262828535"/>
    <x v="0"/>
    <n v="676000"/>
    <n v="736000"/>
  </r>
  <r>
    <s v="Lagan Salvi"/>
    <s v="STU421"/>
    <s v="ENR421"/>
    <x v="3"/>
    <x v="1"/>
    <n v="2"/>
    <s v="Computer Science Engineering"/>
    <x v="0"/>
    <n v="92000"/>
    <n v="77000"/>
    <n v="15000"/>
    <n v="0"/>
    <x v="0"/>
    <x v="0"/>
    <x v="6"/>
    <x v="3"/>
    <s v="India"/>
    <s v="farhan32@example.net"/>
    <n v="919334000000"/>
    <x v="4"/>
    <n v="61"/>
    <n v="77"/>
    <s v="AC"/>
    <x v="1529"/>
    <d v="2002-01-10T00:00:00"/>
    <n v="-13.8210262828535"/>
    <x v="6"/>
    <n v="184000"/>
    <n v="214000"/>
  </r>
  <r>
    <s v="Dhruv Saraf"/>
    <s v="STU833"/>
    <s v="ENR833"/>
    <x v="1"/>
    <x v="0"/>
    <n v="4"/>
    <s v="Computer Science and Engineering"/>
    <x v="8"/>
    <n v="169000"/>
    <n v="154000"/>
    <n v="15000"/>
    <n v="0"/>
    <x v="0"/>
    <x v="1"/>
    <x v="4"/>
    <x v="4"/>
    <s v="India"/>
    <s v="mannat04@example.net"/>
    <n v="918080000000"/>
    <x v="2"/>
    <n v="61"/>
    <n v="85"/>
    <s v="AC"/>
    <x v="1530"/>
    <d v="2005-08-25T00:00:00"/>
    <n v="-13.8210262828535"/>
    <x v="4"/>
    <n v="676000"/>
    <n v="736000"/>
  </r>
  <r>
    <s v="Vritika Dani"/>
    <s v="STU1021"/>
    <s v="ENR1021"/>
    <x v="4"/>
    <x v="0"/>
    <n v="4"/>
    <s v="Computer Science and Engineering"/>
    <x v="7"/>
    <n v="169000"/>
    <n v="154000"/>
    <n v="15000"/>
    <n v="0"/>
    <x v="0"/>
    <x v="1"/>
    <x v="4"/>
    <x v="4"/>
    <s v="India"/>
    <s v="gardemishti@example.com"/>
    <n v="918953000000"/>
    <x v="0"/>
    <n v="61"/>
    <n v="92"/>
    <s v="Non-AC"/>
    <x v="1531"/>
    <d v="2006-01-03T00:00:00"/>
    <n v="-13.8210262828535"/>
    <x v="4"/>
    <n v="676000"/>
    <n v="736000"/>
  </r>
  <r>
    <s v="Vihaan Balakrishnan"/>
    <s v="STU182"/>
    <s v="ENR182"/>
    <x v="5"/>
    <x v="0"/>
    <n v="4"/>
    <s v="Computer Science and Engineering"/>
    <x v="9"/>
    <n v="169000"/>
    <n v="154000"/>
    <n v="15000"/>
    <n v="0"/>
    <x v="0"/>
    <x v="1"/>
    <x v="6"/>
    <x v="3"/>
    <s v="India"/>
    <s v="veervarty@example.org"/>
    <n v="917955000000"/>
    <x v="1"/>
    <n v="61"/>
    <n v="85"/>
    <s v="Non-AC"/>
    <x v="1532"/>
    <d v="2002-03-02T00:00:00"/>
    <n v="-13.8210262828535"/>
    <x v="6"/>
    <n v="676000"/>
    <n v="736000"/>
  </r>
  <r>
    <s v="Dishani Gupta"/>
    <s v="STU572"/>
    <s v="ENR572"/>
    <x v="3"/>
    <x v="0"/>
    <n v="4"/>
    <s v="Computer Science and Engineering"/>
    <x v="6"/>
    <n v="169000"/>
    <n v="154000"/>
    <n v="15000"/>
    <n v="0"/>
    <x v="0"/>
    <x v="0"/>
    <x v="1"/>
    <x v="1"/>
    <s v="India"/>
    <s v="gkohli@example.com"/>
    <n v="917766000000"/>
    <x v="4"/>
    <n v="61"/>
    <n v="60"/>
    <s v="AC"/>
    <x v="1533"/>
    <d v="2001-10-15T00:00:00"/>
    <n v="-13.8210262828535"/>
    <x v="6"/>
    <n v="676000"/>
    <n v="736000"/>
  </r>
  <r>
    <s v="Misha Krishnan"/>
    <s v="STU611"/>
    <s v="ENR611"/>
    <x v="4"/>
    <x v="0"/>
    <n v="4"/>
    <s v="Computer Science and Engineering"/>
    <x v="6"/>
    <n v="169000"/>
    <n v="154000"/>
    <n v="15000"/>
    <n v="0"/>
    <x v="0"/>
    <x v="0"/>
    <x v="5"/>
    <x v="5"/>
    <s v="India"/>
    <s v="zainavarkey@example.org"/>
    <n v="919316000000"/>
    <x v="2"/>
    <n v="61"/>
    <n v="63"/>
    <s v="Non-AC"/>
    <x v="1534"/>
    <d v="2003-08-03T00:00:00"/>
    <n v="-13.8210262828535"/>
    <x v="3"/>
    <n v="676000"/>
    <n v="736000"/>
  </r>
  <r>
    <s v="Zara Ben"/>
    <s v="STU1037"/>
    <s v="ENR1037"/>
    <x v="0"/>
    <x v="0"/>
    <n v="4"/>
    <s v="Computer Science and Engineering"/>
    <x v="5"/>
    <n v="169000"/>
    <n v="154000"/>
    <n v="15000"/>
    <n v="0"/>
    <x v="0"/>
    <x v="1"/>
    <x v="5"/>
    <x v="5"/>
    <s v="India"/>
    <s v="varkeysuhana@example.org"/>
    <n v="918136000000"/>
    <x v="2"/>
    <n v="61"/>
    <n v="62"/>
    <s v="AC"/>
    <x v="1535"/>
    <d v="2006-06-04T00:00:00"/>
    <n v="-13.8210262828535"/>
    <x v="4"/>
    <n v="676000"/>
    <n v="736000"/>
  </r>
  <r>
    <s v="Dhruv Madan"/>
    <s v="STU151"/>
    <s v="ENR151"/>
    <x v="4"/>
    <x v="0"/>
    <n v="4"/>
    <s v="Computer Science and Engineering"/>
    <x v="8"/>
    <n v="169000"/>
    <n v="154000"/>
    <n v="15000"/>
    <n v="0"/>
    <x v="0"/>
    <x v="2"/>
    <x v="1"/>
    <x v="1"/>
    <s v="India"/>
    <s v="borraishita@example.com"/>
    <n v="918272000000"/>
    <x v="1"/>
    <n v="61"/>
    <n v="63"/>
    <s v="Non-AC"/>
    <x v="1536"/>
    <d v="2005-06-26T00:00:00"/>
    <n v="-13.8210262828535"/>
    <x v="5"/>
    <n v="676000"/>
    <n v="736000"/>
  </r>
  <r>
    <s v="Ehsaan Dave"/>
    <s v="STU1171"/>
    <s v="ENR1171"/>
    <x v="2"/>
    <x v="0"/>
    <n v="4"/>
    <s v="Computer Science and Engineering"/>
    <x v="1"/>
    <n v="169000"/>
    <n v="154000"/>
    <n v="15000"/>
    <n v="0"/>
    <x v="0"/>
    <x v="2"/>
    <x v="5"/>
    <x v="5"/>
    <s v="India"/>
    <s v="xbains@example.org"/>
    <n v="919773000000"/>
    <x v="0"/>
    <n v="61"/>
    <n v="74"/>
    <s v="AC"/>
    <x v="1537"/>
    <d v="2005-03-14T00:00:00"/>
    <n v="-13.8210262828535"/>
    <x v="5"/>
    <n v="676000"/>
    <n v="736000"/>
  </r>
  <r>
    <s v="Madhup Kamdar"/>
    <s v="STU406"/>
    <s v="ENR406"/>
    <x v="3"/>
    <x v="0"/>
    <n v="4"/>
    <s v="Computer Science and Engineering"/>
    <x v="8"/>
    <n v="169000"/>
    <n v="154000"/>
    <n v="15000"/>
    <n v="0"/>
    <x v="0"/>
    <x v="0"/>
    <x v="9"/>
    <x v="8"/>
    <s v="India"/>
    <s v="beraparinaaz@example.org"/>
    <n v="918786000000"/>
    <x v="2"/>
    <n v="61"/>
    <n v="81"/>
    <s v="AC"/>
    <x v="1538"/>
    <d v="2006-06-24T00:00:00"/>
    <n v="-13.8210262828535"/>
    <x v="4"/>
    <n v="676000"/>
    <n v="736000"/>
  </r>
  <r>
    <s v="Vivaan Goda"/>
    <s v="STU529"/>
    <s v="ENR529"/>
    <x v="4"/>
    <x v="0"/>
    <n v="4"/>
    <s v="Computer Science and Engineering"/>
    <x v="5"/>
    <n v="169000"/>
    <n v="154000"/>
    <n v="15000"/>
    <n v="0"/>
    <x v="0"/>
    <x v="1"/>
    <x v="1"/>
    <x v="1"/>
    <s v="India"/>
    <s v="deollagan@example.org"/>
    <n v="917894000000"/>
    <x v="2"/>
    <n v="61"/>
    <n v="71"/>
    <s v="Non-AC"/>
    <x v="1539"/>
    <d v="2005-07-27T00:00:00"/>
    <n v="-13.8210262828535"/>
    <x v="4"/>
    <n v="676000"/>
    <n v="736000"/>
  </r>
  <r>
    <s v="Inaaya  Walla"/>
    <s v="STU190"/>
    <s v="ENR190"/>
    <x v="1"/>
    <x v="0"/>
    <n v="4"/>
    <s v="Computer Science and Engineering"/>
    <x v="9"/>
    <n v="169000"/>
    <n v="154000"/>
    <n v="15000"/>
    <n v="0"/>
    <x v="0"/>
    <x v="0"/>
    <x v="1"/>
    <x v="1"/>
    <s v="India"/>
    <s v="aayushrege@example.com"/>
    <n v="917943000000"/>
    <x v="2"/>
    <n v="61"/>
    <n v="88"/>
    <s v="AC"/>
    <x v="1540"/>
    <d v="2001-06-02T00:00:00"/>
    <n v="-13.8210262828535"/>
    <x v="0"/>
    <n v="676000"/>
    <n v="736000"/>
  </r>
  <r>
    <s v="Miraya Rastogi"/>
    <s v="STU827"/>
    <s v="ENR827"/>
    <x v="4"/>
    <x v="0"/>
    <n v="4"/>
    <s v="Computer Science and Engineering"/>
    <x v="3"/>
    <n v="169000"/>
    <n v="154000"/>
    <n v="15000"/>
    <n v="0"/>
    <x v="0"/>
    <x v="1"/>
    <x v="2"/>
    <x v="2"/>
    <s v="India"/>
    <s v="diyarajagopalan@example.net"/>
    <n v="917746000000"/>
    <x v="1"/>
    <n v="61"/>
    <n v="62"/>
    <s v="Non-AC"/>
    <x v="1541"/>
    <d v="2004-03-10T00:00:00"/>
    <n v="-13.8210262828535"/>
    <x v="3"/>
    <n v="676000"/>
    <n v="736000"/>
  </r>
  <r>
    <s v="Aniruddh Gera"/>
    <s v="STU438"/>
    <s v="ENR438"/>
    <x v="2"/>
    <x v="1"/>
    <n v="2"/>
    <s v="Computer Science Engineering"/>
    <x v="4"/>
    <n v="92000"/>
    <n v="77000"/>
    <n v="15000"/>
    <n v="0"/>
    <x v="0"/>
    <x v="1"/>
    <x v="7"/>
    <x v="6"/>
    <s v="India"/>
    <s v="fchana@example.net"/>
    <n v="919705000000"/>
    <x v="0"/>
    <n v="61"/>
    <n v="65"/>
    <s v="AC"/>
    <x v="1542"/>
    <d v="1999-11-14T00:00:00"/>
    <n v="-13.8210262828535"/>
    <x v="1"/>
    <n v="184000"/>
    <n v="214000"/>
  </r>
  <r>
    <s v="Hunar Sagar"/>
    <s v="STU946"/>
    <s v="ENR946"/>
    <x v="5"/>
    <x v="0"/>
    <n v="4"/>
    <s v="Computer Science and Engineering"/>
    <x v="4"/>
    <n v="169000"/>
    <n v="154000"/>
    <n v="15000"/>
    <n v="0"/>
    <x v="0"/>
    <x v="0"/>
    <x v="2"/>
    <x v="2"/>
    <s v="India"/>
    <s v="bakshipari@example.com"/>
    <n v="917088000000"/>
    <x v="4"/>
    <n v="60"/>
    <n v="87"/>
    <s v="AC"/>
    <x v="1543"/>
    <d v="2006-04-27T00:00:00"/>
    <n v="-14.8210262828535"/>
    <x v="4"/>
    <n v="676000"/>
    <n v="736000"/>
  </r>
  <r>
    <s v="Hazel Ganguly"/>
    <s v="STU369"/>
    <s v="ENR369"/>
    <x v="3"/>
    <x v="0"/>
    <n v="4"/>
    <s v="Computer Science and Engineering"/>
    <x v="8"/>
    <n v="169000"/>
    <n v="154000"/>
    <n v="15000"/>
    <n v="0"/>
    <x v="0"/>
    <x v="2"/>
    <x v="2"/>
    <x v="2"/>
    <s v="India"/>
    <s v="lallariya@example.com"/>
    <n v="918721000000"/>
    <x v="4"/>
    <n v="60"/>
    <n v="88"/>
    <s v="Non-AC"/>
    <x v="1544"/>
    <d v="2000-11-26T00:00:00"/>
    <n v="-14.8210262828535"/>
    <x v="0"/>
    <n v="676000"/>
    <n v="736000"/>
  </r>
  <r>
    <s v="Siya Arora"/>
    <s v="STU007"/>
    <s v="ENR007"/>
    <x v="1"/>
    <x v="0"/>
    <n v="4"/>
    <s v="Computer Science and Engineering"/>
    <x v="0"/>
    <n v="169000"/>
    <n v="154000"/>
    <n v="15000"/>
    <n v="0"/>
    <x v="0"/>
    <x v="1"/>
    <x v="8"/>
    <x v="7"/>
    <s v="India"/>
    <s v="vaidyanavya@example.org"/>
    <n v="919087000000"/>
    <x v="4"/>
    <n v="60"/>
    <n v="64"/>
    <s v="AC"/>
    <x v="1545"/>
    <d v="2004-05-26T00:00:00"/>
    <n v="-14.8210262828535"/>
    <x v="3"/>
    <n v="676000"/>
    <n v="736000"/>
  </r>
  <r>
    <s v="Prisha Ram"/>
    <s v="STU373"/>
    <s v="ENR373"/>
    <x v="4"/>
    <x v="0"/>
    <n v="4"/>
    <s v="Computer Science and Engineering"/>
    <x v="5"/>
    <n v="169000"/>
    <n v="154000"/>
    <n v="15000"/>
    <n v="0"/>
    <x v="0"/>
    <x v="2"/>
    <x v="4"/>
    <x v="4"/>
    <s v="India"/>
    <s v="annejivika@example.org"/>
    <n v="917880000000"/>
    <x v="1"/>
    <n v="60"/>
    <n v="86"/>
    <s v="Non-AC"/>
    <x v="1546"/>
    <d v="2006-04-07T00:00:00"/>
    <n v="-14.8210262828535"/>
    <x v="4"/>
    <n v="676000"/>
    <n v="736000"/>
  </r>
  <r>
    <s v="Ivan Bassi"/>
    <s v="STU682"/>
    <s v="ENR682"/>
    <x v="3"/>
    <x v="0"/>
    <n v="4"/>
    <s v="Computer Science and Engineering"/>
    <x v="7"/>
    <n v="169000"/>
    <n v="154000"/>
    <n v="15000"/>
    <n v="0"/>
    <x v="0"/>
    <x v="1"/>
    <x v="3"/>
    <x v="3"/>
    <s v="India"/>
    <s v="riyaganguly@example.net"/>
    <n v="919446000000"/>
    <x v="1"/>
    <n v="60"/>
    <n v="69"/>
    <s v="Non-AC"/>
    <x v="1547"/>
    <d v="2001-09-29T00:00:00"/>
    <n v="-14.8210262828535"/>
    <x v="6"/>
    <n v="676000"/>
    <n v="736000"/>
  </r>
  <r>
    <s v="Zain Bhasin"/>
    <s v="STU1091"/>
    <s v="ENR1091"/>
    <x v="0"/>
    <x v="0"/>
    <n v="4"/>
    <s v="Computer Science and Engineering"/>
    <x v="7"/>
    <n v="169000"/>
    <n v="154000"/>
    <n v="15000"/>
    <n v="0"/>
    <x v="0"/>
    <x v="0"/>
    <x v="5"/>
    <x v="5"/>
    <s v="India"/>
    <s v="sara61@example.net"/>
    <n v="919778000000"/>
    <x v="2"/>
    <n v="60"/>
    <n v="82"/>
    <s v="AC"/>
    <x v="1548"/>
    <d v="2004-07-21T00:00:00"/>
    <n v="-14.8210262828535"/>
    <x v="5"/>
    <n v="676000"/>
    <n v="736000"/>
  </r>
  <r>
    <s v="Ivan Boase"/>
    <s v="STU290"/>
    <s v="ENR290"/>
    <x v="5"/>
    <x v="1"/>
    <n v="2"/>
    <s v="Computer Science Engineering"/>
    <x v="6"/>
    <n v="92000"/>
    <n v="77000"/>
    <n v="15000"/>
    <n v="0"/>
    <x v="0"/>
    <x v="0"/>
    <x v="0"/>
    <x v="0"/>
    <s v="India"/>
    <s v="daminisaxena@example.org"/>
    <n v="918447000000"/>
    <x v="1"/>
    <n v="60"/>
    <n v="87"/>
    <s v="Non-AC"/>
    <x v="1549"/>
    <d v="1996-11-15T00:00:00"/>
    <n v="-14.8210262828535"/>
    <x v="8"/>
    <n v="184000"/>
    <n v="214000"/>
  </r>
  <r>
    <s v="Shamik Iyengar"/>
    <s v="STU045"/>
    <s v="ENR045"/>
    <x v="0"/>
    <x v="0"/>
    <n v="4"/>
    <s v="Computer Science and Engineering"/>
    <x v="5"/>
    <n v="169000"/>
    <n v="154000"/>
    <n v="15000"/>
    <n v="0"/>
    <x v="0"/>
    <x v="2"/>
    <x v="1"/>
    <x v="1"/>
    <s v="India"/>
    <s v="nayantara64@example.net"/>
    <n v="919847000000"/>
    <x v="2"/>
    <n v="60"/>
    <n v="89"/>
    <s v="Non-AC"/>
    <x v="1550"/>
    <d v="2000-09-11T00:00:00"/>
    <n v="-14.8210262828535"/>
    <x v="0"/>
    <n v="676000"/>
    <n v="736000"/>
  </r>
  <r>
    <s v="Shalv Sridhar"/>
    <s v="STU019"/>
    <s v="ENR019"/>
    <x v="4"/>
    <x v="0"/>
    <n v="4"/>
    <s v="Computer Science and Engineering"/>
    <x v="2"/>
    <n v="169000"/>
    <n v="154000"/>
    <n v="15000"/>
    <n v="0"/>
    <x v="0"/>
    <x v="1"/>
    <x v="9"/>
    <x v="8"/>
    <s v="India"/>
    <s v="samihabhatti@example.net"/>
    <n v="918984000000"/>
    <x v="3"/>
    <n v="60"/>
    <n v="60"/>
    <s v="Non-AC"/>
    <x v="1551"/>
    <d v="2004-10-14T00:00:00"/>
    <n v="-14.8210262828535"/>
    <x v="5"/>
    <n v="676000"/>
    <n v="736000"/>
  </r>
  <r>
    <s v="Aarna Kumar"/>
    <s v="STU1019"/>
    <s v="ENR1019"/>
    <x v="2"/>
    <x v="0"/>
    <n v="4"/>
    <s v="Computer Science and Engineering"/>
    <x v="4"/>
    <n v="169000"/>
    <n v="154000"/>
    <n v="15000"/>
    <n v="0"/>
    <x v="0"/>
    <x v="1"/>
    <x v="5"/>
    <x v="5"/>
    <s v="India"/>
    <s v="vbajwa@example.net"/>
    <n v="917739000000"/>
    <x v="3"/>
    <n v="60"/>
    <n v="68"/>
    <s v="Non-AC"/>
    <x v="1552"/>
    <d v="2001-01-19T00:00:00"/>
    <n v="-14.8210262828535"/>
    <x v="0"/>
    <n v="676000"/>
    <n v="736000"/>
  </r>
  <r>
    <s v="Prisha Saraf"/>
    <s v="STU966"/>
    <s v="ENR966"/>
    <x v="1"/>
    <x v="0"/>
    <n v="4"/>
    <s v="Computer Science and Engineering"/>
    <x v="4"/>
    <n v="169000"/>
    <n v="154000"/>
    <n v="15000"/>
    <n v="0"/>
    <x v="0"/>
    <x v="0"/>
    <x v="8"/>
    <x v="7"/>
    <s v="India"/>
    <s v="hsampath@example.net"/>
    <n v="919622000000"/>
    <x v="1"/>
    <n v="60"/>
    <n v="75"/>
    <s v="AC"/>
    <x v="1553"/>
    <d v="2006-05-26T00:00:00"/>
    <n v="-14.8210262828535"/>
    <x v="4"/>
    <n v="676000"/>
    <n v="736000"/>
  </r>
  <r>
    <s v="Stuvan Yogi"/>
    <s v="STU453"/>
    <s v="ENR453"/>
    <x v="0"/>
    <x v="0"/>
    <n v="4"/>
    <s v="Computer Science and Engineering"/>
    <x v="3"/>
    <n v="169000"/>
    <n v="154000"/>
    <n v="15000"/>
    <n v="0"/>
    <x v="0"/>
    <x v="1"/>
    <x v="8"/>
    <x v="7"/>
    <s v="India"/>
    <s v="vedika94@example.net"/>
    <n v="918329000000"/>
    <x v="1"/>
    <n v="60"/>
    <n v="88"/>
    <s v="Non-AC"/>
    <x v="1554"/>
    <d v="2004-04-25T00:00:00"/>
    <n v="-14.8210262828535"/>
    <x v="3"/>
    <n v="676000"/>
    <n v="736000"/>
  </r>
  <r>
    <s v="Lakshay Wagle"/>
    <s v="STU033"/>
    <s v="ENR033"/>
    <x v="3"/>
    <x v="0"/>
    <n v="4"/>
    <s v="Computer Science and Engineering"/>
    <x v="2"/>
    <n v="169000"/>
    <n v="154000"/>
    <n v="15000"/>
    <n v="0"/>
    <x v="0"/>
    <x v="0"/>
    <x v="3"/>
    <x v="3"/>
    <s v="India"/>
    <s v="lakshay88@example.com"/>
    <n v="919013000000"/>
    <x v="4"/>
    <n v="60"/>
    <n v="75"/>
    <s v="Non-AC"/>
    <x v="1555"/>
    <d v="2004-12-17T00:00:00"/>
    <n v="-14.8210262828535"/>
    <x v="5"/>
    <n v="676000"/>
    <n v="736000"/>
  </r>
  <r>
    <s v="Parinaaz Dube"/>
    <s v="STU1013"/>
    <s v="ENR1013"/>
    <x v="5"/>
    <x v="0"/>
    <n v="4"/>
    <s v="Computer Science and Engineering"/>
    <x v="7"/>
    <n v="169000"/>
    <n v="154000"/>
    <n v="15000"/>
    <n v="0"/>
    <x v="0"/>
    <x v="1"/>
    <x v="4"/>
    <x v="4"/>
    <s v="India"/>
    <s v="vchadha@example.com"/>
    <n v="919950000000"/>
    <x v="3"/>
    <n v="60"/>
    <n v="85"/>
    <s v="AC"/>
    <x v="1556"/>
    <d v="2005-10-20T00:00:00"/>
    <n v="-14.8210262828535"/>
    <x v="4"/>
    <n v="676000"/>
    <n v="736000"/>
  </r>
  <r>
    <s v="Nirvaan Sehgal"/>
    <s v="STU183"/>
    <s v="ENR183"/>
    <x v="4"/>
    <x v="1"/>
    <n v="2"/>
    <s v="Computer Science Engineering"/>
    <x v="6"/>
    <n v="92000"/>
    <n v="77000"/>
    <n v="15000"/>
    <n v="0"/>
    <x v="0"/>
    <x v="2"/>
    <x v="1"/>
    <x v="1"/>
    <s v="India"/>
    <s v="dhruv78@example.com"/>
    <n v="917365000000"/>
    <x v="3"/>
    <n v="60"/>
    <n v="72"/>
    <s v="Non-AC"/>
    <x v="1557"/>
    <d v="1998-01-30T00:00:00"/>
    <n v="-14.8210262828535"/>
    <x v="9"/>
    <n v="184000"/>
    <n v="214000"/>
  </r>
  <r>
    <s v="Ivan Vohra"/>
    <s v="STU692"/>
    <s v="ENR692"/>
    <x v="5"/>
    <x v="0"/>
    <n v="4"/>
    <s v="Computer Science and Engineering"/>
    <x v="5"/>
    <n v="169000"/>
    <n v="154000"/>
    <n v="15000"/>
    <n v="0"/>
    <x v="0"/>
    <x v="2"/>
    <x v="6"/>
    <x v="3"/>
    <s v="India"/>
    <s v="khushi34@example.net"/>
    <n v="919380000000"/>
    <x v="3"/>
    <n v="60"/>
    <n v="84"/>
    <s v="AC"/>
    <x v="1558"/>
    <d v="2002-10-13T00:00:00"/>
    <n v="-14.8210262828535"/>
    <x v="2"/>
    <n v="676000"/>
    <n v="736000"/>
  </r>
  <r>
    <s v="Jivin Lata"/>
    <s v="STU219"/>
    <s v="ENR219"/>
    <x v="4"/>
    <x v="1"/>
    <n v="2"/>
    <s v="Computer Science Engineering"/>
    <x v="0"/>
    <n v="92000"/>
    <n v="77000"/>
    <n v="15000"/>
    <n v="0"/>
    <x v="0"/>
    <x v="0"/>
    <x v="6"/>
    <x v="3"/>
    <s v="India"/>
    <s v="latanitara@example.com"/>
    <n v="917339000000"/>
    <x v="4"/>
    <n v="60"/>
    <n v="67"/>
    <s v="AC"/>
    <x v="1559"/>
    <d v="1996-07-24T00:00:00"/>
    <n v="-14.8210262828535"/>
    <x v="8"/>
    <n v="184000"/>
    <n v="214000"/>
  </r>
  <r>
    <s v="Rhea Dewan"/>
    <s v="STU925"/>
    <s v="ENR925"/>
    <x v="3"/>
    <x v="0"/>
    <n v="4"/>
    <s v="Computer Science and Engineering"/>
    <x v="3"/>
    <n v="169000"/>
    <n v="154000"/>
    <n v="15000"/>
    <n v="0"/>
    <x v="0"/>
    <x v="2"/>
    <x v="5"/>
    <x v="5"/>
    <s v="India"/>
    <s v="gghose@example.org"/>
    <n v="918338000000"/>
    <x v="4"/>
    <n v="60"/>
    <n v="90"/>
    <s v="Non-AC"/>
    <x v="1560"/>
    <d v="2006-06-08T00:00:00"/>
    <n v="-14.8210262828535"/>
    <x v="4"/>
    <n v="676000"/>
    <n v="736000"/>
  </r>
  <r>
    <s v="Lakshay Dave"/>
    <s v="STU794"/>
    <s v="ENR794"/>
    <x v="5"/>
    <x v="0"/>
    <n v="4"/>
    <s v="Computer Science and Engineering"/>
    <x v="1"/>
    <n v="169000"/>
    <n v="154000"/>
    <n v="15000"/>
    <n v="0"/>
    <x v="0"/>
    <x v="1"/>
    <x v="9"/>
    <x v="8"/>
    <s v="India"/>
    <s v="mahallavanya@example.net"/>
    <n v="918487000000"/>
    <x v="2"/>
    <n v="60"/>
    <n v="61"/>
    <s v="AC"/>
    <x v="1561"/>
    <d v="2005-06-17T00:00:00"/>
    <n v="-14.8210262828535"/>
    <x v="5"/>
    <n v="676000"/>
    <n v="736000"/>
  </r>
  <r>
    <s v="Raghav Sathe"/>
    <s v="STU369"/>
    <s v="ENR369"/>
    <x v="2"/>
    <x v="1"/>
    <n v="2"/>
    <s v="Computer Science Engineering"/>
    <x v="4"/>
    <n v="92000"/>
    <n v="77000"/>
    <n v="15000"/>
    <n v="0"/>
    <x v="0"/>
    <x v="0"/>
    <x v="2"/>
    <x v="2"/>
    <s v="India"/>
    <s v="alisha51@example.org"/>
    <n v="917793000000"/>
    <x v="2"/>
    <n v="60"/>
    <n v="65"/>
    <s v="AC"/>
    <x v="1562"/>
    <d v="1999-12-28T00:00:00"/>
    <n v="-14.8210262828535"/>
    <x v="1"/>
    <n v="184000"/>
    <n v="214000"/>
  </r>
  <r>
    <s v="Jiya Sandal"/>
    <s v="STU211"/>
    <s v="ENR211"/>
    <x v="3"/>
    <x v="1"/>
    <n v="2"/>
    <s v="Computer Science Engineering"/>
    <x v="0"/>
    <n v="92000"/>
    <n v="77000"/>
    <n v="15000"/>
    <n v="0"/>
    <x v="0"/>
    <x v="0"/>
    <x v="9"/>
    <x v="8"/>
    <s v="India"/>
    <s v="ritvikmangat@example.com"/>
    <n v="918307000000"/>
    <x v="3"/>
    <n v="60"/>
    <n v="64"/>
    <s v="Non-AC"/>
    <x v="1563"/>
    <d v="2000-09-17T00:00:00"/>
    <n v="-14.8210262828535"/>
    <x v="0"/>
    <n v="184000"/>
    <n v="214000"/>
  </r>
  <r>
    <s v="Emir Sachdev"/>
    <s v="STU298"/>
    <s v="ENR298"/>
    <x v="2"/>
    <x v="0"/>
    <n v="4"/>
    <s v="Computer Science and Engineering"/>
    <x v="7"/>
    <n v="169000"/>
    <n v="154000"/>
    <n v="15000"/>
    <n v="0"/>
    <x v="0"/>
    <x v="2"/>
    <x v="4"/>
    <x v="4"/>
    <s v="India"/>
    <s v="hroy@example.org"/>
    <n v="919355000000"/>
    <x v="4"/>
    <n v="60"/>
    <n v="62"/>
    <s v="AC"/>
    <x v="1564"/>
    <d v="2003-12-04T00:00:00"/>
    <n v="-14.8210262828535"/>
    <x v="3"/>
    <n v="676000"/>
    <n v="736000"/>
  </r>
  <r>
    <s v="Saira Konda"/>
    <s v="STU1157"/>
    <s v="ENR1157"/>
    <x v="0"/>
    <x v="0"/>
    <n v="4"/>
    <s v="Computer Science and Engineering"/>
    <x v="0"/>
    <n v="169000"/>
    <n v="154000"/>
    <n v="15000"/>
    <n v="0"/>
    <x v="0"/>
    <x v="1"/>
    <x v="7"/>
    <x v="6"/>
    <s v="India"/>
    <s v="eshanisarma@example.org"/>
    <n v="918477000000"/>
    <x v="4"/>
    <n v="60"/>
    <n v="67"/>
    <s v="AC"/>
    <x v="1565"/>
    <d v="2004-11-30T00:00:00"/>
    <n v="-14.8210262828535"/>
    <x v="5"/>
    <n v="676000"/>
    <n v="736000"/>
  </r>
  <r>
    <s v="Yuvraj  Lala"/>
    <s v="STU142"/>
    <s v="ENR142"/>
    <x v="2"/>
    <x v="0"/>
    <n v="4"/>
    <s v="Computer Science and Engineering"/>
    <x v="5"/>
    <n v="169000"/>
    <n v="154000"/>
    <n v="15000"/>
    <n v="0"/>
    <x v="0"/>
    <x v="2"/>
    <x v="7"/>
    <x v="6"/>
    <s v="India"/>
    <s v="kartikwalia@example.net"/>
    <n v="917358000000"/>
    <x v="4"/>
    <n v="60"/>
    <n v="61"/>
    <s v="Non-AC"/>
    <x v="1566"/>
    <d v="2001-12-17T00:00:00"/>
    <n v="-14.8210262828535"/>
    <x v="6"/>
    <n v="676000"/>
    <n v="736000"/>
  </r>
  <r>
    <s v="Gokul Swamy"/>
    <s v="STU450"/>
    <s v="ENR450"/>
    <x v="1"/>
    <x v="1"/>
    <n v="2"/>
    <s v="Computer Science Engineering"/>
    <x v="0"/>
    <n v="92000"/>
    <n v="77000"/>
    <n v="15000"/>
    <n v="0"/>
    <x v="0"/>
    <x v="2"/>
    <x v="4"/>
    <x v="4"/>
    <s v="India"/>
    <s v="nirvaanchaudry@example.com"/>
    <n v="918103000000"/>
    <x v="0"/>
    <n v="60"/>
    <n v="91"/>
    <s v="AC"/>
    <x v="1567"/>
    <d v="2001-02-25T00:00:00"/>
    <n v="-14.8210262828535"/>
    <x v="0"/>
    <n v="184000"/>
    <n v="214000"/>
  </r>
  <r>
    <s v="Adah Raja"/>
    <s v="STU547"/>
    <s v="ENR547"/>
    <x v="0"/>
    <x v="0"/>
    <n v="4"/>
    <s v="Computer Science and Engineering"/>
    <x v="5"/>
    <n v="169000"/>
    <n v="154000"/>
    <n v="15000"/>
    <n v="0"/>
    <x v="0"/>
    <x v="0"/>
    <x v="8"/>
    <x v="7"/>
    <s v="India"/>
    <s v="lakshit37@example.com"/>
    <n v="917399000000"/>
    <x v="1"/>
    <n v="60"/>
    <n v="74"/>
    <s v="AC"/>
    <x v="1568"/>
    <d v="2004-11-11T00:00:00"/>
    <n v="-14.8210262828535"/>
    <x v="5"/>
    <n v="676000"/>
    <n v="736000"/>
  </r>
  <r>
    <s v="Aaryahi Ramakrishnan"/>
    <s v="STU476"/>
    <s v="ENR476"/>
    <x v="2"/>
    <x v="0"/>
    <n v="4"/>
    <s v="Computer Science and Engineering"/>
    <x v="2"/>
    <n v="169000"/>
    <n v="154000"/>
    <n v="15000"/>
    <n v="0"/>
    <x v="0"/>
    <x v="2"/>
    <x v="3"/>
    <x v="3"/>
    <s v="India"/>
    <s v="chaudhryriya@example.net"/>
    <n v="919900000000"/>
    <x v="4"/>
    <n v="60"/>
    <n v="68"/>
    <s v="Non-AC"/>
    <x v="1569"/>
    <d v="2001-12-24T00:00:00"/>
    <n v="-14.8210262828535"/>
    <x v="6"/>
    <n v="676000"/>
    <n v="736000"/>
  </r>
  <r>
    <s v="Alia Sarraf"/>
    <s v="STU165"/>
    <s v="ENR165"/>
    <x v="1"/>
    <x v="0"/>
    <n v="4"/>
    <s v="Computer Science and Engineering"/>
    <x v="9"/>
    <n v="169000"/>
    <n v="154000"/>
    <n v="15000"/>
    <n v="0"/>
    <x v="0"/>
    <x v="0"/>
    <x v="5"/>
    <x v="5"/>
    <s v="India"/>
    <s v="khushi68@example.com"/>
    <n v="919366000000"/>
    <x v="3"/>
    <n v="60"/>
    <n v="70"/>
    <s v="Non-AC"/>
    <x v="1570"/>
    <d v="2001-09-28T00:00:00"/>
    <n v="-14.8210262828535"/>
    <x v="6"/>
    <n v="676000"/>
    <n v="736000"/>
  </r>
  <r>
    <s v="Baiju Mall"/>
    <s v="STU566"/>
    <s v="ENR566"/>
    <x v="2"/>
    <x v="0"/>
    <n v="4"/>
    <s v="Computer Science and Engineering"/>
    <x v="0"/>
    <n v="169000"/>
    <n v="154000"/>
    <n v="15000"/>
    <n v="0"/>
    <x v="0"/>
    <x v="2"/>
    <x v="5"/>
    <x v="5"/>
    <s v="India"/>
    <s v="gchandran@example.net"/>
    <n v="919897000000"/>
    <x v="0"/>
    <n v="60"/>
    <n v="61"/>
    <s v="Non-AC"/>
    <x v="1571"/>
    <d v="2001-04-03T00:00:00"/>
    <n v="-14.8210262828535"/>
    <x v="0"/>
    <n v="676000"/>
    <n v="736000"/>
  </r>
  <r>
    <s v="Ivan Majumdar"/>
    <s v="STU1189"/>
    <s v="ENR1189"/>
    <x v="3"/>
    <x v="0"/>
    <n v="4"/>
    <s v="Computer Science and Engineering"/>
    <x v="9"/>
    <n v="169000"/>
    <n v="154000"/>
    <n v="15000"/>
    <n v="0"/>
    <x v="0"/>
    <x v="1"/>
    <x v="2"/>
    <x v="2"/>
    <s v="India"/>
    <s v="biradvik@example.org"/>
    <n v="917873000000"/>
    <x v="4"/>
    <n v="60"/>
    <n v="86"/>
    <s v="Non-AC"/>
    <x v="1572"/>
    <d v="2001-09-04T00:00:00"/>
    <n v="-14.8210262828535"/>
    <x v="6"/>
    <n v="676000"/>
    <n v="736000"/>
  </r>
  <r>
    <s v="Baiju Hora"/>
    <s v="STU790"/>
    <s v="ENR790"/>
    <x v="1"/>
    <x v="0"/>
    <n v="4"/>
    <s v="Computer Science and Engineering"/>
    <x v="1"/>
    <n v="169000"/>
    <n v="154000"/>
    <n v="15000"/>
    <n v="0"/>
    <x v="0"/>
    <x v="1"/>
    <x v="1"/>
    <x v="1"/>
    <s v="India"/>
    <s v="desaigokul@example.org"/>
    <n v="918332000000"/>
    <x v="2"/>
    <n v="60"/>
    <n v="60"/>
    <s v="Non-AC"/>
    <x v="1573"/>
    <d v="2005-10-25T00:00:00"/>
    <n v="-14.8210262828535"/>
    <x v="4"/>
    <n v="676000"/>
    <n v="736000"/>
  </r>
  <r>
    <s v="Aarna Gill"/>
    <s v="STU775"/>
    <s v="ENR775"/>
    <x v="2"/>
    <x v="0"/>
    <n v="4"/>
    <s v="Computer Science and Engineering"/>
    <x v="2"/>
    <n v="169000"/>
    <n v="154000"/>
    <n v="15000"/>
    <n v="0"/>
    <x v="0"/>
    <x v="0"/>
    <x v="5"/>
    <x v="5"/>
    <s v="India"/>
    <s v="amiradubey@example.org"/>
    <n v="918059000000"/>
    <x v="0"/>
    <n v="60"/>
    <n v="83"/>
    <s v="AC"/>
    <x v="1574"/>
    <d v="2002-02-04T00:00:00"/>
    <n v="-14.8210262828535"/>
    <x v="6"/>
    <n v="676000"/>
    <n v="736000"/>
  </r>
  <r>
    <s v="Shalv Mane"/>
    <s v="STU261"/>
    <s v="ENR261"/>
    <x v="5"/>
    <x v="0"/>
    <n v="4"/>
    <s v="Computer Science and Engineering"/>
    <x v="2"/>
    <n v="169000"/>
    <n v="154000"/>
    <n v="15000"/>
    <n v="0"/>
    <x v="0"/>
    <x v="2"/>
    <x v="0"/>
    <x v="0"/>
    <s v="India"/>
    <s v="mchana@example.net"/>
    <n v="917882000000"/>
    <x v="3"/>
    <n v="60"/>
    <n v="91"/>
    <s v="AC"/>
    <x v="1575"/>
    <d v="2002-08-14T00:00:00"/>
    <n v="-14.8210262828535"/>
    <x v="2"/>
    <n v="676000"/>
    <n v="736000"/>
  </r>
  <r>
    <s v="Zain Hans"/>
    <s v="STU312"/>
    <s v="ENR312"/>
    <x v="1"/>
    <x v="0"/>
    <n v="4"/>
    <s v="Computer Science and Engineering"/>
    <x v="4"/>
    <n v="169000"/>
    <n v="154000"/>
    <n v="15000"/>
    <n v="0"/>
    <x v="0"/>
    <x v="0"/>
    <x v="0"/>
    <x v="0"/>
    <s v="India"/>
    <s v="bhaminiwable@example.com"/>
    <n v="917409000000"/>
    <x v="3"/>
    <n v="60"/>
    <n v="76"/>
    <s v="Non-AC"/>
    <x v="1576"/>
    <d v="2002-07-03T00:00:00"/>
    <n v="-14.8210262828535"/>
    <x v="6"/>
    <n v="676000"/>
    <n v="736000"/>
  </r>
  <r>
    <s v="Himmat Amble"/>
    <s v="STU462"/>
    <s v="ENR462"/>
    <x v="4"/>
    <x v="1"/>
    <n v="2"/>
    <s v="Computer Science Engineering"/>
    <x v="5"/>
    <n v="92000"/>
    <n v="77000"/>
    <n v="15000"/>
    <n v="0"/>
    <x v="0"/>
    <x v="1"/>
    <x v="6"/>
    <x v="3"/>
    <s v="India"/>
    <s v="jayanchana@example.net"/>
    <n v="918481000000"/>
    <x v="2"/>
    <n v="60"/>
    <n v="76"/>
    <s v="Non-AC"/>
    <x v="1577"/>
    <d v="1996-09-25T00:00:00"/>
    <n v="-14.8210262828535"/>
    <x v="8"/>
    <n v="184000"/>
    <n v="214000"/>
  </r>
  <r>
    <s v="Hazel Sahota"/>
    <s v="STU118"/>
    <s v="ENR118"/>
    <x v="0"/>
    <x v="0"/>
    <n v="4"/>
    <s v="Computer Science and Engineering"/>
    <x v="5"/>
    <n v="169000"/>
    <n v="154000"/>
    <n v="15000"/>
    <n v="0"/>
    <x v="0"/>
    <x v="2"/>
    <x v="3"/>
    <x v="3"/>
    <s v="India"/>
    <s v="kabir19@example.org"/>
    <n v="919431000000"/>
    <x v="0"/>
    <n v="60"/>
    <n v="62"/>
    <s v="AC"/>
    <x v="1578"/>
    <d v="2003-12-28T00:00:00"/>
    <n v="-14.8210262828535"/>
    <x v="3"/>
    <n v="676000"/>
    <n v="736000"/>
  </r>
  <r>
    <s v="Badal Chandra"/>
    <s v="STU671"/>
    <s v="ENR671"/>
    <x v="4"/>
    <x v="0"/>
    <n v="4"/>
    <s v="Computer Science and Engineering"/>
    <x v="6"/>
    <n v="169000"/>
    <n v="154000"/>
    <n v="15000"/>
    <n v="0"/>
    <x v="0"/>
    <x v="1"/>
    <x v="5"/>
    <x v="5"/>
    <s v="India"/>
    <s v="dashsamarth@example.com"/>
    <n v="918859000000"/>
    <x v="2"/>
    <n v="60"/>
    <n v="87"/>
    <s v="Non-AC"/>
    <x v="1579"/>
    <d v="2002-06-29T00:00:00"/>
    <n v="-14.8210262828535"/>
    <x v="6"/>
    <n v="676000"/>
    <n v="736000"/>
  </r>
  <r>
    <s v="Nehmat Bera"/>
    <s v="STU860"/>
    <s v="ENR860"/>
    <x v="5"/>
    <x v="0"/>
    <n v="4"/>
    <s v="Computer Science and Engineering"/>
    <x v="0"/>
    <n v="169000"/>
    <n v="154000"/>
    <n v="15000"/>
    <n v="0"/>
    <x v="0"/>
    <x v="1"/>
    <x v="5"/>
    <x v="5"/>
    <s v="India"/>
    <s v="hrishitavala@example.com"/>
    <n v="918837000000"/>
    <x v="0"/>
    <n v="60"/>
    <n v="77"/>
    <s v="AC"/>
    <x v="1580"/>
    <d v="2005-12-15T00:00:00"/>
    <n v="-14.8210262828535"/>
    <x v="4"/>
    <n v="676000"/>
    <n v="736000"/>
  </r>
  <r>
    <s v="Amira Halder"/>
    <s v="STU362"/>
    <s v="ENR362"/>
    <x v="4"/>
    <x v="1"/>
    <n v="2"/>
    <s v="Computer Science Engineering"/>
    <x v="6"/>
    <n v="92000"/>
    <n v="77000"/>
    <n v="15000"/>
    <n v="0"/>
    <x v="0"/>
    <x v="1"/>
    <x v="0"/>
    <x v="0"/>
    <s v="India"/>
    <s v="neysagupta@example.com"/>
    <n v="918153000000"/>
    <x v="4"/>
    <n v="60"/>
    <n v="88"/>
    <s v="Non-AC"/>
    <x v="1581"/>
    <d v="1998-07-11T00:00:00"/>
    <n v="-14.8210262828535"/>
    <x v="7"/>
    <n v="184000"/>
    <n v="214000"/>
  </r>
  <r>
    <s v="Badal Shankar"/>
    <s v="STU863"/>
    <s v="ENR863"/>
    <x v="2"/>
    <x v="0"/>
    <n v="4"/>
    <s v="Computer Science and Engineering"/>
    <x v="4"/>
    <n v="169000"/>
    <n v="154000"/>
    <n v="15000"/>
    <n v="0"/>
    <x v="0"/>
    <x v="0"/>
    <x v="4"/>
    <x v="4"/>
    <s v="India"/>
    <s v="blad@example.org"/>
    <n v="918646000000"/>
    <x v="1"/>
    <n v="60"/>
    <n v="80"/>
    <s v="Non-AC"/>
    <x v="1582"/>
    <d v="2003-04-23T00:00:00"/>
    <n v="-14.8210262828535"/>
    <x v="2"/>
    <n v="676000"/>
    <n v="736000"/>
  </r>
  <r>
    <s v="Trisha Jain"/>
    <s v="STU098"/>
    <s v="ENR098"/>
    <x v="1"/>
    <x v="0"/>
    <n v="4"/>
    <s v="Computer Science and Engineering"/>
    <x v="0"/>
    <n v="169000"/>
    <n v="154000"/>
    <n v="15000"/>
    <n v="0"/>
    <x v="0"/>
    <x v="1"/>
    <x v="8"/>
    <x v="7"/>
    <s v="India"/>
    <s v="aarav97@example.net"/>
    <n v="919654000000"/>
    <x v="0"/>
    <n v="60"/>
    <n v="66"/>
    <s v="Non-AC"/>
    <x v="1583"/>
    <d v="2005-06-17T00:00:00"/>
    <n v="-14.8210262828535"/>
    <x v="5"/>
    <n v="676000"/>
    <n v="736000"/>
  </r>
  <r>
    <s v="Stuvan Lad"/>
    <s v="STU471"/>
    <s v="ENR471"/>
    <x v="3"/>
    <x v="1"/>
    <n v="2"/>
    <s v="Computer Science Engineering"/>
    <x v="3"/>
    <n v="92000"/>
    <n v="77000"/>
    <n v="15000"/>
    <n v="0"/>
    <x v="0"/>
    <x v="2"/>
    <x v="0"/>
    <x v="0"/>
    <s v="India"/>
    <s v="boraseher@example.org"/>
    <n v="917549000000"/>
    <x v="4"/>
    <n v="60"/>
    <n v="64"/>
    <s v="Non-AC"/>
    <x v="1584"/>
    <d v="2001-05-30T00:00:00"/>
    <n v="-14.8210262828535"/>
    <x v="0"/>
    <n v="184000"/>
    <n v="214000"/>
  </r>
  <r>
    <s v="Vidur Khanna"/>
    <s v="STU508"/>
    <s v="ENR508"/>
    <x v="2"/>
    <x v="0"/>
    <n v="4"/>
    <s v="Computer Science and Engineering"/>
    <x v="0"/>
    <n v="169000"/>
    <n v="154000"/>
    <n v="15000"/>
    <n v="0"/>
    <x v="0"/>
    <x v="2"/>
    <x v="2"/>
    <x v="2"/>
    <s v="India"/>
    <s v="manjari85@example.com"/>
    <n v="918859000000"/>
    <x v="0"/>
    <n v="60"/>
    <n v="60"/>
    <s v="Non-AC"/>
    <x v="1585"/>
    <d v="2005-09-25T00:00:00"/>
    <n v="-14.8210262828535"/>
    <x v="4"/>
    <n v="676000"/>
    <n v="736000"/>
  </r>
  <r>
    <s v="Romil Sethi"/>
    <s v="STU275"/>
    <s v="ENR275"/>
    <x v="1"/>
    <x v="1"/>
    <n v="2"/>
    <s v="Computer Science Engineering"/>
    <x v="4"/>
    <n v="92000"/>
    <n v="77000"/>
    <n v="15000"/>
    <n v="0"/>
    <x v="0"/>
    <x v="1"/>
    <x v="6"/>
    <x v="3"/>
    <s v="India"/>
    <s v="madhupdyal@example.com"/>
    <n v="917942000000"/>
    <x v="3"/>
    <n v="60"/>
    <n v="89"/>
    <s v="AC"/>
    <x v="1586"/>
    <d v="1997-08-08T00:00:00"/>
    <n v="-14.8210262828535"/>
    <x v="9"/>
    <n v="184000"/>
    <n v="214000"/>
  </r>
  <r>
    <s v="Anaya Amble"/>
    <s v="STU160"/>
    <s v="ENR160"/>
    <x v="2"/>
    <x v="1"/>
    <n v="2"/>
    <s v="Computer Science Engineering"/>
    <x v="3"/>
    <n v="92000"/>
    <n v="77000"/>
    <n v="15000"/>
    <n v="0"/>
    <x v="0"/>
    <x v="2"/>
    <x v="8"/>
    <x v="7"/>
    <s v="India"/>
    <s v="loyalyasmin@example.com"/>
    <n v="919625000000"/>
    <x v="0"/>
    <n v="60"/>
    <n v="80"/>
    <s v="Non-AC"/>
    <x v="1587"/>
    <d v="1998-04-01T00:00:00"/>
    <n v="-14.8210262828535"/>
    <x v="9"/>
    <n v="184000"/>
    <n v="214000"/>
  </r>
  <r>
    <s v="Vardaniya Kurian"/>
    <s v="STU1126"/>
    <s v="ENR1126"/>
    <x v="4"/>
    <x v="0"/>
    <n v="4"/>
    <s v="Computer Science and Engineering"/>
    <x v="6"/>
    <n v="169000"/>
    <n v="154000"/>
    <n v="15000"/>
    <n v="0"/>
    <x v="0"/>
    <x v="2"/>
    <x v="8"/>
    <x v="7"/>
    <s v="India"/>
    <s v="kbanerjee@example.net"/>
    <n v="919034000000"/>
    <x v="0"/>
    <n v="60"/>
    <n v="62"/>
    <s v="AC"/>
    <x v="1588"/>
    <d v="2004-07-27T00:00:00"/>
    <n v="-14.8210262828535"/>
    <x v="5"/>
    <n v="676000"/>
    <n v="736000"/>
  </r>
  <r>
    <s v="Priyansh Srivastava"/>
    <s v="STU075"/>
    <s v="ENR075"/>
    <x v="5"/>
    <x v="0"/>
    <n v="4"/>
    <s v="Computer Science and Engineering"/>
    <x v="5"/>
    <n v="169000"/>
    <n v="154000"/>
    <n v="15000"/>
    <n v="0"/>
    <x v="0"/>
    <x v="2"/>
    <x v="8"/>
    <x v="7"/>
    <s v="India"/>
    <s v="mchatterjee@example.com"/>
    <n v="918693000000"/>
    <x v="3"/>
    <n v="60"/>
    <n v="70"/>
    <s v="Non-AC"/>
    <x v="1589"/>
    <d v="2000-09-17T00:00:00"/>
    <n v="-14.8210262828535"/>
    <x v="0"/>
    <n v="676000"/>
    <n v="736000"/>
  </r>
  <r>
    <s v="Prerak Khosla"/>
    <s v="STU071"/>
    <s v="ENR071"/>
    <x v="2"/>
    <x v="0"/>
    <n v="4"/>
    <s v="Computer Science and Engineering"/>
    <x v="7"/>
    <n v="169000"/>
    <n v="154000"/>
    <n v="15000"/>
    <n v="0"/>
    <x v="0"/>
    <x v="1"/>
    <x v="3"/>
    <x v="3"/>
    <s v="India"/>
    <s v="singhhansh@example.com"/>
    <n v="918865000000"/>
    <x v="3"/>
    <n v="60"/>
    <n v="88"/>
    <s v="AC"/>
    <x v="1590"/>
    <d v="2001-11-05T00:00:00"/>
    <n v="-14.8210262828535"/>
    <x v="6"/>
    <n v="676000"/>
    <n v="736000"/>
  </r>
  <r>
    <s v="Saira Bobal"/>
    <s v="STU1111"/>
    <s v="ENR1111"/>
    <x v="1"/>
    <x v="0"/>
    <n v="4"/>
    <s v="Computer Science and Engineering"/>
    <x v="6"/>
    <n v="169000"/>
    <n v="154000"/>
    <n v="15000"/>
    <n v="0"/>
    <x v="0"/>
    <x v="1"/>
    <x v="2"/>
    <x v="2"/>
    <s v="India"/>
    <s v="jhapiya@example.com"/>
    <n v="918441000000"/>
    <x v="0"/>
    <n v="60"/>
    <n v="84"/>
    <s v="AC"/>
    <x v="1591"/>
    <d v="2003-05-26T00:00:00"/>
    <n v="-14.8210262828535"/>
    <x v="2"/>
    <n v="676000"/>
    <n v="736000"/>
  </r>
  <r>
    <s v="Sumer Shere"/>
    <s v="STU335"/>
    <s v="ENR335"/>
    <x v="0"/>
    <x v="0"/>
    <n v="4"/>
    <s v="Computer Science and Engineering"/>
    <x v="2"/>
    <n v="169000"/>
    <n v="154000"/>
    <n v="15000"/>
    <n v="0"/>
    <x v="0"/>
    <x v="2"/>
    <x v="4"/>
    <x v="4"/>
    <s v="India"/>
    <s v="rashabora@example.org"/>
    <n v="917707000000"/>
    <x v="3"/>
    <n v="60"/>
    <n v="76"/>
    <s v="Non-AC"/>
    <x v="1592"/>
    <d v="2004-12-22T00:00:00"/>
    <n v="-14.8210262828535"/>
    <x v="5"/>
    <n v="676000"/>
    <n v="736000"/>
  </r>
  <r>
    <s v="Anaya Babu"/>
    <s v="STU224"/>
    <s v="ENR224"/>
    <x v="4"/>
    <x v="0"/>
    <n v="4"/>
    <s v="Computer Science and Engineering"/>
    <x v="3"/>
    <n v="169000"/>
    <n v="154000"/>
    <n v="15000"/>
    <n v="0"/>
    <x v="0"/>
    <x v="2"/>
    <x v="4"/>
    <x v="4"/>
    <s v="India"/>
    <s v="shray27@example.org"/>
    <n v="917508000000"/>
    <x v="0"/>
    <n v="60"/>
    <n v="76"/>
    <s v="AC"/>
    <x v="1593"/>
    <d v="2005-03-09T00:00:00"/>
    <n v="-14.8210262828535"/>
    <x v="5"/>
    <n v="676000"/>
    <n v="73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22" rowHeaderCaption="Year">
  <location ref="E39:F44" firstHeaderRow="1" firstDataRow="1" firstDataCol="1"/>
  <pivotFields count="29">
    <pivotField compact="0" showAll="0"/>
    <pivotField dataField="1" compact="0" showAll="0"/>
    <pivotField compact="0" showAll="0"/>
    <pivotField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axis="axisRow" compact="0" showAll="0">
      <items count="6">
        <item x="1"/>
        <item x="2"/>
        <item x="3"/>
        <item x="0"/>
        <item x="4"/>
        <item t="default"/>
      </items>
    </pivotField>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9"/>
  </rowFields>
  <rowItems count="5">
    <i>
      <x/>
    </i>
    <i>
      <x v="1"/>
    </i>
    <i>
      <x v="2"/>
    </i>
    <i>
      <x v="3"/>
    </i>
    <i>
      <x v="4"/>
    </i>
  </rowItems>
  <colItems count="1">
    <i/>
  </colItems>
  <dataFields count="1">
    <dataField name="total_transactions" fld="1" subtotal="count" baseField="19" baseItem="0"/>
  </dataFields>
  <chartFormats count="18">
    <chartFormat chart="8" format="1" series="1">
      <pivotArea type="data" outline="0" fieldPosition="0">
        <references count="1">
          <reference field="4294967294" count="1" selected="0">
            <x v="0"/>
          </reference>
        </references>
      </pivotArea>
    </chartFormat>
    <chartFormat chart="8" format="2">
      <pivotArea type="data" outline="0" fieldPosition="0">
        <references count="2">
          <reference field="4294967294" count="1" selected="0">
            <x v="0"/>
          </reference>
          <reference field="19" count="1" selected="0">
            <x v="0"/>
          </reference>
        </references>
      </pivotArea>
    </chartFormat>
    <chartFormat chart="8" format="3">
      <pivotArea type="data" outline="0" fieldPosition="0">
        <references count="2">
          <reference field="4294967294" count="1" selected="0">
            <x v="0"/>
          </reference>
          <reference field="19" count="1" selected="0">
            <x v="1"/>
          </reference>
        </references>
      </pivotArea>
    </chartFormat>
    <chartFormat chart="8" format="4">
      <pivotArea type="data" outline="0" fieldPosition="0">
        <references count="2">
          <reference field="4294967294" count="1" selected="0">
            <x v="0"/>
          </reference>
          <reference field="19" count="1" selected="0">
            <x v="2"/>
          </reference>
        </references>
      </pivotArea>
    </chartFormat>
    <chartFormat chart="8" format="5">
      <pivotArea type="data" outline="0" fieldPosition="0">
        <references count="2">
          <reference field="4294967294" count="1" selected="0">
            <x v="0"/>
          </reference>
          <reference field="19" count="1" selected="0">
            <x v="3"/>
          </reference>
        </references>
      </pivotArea>
    </chartFormat>
    <chartFormat chart="8" format="6">
      <pivotArea type="data" outline="0" fieldPosition="0">
        <references count="2">
          <reference field="4294967294" count="1" selected="0">
            <x v="0"/>
          </reference>
          <reference field="19" count="1" selected="0">
            <x v="4"/>
          </reference>
        </references>
      </pivotArea>
    </chartFormat>
    <chartFormat chart="10" format="7" series="1">
      <pivotArea type="data" outline="0" fieldPosition="0">
        <references count="1">
          <reference field="4294967294" count="1" selected="0">
            <x v="0"/>
          </reference>
        </references>
      </pivotArea>
    </chartFormat>
    <chartFormat chart="10" format="8">
      <pivotArea type="data" outline="0" fieldPosition="0">
        <references count="2">
          <reference field="4294967294" count="1" selected="0">
            <x v="0"/>
          </reference>
          <reference field="19" count="1" selected="0">
            <x v="0"/>
          </reference>
        </references>
      </pivotArea>
    </chartFormat>
    <chartFormat chart="10" format="9">
      <pivotArea type="data" outline="0" fieldPosition="0">
        <references count="2">
          <reference field="4294967294" count="1" selected="0">
            <x v="0"/>
          </reference>
          <reference field="19" count="1" selected="0">
            <x v="1"/>
          </reference>
        </references>
      </pivotArea>
    </chartFormat>
    <chartFormat chart="10" format="10">
      <pivotArea type="data" outline="0" fieldPosition="0">
        <references count="2">
          <reference field="4294967294" count="1" selected="0">
            <x v="0"/>
          </reference>
          <reference field="19" count="1" selected="0">
            <x v="2"/>
          </reference>
        </references>
      </pivotArea>
    </chartFormat>
    <chartFormat chart="10" format="11">
      <pivotArea type="data" outline="0" fieldPosition="0">
        <references count="2">
          <reference field="4294967294" count="1" selected="0">
            <x v="0"/>
          </reference>
          <reference field="19" count="1" selected="0">
            <x v="3"/>
          </reference>
        </references>
      </pivotArea>
    </chartFormat>
    <chartFormat chart="10" format="12">
      <pivotArea type="data" outline="0" fieldPosition="0">
        <references count="2">
          <reference field="4294967294" count="1" selected="0">
            <x v="0"/>
          </reference>
          <reference field="19" count="1" selected="0">
            <x v="4"/>
          </reference>
        </references>
      </pivotArea>
    </chartFormat>
    <chartFormat chart="20" format="15" series="1">
      <pivotArea type="data" outline="0" fieldPosition="0">
        <references count="1">
          <reference field="4294967294" count="1" selected="0">
            <x v="0"/>
          </reference>
        </references>
      </pivotArea>
    </chartFormat>
    <chartFormat chart="20" format="16">
      <pivotArea type="data" outline="0" fieldPosition="0">
        <references count="2">
          <reference field="4294967294" count="1" selected="0">
            <x v="0"/>
          </reference>
          <reference field="19" count="1" selected="0">
            <x v="4"/>
          </reference>
        </references>
      </pivotArea>
    </chartFormat>
    <chartFormat chart="20" format="17">
      <pivotArea type="data" outline="0" fieldPosition="0">
        <references count="2">
          <reference field="4294967294" count="1" selected="0">
            <x v="0"/>
          </reference>
          <reference field="19" count="1" selected="0">
            <x v="3"/>
          </reference>
        </references>
      </pivotArea>
    </chartFormat>
    <chartFormat chart="20" format="18">
      <pivotArea type="data" outline="0" fieldPosition="0">
        <references count="2">
          <reference field="4294967294" count="1" selected="0">
            <x v="0"/>
          </reference>
          <reference field="19" count="1" selected="0">
            <x v="0"/>
          </reference>
        </references>
      </pivotArea>
    </chartFormat>
    <chartFormat chart="20" format="19">
      <pivotArea type="data" outline="0" fieldPosition="0">
        <references count="2">
          <reference field="4294967294" count="1" selected="0">
            <x v="0"/>
          </reference>
          <reference field="19" count="1" selected="0">
            <x v="1"/>
          </reference>
        </references>
      </pivotArea>
    </chartFormat>
    <chartFormat chart="20" format="20">
      <pivotArea type="data" outline="0" fieldPosition="0">
        <references count="2">
          <reference field="4294967294" count="1" selected="0">
            <x v="0"/>
          </reference>
          <reference field="19" count="1" selected="0">
            <x v="2"/>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11" rowHeaderCaption="Year">
  <location ref="A36:C42" firstHeaderRow="0" firstDataRow="1" firstDataCol="1"/>
  <pivotFields count="29">
    <pivotField compact="0" showAll="0"/>
    <pivotField compact="0" showAll="0"/>
    <pivotField compact="0" showAll="0"/>
    <pivotField axis="axisRow"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dataField="1" compact="0" showAll="0"/>
    <pivotField dataField="1" compact="0" showAll="0"/>
    <pivotField compact="0" showAll="0"/>
    <pivotField compact="0" showAll="0"/>
    <pivotField compact="0" numFmtId="14" showAll="0"/>
    <pivotField compact="0" showAll="0"/>
    <pivotField compact="0" showAll="0"/>
    <pivotField compact="0" showAll="0"/>
    <pivotField compact="0" showAll="0"/>
  </pivotFields>
  <rowFields count="1">
    <field x="3"/>
  </rowFields>
  <rowItems count="6">
    <i>
      <x/>
    </i>
    <i>
      <x v="1"/>
    </i>
    <i>
      <x v="2"/>
    </i>
    <i>
      <x v="3"/>
    </i>
    <i>
      <x v="4"/>
    </i>
    <i>
      <x v="5"/>
    </i>
  </rowItems>
  <colFields count="1">
    <field x="-2"/>
  </colFields>
  <colItems count="2">
    <i>
      <x/>
    </i>
    <i i="1">
      <x v="1"/>
    </i>
  </colItems>
  <dataFields count="2">
    <dataField name="Average of 12th Percentage" fld="20" subtotal="average" baseField="20" baseItem="0"/>
    <dataField name="Average of 10th Percentage" fld="21" subtotal="average" baseField="20" baseItem="0"/>
  </dataFields>
  <chartFormats count="3">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7" format="6">
      <pivotArea type="data" outline="0" fieldPosition="0">
        <references count="2">
          <reference field="4294967294" count="1" selected="0">
            <x v="0"/>
          </reference>
          <reference field="3" count="1" selected="0">
            <x v="2"/>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4" rowHeaderCaption="Year">
  <location ref="A10:B16" firstHeaderRow="1" firstDataRow="1" firstDataCol="1"/>
  <pivotFields count="29">
    <pivotField compact="0" showAll="0"/>
    <pivotField dataField="1" compact="0" showAll="0"/>
    <pivotField compact="0" showAll="0"/>
    <pivotField axis="axisRow"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3"/>
  </rowFields>
  <rowItems count="6">
    <i>
      <x/>
    </i>
    <i>
      <x v="1"/>
    </i>
    <i>
      <x v="2"/>
    </i>
    <i>
      <x v="3"/>
    </i>
    <i>
      <x v="4"/>
    </i>
    <i>
      <x v="5"/>
    </i>
  </rowItems>
  <colItems count="1">
    <i/>
  </colItems>
  <dataFields count="1">
    <dataField name="No_of_Students_enrolled" fld="1"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10" rowHeaderCaption="Year">
  <location ref="D26:E35" firstHeaderRow="1" firstDataRow="1" firstDataCol="1" rowPageCount="1" colPageCount="1"/>
  <pivotFields count="29">
    <pivotField compact="0" showAll="0"/>
    <pivotField dataField="1" compact="0" showAll="0"/>
    <pivotField compact="0" showAll="0"/>
    <pivotField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Page" compact="0" showAll="0">
      <items count="11">
        <item x="1"/>
        <item x="5"/>
        <item x="7"/>
        <item x="2"/>
        <item x="0"/>
        <item x="9"/>
        <item x="4"/>
        <item x="8"/>
        <item x="6"/>
        <item x="3"/>
        <item t="default"/>
      </items>
    </pivotField>
    <pivotField axis="axisRow" compact="0" showAll="0">
      <items count="10">
        <item x="2"/>
        <item x="1"/>
        <item x="5"/>
        <item x="3"/>
        <item x="8"/>
        <item x="6"/>
        <item x="0"/>
        <item x="7"/>
        <item x="4"/>
        <item t="default"/>
      </items>
    </pivotField>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5"/>
  </rowFields>
  <rowItems count="9">
    <i>
      <x/>
    </i>
    <i>
      <x v="1"/>
    </i>
    <i>
      <x v="2"/>
    </i>
    <i>
      <x v="3"/>
    </i>
    <i>
      <x v="4"/>
    </i>
    <i>
      <x v="5"/>
    </i>
    <i>
      <x v="6"/>
    </i>
    <i>
      <x v="7"/>
    </i>
    <i>
      <x v="8"/>
    </i>
  </rowItems>
  <colItems count="1">
    <i/>
  </colItems>
  <pageFields count="1">
    <pageField fld="14" hier="-1"/>
  </pageFields>
  <dataFields count="1">
    <dataField name="Total_admissions" fld="1" subtotal="count" baseField="15" baseItem="0"/>
  </dataFields>
  <chartFormats count="2">
    <chartFormat chart="1"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4" rowHeaderCaption="Year">
  <location ref="G24:H27" firstHeaderRow="1" firstDataRow="1" firstDataCol="1"/>
  <pivotFields count="29">
    <pivotField compact="0" showAll="0"/>
    <pivotField dataField="1" compact="0" showAll="0"/>
    <pivotField compact="0" showAll="0"/>
    <pivotField compact="0" showAll="0">
      <items count="7">
        <item h="1" x="1"/>
        <item h="1" x="0"/>
        <item h="1" x="2"/>
        <item h="1" x="3"/>
        <item x="4"/>
        <item h="1"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4">
        <item x="0"/>
        <item x="2"/>
        <item x="1"/>
        <item t="default"/>
      </items>
    </pivotField>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3"/>
  </rowFields>
  <rowItems count="3">
    <i>
      <x/>
    </i>
    <i>
      <x v="1"/>
    </i>
    <i>
      <x v="2"/>
    </i>
  </rowItems>
  <colItems count="1">
    <i/>
  </colItems>
  <dataFields count="1">
    <dataField name="total" fld="1" subtotal="count" baseField="13" baseItem="0"/>
  </dataFields>
  <chartFormats count="4">
    <chartFormat chart="3" format="9">
      <pivotArea type="data" outline="0" fieldPosition="0">
        <references count="2">
          <reference field="4294967294" count="1" selected="0">
            <x v="0"/>
          </reference>
          <reference field="13" count="1" selected="0">
            <x v="0"/>
          </reference>
        </references>
      </pivotArea>
    </chartFormat>
    <chartFormat chart="3" format="10">
      <pivotArea type="data" outline="0" fieldPosition="0">
        <references count="2">
          <reference field="4294967294" count="1" selected="0">
            <x v="0"/>
          </reference>
          <reference field="13" count="1" selected="0">
            <x v="1"/>
          </reference>
        </references>
      </pivotArea>
    </chartFormat>
    <chartFormat chart="3" format="11">
      <pivotArea type="data" outline="0" fieldPosition="0">
        <references count="2">
          <reference field="4294967294" count="1" selected="0">
            <x v="0"/>
          </reference>
          <reference field="13" count="1" selected="0">
            <x v="2"/>
          </reference>
        </references>
      </pivotArea>
    </chartFormat>
    <chartFormat chart="3" format="1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5" rowHeaderCaption="Year">
  <location ref="D10:F21" firstHeaderRow="1" firstDataRow="2" firstDataCol="1"/>
  <pivotFields count="29">
    <pivotField compact="0" showAll="0"/>
    <pivotField compact="0" showAll="0"/>
    <pivotField compact="0" showAll="0"/>
    <pivotField compact="0" showAll="0">
      <items count="7">
        <item x="1"/>
        <item x="0"/>
        <item x="2"/>
        <item x="3"/>
        <item x="4"/>
        <item x="5"/>
        <item t="default"/>
      </items>
    </pivotField>
    <pivotField axis="axisCol" compact="0" showAll="0">
      <items count="3">
        <item x="0"/>
        <item x="1"/>
        <item t="default"/>
      </items>
    </pivotField>
    <pivotField compact="0" showAll="0"/>
    <pivotField compact="0" showAll="0"/>
    <pivotField axis="axisRow" dataField="1" compact="0" showAll="0">
      <items count="11">
        <item x="0"/>
        <item x="1"/>
        <item x="5"/>
        <item x="2"/>
        <item x="3"/>
        <item x="4"/>
        <item x="9"/>
        <item x="8"/>
        <item x="7"/>
        <item x="6"/>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7"/>
  </rowFields>
  <rowItems count="10">
    <i>
      <x/>
    </i>
    <i>
      <x v="1"/>
    </i>
    <i>
      <x v="2"/>
    </i>
    <i>
      <x v="3"/>
    </i>
    <i>
      <x v="4"/>
    </i>
    <i>
      <x v="5"/>
    </i>
    <i>
      <x v="6"/>
    </i>
    <i>
      <x v="7"/>
    </i>
    <i>
      <x v="8"/>
    </i>
    <i>
      <x v="9"/>
    </i>
  </rowItems>
  <colFields count="1">
    <field x="4"/>
  </colFields>
  <colItems count="2">
    <i>
      <x/>
    </i>
    <i>
      <x v="1"/>
    </i>
  </colItems>
  <dataFields count="1">
    <dataField name="Count of Specialization" fld="7" subtotal="count" baseField="0" baseItem="0"/>
  </dataFields>
  <chartFormats count="2">
    <chartFormat chart="3" format="6" series="1">
      <pivotArea type="data" outline="0" fieldPosition="0">
        <references count="2">
          <reference field="4294967294" count="1" selected="0">
            <x v="0"/>
          </reference>
          <reference field="4" count="1" selected="0">
            <x v="0"/>
          </reference>
        </references>
      </pivotArea>
    </chartFormat>
    <chartFormat chart="3" format="7" series="1">
      <pivotArea type="data" outline="0" fieldPosition="0">
        <references count="2">
          <reference field="4294967294" count="1" selected="0">
            <x v="0"/>
          </reference>
          <reference field="4" count="1" selected="0">
            <x v="1"/>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6" rowHeaderCaption="Year">
  <location ref="A27:B32" firstHeaderRow="1" firstDataRow="1" firstDataCol="1"/>
  <pivotFields count="29">
    <pivotField compact="0" showAll="0"/>
    <pivotField dataField="1" compact="0" showAll="0"/>
    <pivotField compact="0" showAll="0"/>
    <pivotField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axis="axisRow" compact="0" showAll="0">
      <items count="8">
        <item x="0"/>
        <item x="1"/>
        <item x="2"/>
        <item x="3"/>
        <item x="4"/>
        <item x="5"/>
        <item x="6"/>
        <item t="default"/>
      </items>
    </pivotField>
    <pivotField compact="0" showAll="0"/>
    <pivotField compact="0" showAll="0"/>
  </pivotFields>
  <rowFields count="1">
    <field x="26"/>
  </rowFields>
  <rowItems count="5">
    <i>
      <x v="1"/>
    </i>
    <i>
      <x v="2"/>
    </i>
    <i>
      <x v="3"/>
    </i>
    <i>
      <x v="4"/>
    </i>
    <i>
      <x v="5"/>
    </i>
  </rowItems>
  <colItems count="1">
    <i/>
  </colItems>
  <dataFields count="1">
    <dataField name="Count" fld="1" subtotal="count" baseField="26" baseItem="0"/>
  </dataFields>
  <chartFormats count="3">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outline="1" outlineData="1" compactData="0" chartFormat="4" rowHeaderCaption="Year">
  <location ref="A22:B24" firstHeaderRow="1" firstDataRow="1" firstDataCol="1"/>
  <pivotFields count="29">
    <pivotField compact="0" showAll="0"/>
    <pivotField dataField="1" compact="0" showAll="0"/>
    <pivotField compact="0" showAll="0"/>
    <pivotField compact="0" showAll="0">
      <items count="7">
        <item x="1"/>
        <item x="0"/>
        <item x="2"/>
        <item x="3"/>
        <item x="4"/>
        <item x="5"/>
        <item t="default"/>
      </items>
    </pivotField>
    <pivotField axis="axisRow" subtotalTop="0" showAll="0">
      <items count="3">
        <item x="0"/>
        <item x="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4"/>
  </rowFields>
  <rowItems count="2">
    <i>
      <x/>
    </i>
    <i>
      <x v="1"/>
    </i>
  </rowItems>
  <colItems count="1">
    <i/>
  </colItems>
  <dataFields count="1">
    <dataField name="total_admissions" fld="1" subtotal="count" baseField="4" baseItem="0"/>
  </dataFields>
  <chartFormats count="1">
    <chartFormat chart="2" format="6" series="1">
      <pivotArea type="data" outline="0" fieldPosition="0">
        <references count="1">
          <reference field="4294967294" count="1" selected="0">
            <x v="0"/>
          </reference>
        </references>
      </pivotArea>
    </chartFormat>
  </chartFormat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rowHeaderCaption="Year">
  <location ref="H39:I46" firstHeaderRow="1" firstDataRow="1" firstDataCol="1"/>
  <pivotFields count="29">
    <pivotField compact="0" showAll="0"/>
    <pivotField dataField="1" compact="0" showAll="0"/>
    <pivotField compact="0" showAll="0"/>
    <pivotField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 showAll="0"/>
    <pivotField compact="0" showAll="0"/>
    <pivotField compact="0" showAll="0"/>
    <pivotField compact="0" showAll="0"/>
    <pivotField compact="0" showAll="0"/>
    <pivotField axis="axisRow" compact="0" showAll="0">
      <items count="10">
        <item x="0"/>
        <item x="1"/>
        <item x="2"/>
        <item x="3"/>
        <item x="4"/>
        <item x="5"/>
        <item x="6"/>
        <item x="7"/>
        <item x="8"/>
        <item t="default"/>
      </items>
    </pivotField>
    <pivotField compact="0" numFmtId="14" showAll="0"/>
    <pivotField compact="0" showAll="0"/>
    <pivotField compact="0" showAll="0"/>
    <pivotField compact="0" showAll="0"/>
    <pivotField compact="0" showAll="0"/>
  </pivotFields>
  <rowFields count="1">
    <field x="23"/>
  </rowFields>
  <rowItems count="7">
    <i>
      <x v="1"/>
    </i>
    <i>
      <x v="2"/>
    </i>
    <i>
      <x v="3"/>
    </i>
    <i>
      <x v="4"/>
    </i>
    <i>
      <x v="5"/>
    </i>
    <i>
      <x v="6"/>
    </i>
    <i>
      <x v="7"/>
    </i>
  </rowItems>
  <colItems count="1">
    <i/>
  </colItems>
  <dataFields count="1">
    <dataField name="Count of Students Enrolled" fld="1" subtotal="count" showDataAs="percentOfTotal" baseField="0" baseItem="0" numFmtId="10"/>
  </dataFields>
  <pivotTableStyleInfo name="PivotStyleLight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rowHeaderCaption="Year">
  <location ref="G30:H32" firstHeaderRow="1" firstDataRow="1" firstDataCol="1"/>
  <pivotFields count="29">
    <pivotField compact="0" showAll="0"/>
    <pivotField dataField="1" compact="0" showAll="0"/>
    <pivotField compact="0" showAll="0"/>
    <pivotField compact="0" showAll="0">
      <items count="7">
        <item x="1"/>
        <item x="0"/>
        <item x="2"/>
        <item x="3"/>
        <item x="4"/>
        <item x="5"/>
        <item t="default"/>
      </items>
    </pivotField>
    <pivotField compact="0" showAll="0"/>
    <pivotField compact="0" showAll="0"/>
    <pivotField compact="0" showAll="0"/>
    <pivotField compact="0" showAll="0"/>
    <pivotField compact="0" showAll="0"/>
    <pivotField compact="0" showAll="0"/>
    <pivotField compact="0" showAll="0"/>
    <pivotField compact="0" showAll="0"/>
    <pivotField axis="axisRow" compact="0" showAll="0">
      <items count="3">
        <item x="1"/>
        <item x="0"/>
        <item t="default"/>
      </items>
    </pivotField>
    <pivotField compact="0" showAll="0"/>
    <pivotField compact="0" showAll="0">
      <items count="11">
        <item x="1"/>
        <item x="5"/>
        <item x="7"/>
        <item x="2"/>
        <item x="0"/>
        <item x="9"/>
        <item x="4"/>
        <item x="8"/>
        <item x="6"/>
        <item x="3"/>
        <item t="default"/>
      </items>
    </pivotField>
    <pivotField compact="0" showAll="0"/>
    <pivotField compact="0" showAll="0"/>
    <pivotField compact="0" showAll="0"/>
    <pivotField compact="0" numFmtId="1" showAll="0"/>
    <pivotField compact="0" showAll="0"/>
    <pivotField compact="0" showAll="0"/>
    <pivotField compact="0" showAll="0"/>
    <pivotField compact="0" showAll="0"/>
    <pivotField compact="0" showAll="0"/>
    <pivotField compact="0" numFmtId="14" showAll="0"/>
    <pivotField compact="0" showAll="0"/>
    <pivotField compact="0" showAll="0"/>
    <pivotField compact="0" showAll="0"/>
    <pivotField compact="0" showAll="0"/>
  </pivotFields>
  <rowFields count="1">
    <field x="12"/>
  </rowFields>
  <rowItems count="2">
    <i>
      <x/>
    </i>
    <i>
      <x v="1"/>
    </i>
  </rowItems>
  <colItems count="1">
    <i/>
  </colItems>
  <dataFields count="1">
    <dataField name="Percent" fld="1" subtotal="count" showDataAs="percentOfTotal" baseField="12" baseItem="0" numFmtId="10"/>
  </dataFields>
  <pivotTableStyleInfo name="PivotStyleLight2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2" name="PivotTable9"/>
    <pivotTable tabId="2" name="PivotTable10"/>
    <pivotTable tabId="2" name="PivotTable2"/>
    <pivotTable tabId="2" name="PivotTable3"/>
    <pivotTable tabId="2" name="PivotTable4"/>
    <pivotTable tabId="2" name="PivotTable5"/>
    <pivotTable tabId="2" name="PivotTable6"/>
    <pivotTable tabId="2" name="PivotTable7"/>
  </pivotTables>
  <data>
    <tabular pivotCacheId="1">
      <items count="6">
        <i x="1" s="1"/>
        <i x="0" s="1"/>
        <i x="2" s="1"/>
        <i x="3" s="1"/>
        <i x="4" s="1"/>
        <i x="5"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6" showCaption="0" style="Slicer Style 2" rowHeight="241300"/>
</slicers>
</file>

<file path=xl/tables/table1.xml><?xml version="1.0" encoding="utf-8"?>
<table xmlns="http://schemas.openxmlformats.org/spreadsheetml/2006/main" id="1" name="Table1" displayName="Table1" ref="A5:AC1603" totalsRowShown="0" headerRowDxfId="36" dataDxfId="35">
  <autoFilter ref="A5:AC1603"/>
  <sortState ref="A6:AC1603">
    <sortCondition ref="D5:D1603"/>
  </sortState>
  <tableColumns count="29">
    <tableColumn id="1" name="Student Name" dataDxfId="34"/>
    <tableColumn id="2" name="Student ID" dataDxfId="33"/>
    <tableColumn id="3" name="Enrollment Number" dataDxfId="32"/>
    <tableColumn id="4" name="Year" dataDxfId="31"/>
    <tableColumn id="5" name="Course Name" dataDxfId="30"/>
    <tableColumn id="6" name="Duration (Years)" dataDxfId="29"/>
    <tableColumn id="7" name="Branch" dataDxfId="28"/>
    <tableColumn id="8" name="Specialization" dataDxfId="27"/>
    <tableColumn id="9" name="Total Fees (Per Annum)" dataDxfId="26"/>
    <tableColumn id="10" name="Yearly Fees" dataDxfId="25"/>
    <tableColumn id="11" name="Exam Fees" dataDxfId="24"/>
    <tableColumn id="12" name="Extra Fees" dataDxfId="23"/>
    <tableColumn id="13" name="Hostel Accommodation" dataDxfId="22"/>
    <tableColumn id="14" name="Occupancy" dataDxfId="21"/>
    <tableColumn id="15" name="City" dataDxfId="20"/>
    <tableColumn id="16" name="State" dataDxfId="19"/>
    <tableColumn id="17" name="Country" dataDxfId="18"/>
    <tableColumn id="18" name="Email" dataDxfId="17"/>
    <tableColumn id="19" name="Phone" dataDxfId="16"/>
    <tableColumn id="20" name="Payment Mode" dataDxfId="15"/>
    <tableColumn id="21" name="12th Percentage" dataDxfId="14"/>
    <tableColumn id="22" name="10th Percentage" dataDxfId="13"/>
    <tableColumn id="23" name="Hostel Room Type" dataDxfId="12"/>
    <tableColumn id="24" name="Annual Income" dataDxfId="11"/>
    <tableColumn id="25" name="Date of Birth" dataDxfId="10"/>
    <tableColumn id="26" name="mean_marks_distances" dataDxfId="9"/>
    <tableColumn id="27" name="Age" dataDxfId="8"/>
    <tableColumn id="28" name="total_fees" dataDxfId="7"/>
    <tableColumn id="29" name="CoTotal_fess_including_exam_feeslumn1" dataDxfId="6">
      <calculatedColumnFormula>IF(F6 = 2, AB6+30000,AB6+60000)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AC8" totalsRowShown="0">
  <autoFilter ref="A1:AC8"/>
  <tableColumns count="29">
    <tableColumn id="1" name="Student Name"/>
    <tableColumn id="2" name="Student ID"/>
    <tableColumn id="3" name="Enrollment Number"/>
    <tableColumn id="4" name="Year"/>
    <tableColumn id="5" name="Course Name"/>
    <tableColumn id="6" name="Duration (Years)"/>
    <tableColumn id="7" name="Branch"/>
    <tableColumn id="8" name="Specialization"/>
    <tableColumn id="9" name="Total Fees (Per Annum)"/>
    <tableColumn id="10" name="Yearly Fees"/>
    <tableColumn id="11" name="Exam Fees"/>
    <tableColumn id="12" name="Extra Fees"/>
    <tableColumn id="13" name="Hostel Accommodation"/>
    <tableColumn id="14" name="Occupancy"/>
    <tableColumn id="15" name="City"/>
    <tableColumn id="16" name="State"/>
    <tableColumn id="17" name="Country"/>
    <tableColumn id="18" name="Email"/>
    <tableColumn id="19" name="Phone"/>
    <tableColumn id="20" name="Payment Mode"/>
    <tableColumn id="21" name="12th Percentage"/>
    <tableColumn id="22" name="10th Percentage"/>
    <tableColumn id="23" name="Hostel Room Type"/>
    <tableColumn id="24" name="Annual Income"/>
    <tableColumn id="25" name="Date of Birth" dataDxfId="5"/>
    <tableColumn id="26" name="mean_marks_distances"/>
    <tableColumn id="27" name="Age"/>
    <tableColumn id="28" name="total_fees"/>
    <tableColumn id="29" name="CoTotal_fess_including_exam_feeslumn1"/>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E16" totalsRowShown="0">
  <autoFilter ref="A4:E16"/>
  <tableColumns count="5">
    <tableColumn id="1" name="Year" dataDxfId="4"/>
    <tableColumn id="2" name="No_of_Students_enrolled"/>
    <tableColumn id="3" name="Forecast(No_of_Students_enrolled)" dataDxfId="3">
      <calculatedColumnFormula>_xlfn.FORECAST.ETS(A5,$B$5:$B$10,$A$5:$A$10,1,1)</calculatedColumnFormula>
    </tableColumn>
    <tableColumn id="4" name="Lower Confidence Bound(No_of_Students_enrolled)" dataDxfId="2">
      <calculatedColumnFormula>C5-_xlfn.FORECAST.ETS.CONFINT(A5,$B$5:$B$10,$A$5:$A$10,0.95,1,1)</calculatedColumnFormula>
    </tableColumn>
    <tableColumn id="5" name="Upper Confidence Bound(No_of_Students_enrolled)" dataDxfId="1">
      <calculatedColumnFormula>C5+_xlfn.FORECAST.ETS.CONFINT(A5,$B$5:$B$10,$A$5:$A$10,0.95,1,1)</calculatedColumnFormula>
    </tableColumn>
  </tableColumns>
  <tableStyleInfo name="TableStyleDark10" showFirstColumn="0" showLastColumn="0" showRowStripes="1" showColumnStripes="0"/>
</table>
</file>

<file path=xl/tables/table4.xml><?xml version="1.0" encoding="utf-8"?>
<table xmlns="http://schemas.openxmlformats.org/spreadsheetml/2006/main" id="4" name="Table4" displayName="Table4" ref="G4:H11" totalsRowShown="0">
  <autoFilter ref="G4:H11"/>
  <tableColumns count="2">
    <tableColumn id="1" name="Statistic"/>
    <tableColumn id="2" name="Value" dataDxfId="0"/>
  </tableColumns>
  <tableStyleInfo name="TableStyleDark10" showFirstColumn="0" showLastColumn="0" showRowStripes="1" showColumnStripes="0"/>
</table>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w Edg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image" Target="../media/image1.jpeg"/><Relationship Id="rId1" Type="http://schemas.openxmlformats.org/officeDocument/2006/relationships/drawing" Target="../drawings/drawing1.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image" Target="../media/image2.png"/><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603"/>
  <sheetViews>
    <sheetView zoomScale="85" zoomScaleNormal="85" workbookViewId="0">
      <selection activeCell="D11" sqref="D11"/>
    </sheetView>
  </sheetViews>
  <sheetFormatPr defaultRowHeight="15" x14ac:dyDescent="0.25"/>
  <cols>
    <col min="1" max="1" width="23.42578125" customWidth="1"/>
    <col min="2" max="2" width="16.28515625" customWidth="1"/>
    <col min="3" max="3" width="21.140625" customWidth="1"/>
    <col min="4" max="4" width="9.42578125" customWidth="1"/>
    <col min="5" max="5" width="41.140625" customWidth="1"/>
    <col min="6" max="6" width="17.85546875" customWidth="1"/>
    <col min="7" max="7" width="32.42578125" customWidth="1"/>
    <col min="8" max="8" width="62.42578125" customWidth="1"/>
    <col min="9" max="9" width="24.42578125" customWidth="1"/>
    <col min="10" max="10" width="13.42578125" customWidth="1"/>
    <col min="11" max="11" width="12.5703125" customWidth="1"/>
    <col min="12" max="12" width="12.28515625" customWidth="1"/>
    <col min="13" max="13" width="24.28515625" customWidth="1"/>
    <col min="14" max="14" width="17.5703125" customWidth="1"/>
    <col min="15" max="15" width="11.7109375" customWidth="1"/>
    <col min="16" max="16" width="13.140625" customWidth="1"/>
    <col min="17" max="17" width="10.28515625" customWidth="1"/>
    <col min="18" max="18" width="36.5703125" customWidth="1"/>
    <col min="19" max="19" width="15.7109375" customWidth="1"/>
    <col min="20" max="20" width="17" customWidth="1"/>
    <col min="21" max="22" width="17.7109375" customWidth="1"/>
    <col min="23" max="23" width="19.5703125" customWidth="1"/>
    <col min="24" max="24" width="16.7109375" customWidth="1"/>
    <col min="25" max="25" width="14.42578125" customWidth="1"/>
    <col min="26" max="26" width="24.28515625" customWidth="1"/>
    <col min="27" max="27" width="6.7109375" customWidth="1"/>
    <col min="28" max="28" width="12.28515625" customWidth="1"/>
  </cols>
  <sheetData>
    <row r="1" spans="1:32" ht="15" customHeight="1" x14ac:dyDescent="0.25">
      <c r="D1" s="30" t="s">
        <v>5647</v>
      </c>
      <c r="E1" s="30"/>
      <c r="F1" s="30"/>
    </row>
    <row r="2" spans="1:32" ht="15" customHeight="1" x14ac:dyDescent="0.25">
      <c r="D2" s="30"/>
      <c r="E2" s="30"/>
      <c r="F2" s="30"/>
    </row>
    <row r="3" spans="1:32" ht="23.25" customHeight="1" x14ac:dyDescent="0.25">
      <c r="D3" s="30"/>
      <c r="E3" s="30"/>
      <c r="F3" s="30"/>
    </row>
    <row r="5" spans="1:32" x14ac:dyDescent="0.25">
      <c r="A5" s="1" t="s">
        <v>0</v>
      </c>
      <c r="B5" s="1" t="s">
        <v>1</v>
      </c>
      <c r="C5" s="1" t="s">
        <v>2</v>
      </c>
      <c r="D5" s="1" t="s">
        <v>3</v>
      </c>
      <c r="E5" s="1" t="s">
        <v>4</v>
      </c>
      <c r="F5" s="1" t="s">
        <v>5</v>
      </c>
      <c r="G5" s="1" t="s">
        <v>6</v>
      </c>
      <c r="H5" s="1" t="s">
        <v>7</v>
      </c>
      <c r="I5" s="1" t="s">
        <v>8</v>
      </c>
      <c r="J5" s="1" t="s">
        <v>9</v>
      </c>
      <c r="K5" s="1" t="s">
        <v>10</v>
      </c>
      <c r="L5" s="1" t="s">
        <v>11</v>
      </c>
      <c r="M5" s="1" t="s">
        <v>12</v>
      </c>
      <c r="N5" s="1" t="s">
        <v>13</v>
      </c>
      <c r="O5" s="1" t="s">
        <v>14</v>
      </c>
      <c r="P5" s="1" t="s">
        <v>15</v>
      </c>
      <c r="Q5" s="1" t="s">
        <v>16</v>
      </c>
      <c r="R5" s="1" t="s">
        <v>17</v>
      </c>
      <c r="S5" s="1" t="s">
        <v>18</v>
      </c>
      <c r="T5" s="1" t="s">
        <v>19</v>
      </c>
      <c r="U5" s="1" t="s">
        <v>20</v>
      </c>
      <c r="V5" s="1" t="s">
        <v>21</v>
      </c>
      <c r="W5" s="1" t="s">
        <v>22</v>
      </c>
      <c r="X5" s="1" t="s">
        <v>23</v>
      </c>
      <c r="Y5" s="1" t="s">
        <v>24</v>
      </c>
      <c r="Z5" s="1" t="s">
        <v>25</v>
      </c>
      <c r="AA5" s="1" t="s">
        <v>26</v>
      </c>
      <c r="AB5" s="1" t="s">
        <v>27</v>
      </c>
      <c r="AC5" s="1" t="s">
        <v>5648</v>
      </c>
    </row>
    <row r="6" spans="1:32" x14ac:dyDescent="0.25">
      <c r="A6" s="1" t="s">
        <v>42</v>
      </c>
      <c r="B6" s="1" t="s">
        <v>43</v>
      </c>
      <c r="C6" s="1" t="s">
        <v>44</v>
      </c>
      <c r="D6" s="1">
        <v>2018</v>
      </c>
      <c r="E6" s="1" t="s">
        <v>45</v>
      </c>
      <c r="F6" s="1">
        <v>2</v>
      </c>
      <c r="G6" s="1" t="s">
        <v>46</v>
      </c>
      <c r="H6" s="1" t="s">
        <v>47</v>
      </c>
      <c r="I6" s="1">
        <v>92000</v>
      </c>
      <c r="J6" s="1">
        <v>77000</v>
      </c>
      <c r="K6" s="1">
        <v>15000</v>
      </c>
      <c r="L6" s="1">
        <v>0</v>
      </c>
      <c r="M6" s="1" t="s">
        <v>34</v>
      </c>
      <c r="N6" s="1" t="s">
        <v>35</v>
      </c>
      <c r="O6" s="1" t="s">
        <v>48</v>
      </c>
      <c r="P6" s="1" t="s">
        <v>49</v>
      </c>
      <c r="Q6" s="1" t="s">
        <v>38</v>
      </c>
      <c r="R6" s="1" t="s">
        <v>50</v>
      </c>
      <c r="S6" s="3">
        <v>917084000000</v>
      </c>
      <c r="T6" s="1" t="s">
        <v>51</v>
      </c>
      <c r="U6" s="1">
        <v>90</v>
      </c>
      <c r="V6" s="1">
        <v>78</v>
      </c>
      <c r="W6" s="1" t="s">
        <v>52</v>
      </c>
      <c r="X6" s="1">
        <v>428912</v>
      </c>
      <c r="Y6" s="2">
        <v>36596</v>
      </c>
      <c r="Z6" s="1">
        <v>15.1789737171464</v>
      </c>
      <c r="AA6" s="1">
        <v>24</v>
      </c>
      <c r="AB6" s="1">
        <v>184000</v>
      </c>
      <c r="AC6" s="1">
        <f t="shared" ref="AC6:AC69" si="0">IF(F6 = 2, AB6+30000,AB6+60000)</f>
        <v>214000</v>
      </c>
    </row>
    <row r="7" spans="1:32" x14ac:dyDescent="0.25">
      <c r="A7" s="1" t="s">
        <v>67</v>
      </c>
      <c r="B7" s="1" t="s">
        <v>68</v>
      </c>
      <c r="C7" s="1" t="s">
        <v>69</v>
      </c>
      <c r="D7" s="1">
        <v>2018</v>
      </c>
      <c r="E7" s="1" t="s">
        <v>31</v>
      </c>
      <c r="F7" s="1">
        <v>4</v>
      </c>
      <c r="G7" s="1" t="s">
        <v>32</v>
      </c>
      <c r="H7" s="1" t="s">
        <v>56</v>
      </c>
      <c r="I7" s="1">
        <v>169000</v>
      </c>
      <c r="J7" s="1">
        <v>154000</v>
      </c>
      <c r="K7" s="1">
        <v>15000</v>
      </c>
      <c r="L7" s="1">
        <v>0</v>
      </c>
      <c r="M7" s="1" t="s">
        <v>34</v>
      </c>
      <c r="N7" s="1" t="s">
        <v>70</v>
      </c>
      <c r="O7" s="1" t="s">
        <v>71</v>
      </c>
      <c r="P7" s="1" t="s">
        <v>72</v>
      </c>
      <c r="Q7" s="1" t="s">
        <v>38</v>
      </c>
      <c r="R7" s="1" t="s">
        <v>73</v>
      </c>
      <c r="S7" s="3">
        <v>918299000000</v>
      </c>
      <c r="T7" s="1" t="s">
        <v>74</v>
      </c>
      <c r="U7" s="1">
        <v>90</v>
      </c>
      <c r="V7" s="1">
        <v>60</v>
      </c>
      <c r="W7" s="1" t="s">
        <v>52</v>
      </c>
      <c r="X7" s="1">
        <v>494055</v>
      </c>
      <c r="Y7" s="2">
        <v>37905</v>
      </c>
      <c r="Z7" s="1">
        <v>15.1789737171464</v>
      </c>
      <c r="AA7" s="1">
        <v>20</v>
      </c>
      <c r="AB7" s="1">
        <v>676000</v>
      </c>
      <c r="AC7" s="1">
        <f t="shared" si="0"/>
        <v>736000</v>
      </c>
      <c r="AF7">
        <v>18</v>
      </c>
    </row>
    <row r="8" spans="1:32" x14ac:dyDescent="0.25">
      <c r="A8" s="1" t="s">
        <v>94</v>
      </c>
      <c r="B8" s="1" t="s">
        <v>95</v>
      </c>
      <c r="C8" s="1" t="s">
        <v>96</v>
      </c>
      <c r="D8" s="1">
        <v>2018</v>
      </c>
      <c r="E8" s="1" t="s">
        <v>31</v>
      </c>
      <c r="F8" s="1">
        <v>4</v>
      </c>
      <c r="G8" s="1" t="s">
        <v>32</v>
      </c>
      <c r="H8" s="1" t="s">
        <v>56</v>
      </c>
      <c r="I8" s="1">
        <v>169000</v>
      </c>
      <c r="J8" s="1">
        <v>154000</v>
      </c>
      <c r="K8" s="1">
        <v>15000</v>
      </c>
      <c r="L8" s="1">
        <v>0</v>
      </c>
      <c r="M8" s="1" t="s">
        <v>5649</v>
      </c>
      <c r="N8" s="1" t="s">
        <v>63</v>
      </c>
      <c r="O8" s="1" t="s">
        <v>36</v>
      </c>
      <c r="P8" s="1" t="s">
        <v>37</v>
      </c>
      <c r="Q8" s="1" t="s">
        <v>38</v>
      </c>
      <c r="R8" s="1" t="s">
        <v>97</v>
      </c>
      <c r="S8" s="3">
        <v>919691000000</v>
      </c>
      <c r="T8" s="1" t="s">
        <v>98</v>
      </c>
      <c r="U8" s="1">
        <v>90</v>
      </c>
      <c r="V8" s="1">
        <v>91</v>
      </c>
      <c r="W8" s="1" t="s">
        <v>41</v>
      </c>
      <c r="X8" s="1">
        <v>269842</v>
      </c>
      <c r="Y8" s="2">
        <v>36736</v>
      </c>
      <c r="Z8" s="1">
        <v>15.1789737171464</v>
      </c>
      <c r="AA8" s="1">
        <v>23</v>
      </c>
      <c r="AB8" s="1">
        <v>676000</v>
      </c>
      <c r="AC8" s="1">
        <f t="shared" si="0"/>
        <v>736000</v>
      </c>
      <c r="AF8">
        <v>19</v>
      </c>
    </row>
    <row r="9" spans="1:32" x14ac:dyDescent="0.25">
      <c r="A9" s="1" t="s">
        <v>132</v>
      </c>
      <c r="B9" s="1" t="s">
        <v>133</v>
      </c>
      <c r="C9" s="1" t="s">
        <v>134</v>
      </c>
      <c r="D9" s="1">
        <v>2018</v>
      </c>
      <c r="E9" s="1" t="s">
        <v>31</v>
      </c>
      <c r="F9" s="1">
        <v>4</v>
      </c>
      <c r="G9" s="1" t="s">
        <v>32</v>
      </c>
      <c r="H9" s="1" t="s">
        <v>122</v>
      </c>
      <c r="I9" s="1">
        <v>169000</v>
      </c>
      <c r="J9" s="1">
        <v>154000</v>
      </c>
      <c r="K9" s="1">
        <v>15000</v>
      </c>
      <c r="L9" s="1">
        <v>0</v>
      </c>
      <c r="M9" s="1" t="s">
        <v>5649</v>
      </c>
      <c r="N9" s="1" t="s">
        <v>70</v>
      </c>
      <c r="O9" s="1" t="s">
        <v>103</v>
      </c>
      <c r="P9" s="1" t="s">
        <v>104</v>
      </c>
      <c r="Q9" s="1" t="s">
        <v>38</v>
      </c>
      <c r="R9" s="1" t="s">
        <v>135</v>
      </c>
      <c r="S9" s="3">
        <v>918013000000</v>
      </c>
      <c r="T9" s="1" t="s">
        <v>40</v>
      </c>
      <c r="U9" s="1">
        <v>90</v>
      </c>
      <c r="V9" s="1">
        <v>91</v>
      </c>
      <c r="W9" s="1" t="s">
        <v>41</v>
      </c>
      <c r="X9" s="1">
        <v>360726</v>
      </c>
      <c r="Y9" s="2">
        <v>37333</v>
      </c>
      <c r="Z9" s="1">
        <v>15.1789737171464</v>
      </c>
      <c r="AA9" s="1">
        <v>22</v>
      </c>
      <c r="AB9" s="1">
        <v>676000</v>
      </c>
      <c r="AC9" s="1">
        <f t="shared" si="0"/>
        <v>736000</v>
      </c>
      <c r="AF9">
        <v>20</v>
      </c>
    </row>
    <row r="10" spans="1:32" x14ac:dyDescent="0.25">
      <c r="A10" s="1" t="s">
        <v>136</v>
      </c>
      <c r="B10" s="1" t="s">
        <v>137</v>
      </c>
      <c r="C10" s="1" t="s">
        <v>138</v>
      </c>
      <c r="D10" s="1">
        <v>2018</v>
      </c>
      <c r="E10" s="1" t="s">
        <v>45</v>
      </c>
      <c r="F10" s="1">
        <v>2</v>
      </c>
      <c r="G10" s="1" t="s">
        <v>46</v>
      </c>
      <c r="H10" s="1" t="s">
        <v>33</v>
      </c>
      <c r="I10" s="1">
        <v>92000</v>
      </c>
      <c r="J10" s="1">
        <v>77000</v>
      </c>
      <c r="K10" s="1">
        <v>15000</v>
      </c>
      <c r="L10" s="1">
        <v>0</v>
      </c>
      <c r="M10" s="1" t="s">
        <v>5649</v>
      </c>
      <c r="N10" s="1" t="s">
        <v>70</v>
      </c>
      <c r="O10" s="1" t="s">
        <v>48</v>
      </c>
      <c r="P10" s="1" t="s">
        <v>49</v>
      </c>
      <c r="Q10" s="1" t="s">
        <v>38</v>
      </c>
      <c r="R10" s="1" t="s">
        <v>139</v>
      </c>
      <c r="S10" s="3">
        <v>919020000000</v>
      </c>
      <c r="T10" s="1" t="s">
        <v>86</v>
      </c>
      <c r="U10" s="1">
        <v>90</v>
      </c>
      <c r="V10" s="1">
        <v>80</v>
      </c>
      <c r="W10" s="1" t="s">
        <v>52</v>
      </c>
      <c r="X10" s="1">
        <v>786625</v>
      </c>
      <c r="Y10" s="2">
        <v>36249</v>
      </c>
      <c r="Z10" s="1">
        <v>15.1789737171464</v>
      </c>
      <c r="AA10" s="1">
        <v>25</v>
      </c>
      <c r="AB10" s="1">
        <v>184000</v>
      </c>
      <c r="AC10" s="1">
        <f t="shared" si="0"/>
        <v>214000</v>
      </c>
      <c r="AF10">
        <v>21</v>
      </c>
    </row>
    <row r="11" spans="1:32" x14ac:dyDescent="0.25">
      <c r="A11" s="1" t="s">
        <v>148</v>
      </c>
      <c r="B11" s="1" t="s">
        <v>149</v>
      </c>
      <c r="C11" s="1" t="s">
        <v>150</v>
      </c>
      <c r="D11" s="1">
        <v>2018</v>
      </c>
      <c r="E11" s="1" t="s">
        <v>31</v>
      </c>
      <c r="F11" s="1">
        <v>4</v>
      </c>
      <c r="G11" s="1" t="s">
        <v>32</v>
      </c>
      <c r="H11" s="1" t="s">
        <v>151</v>
      </c>
      <c r="I11" s="1">
        <v>169000</v>
      </c>
      <c r="J11" s="1">
        <v>154000</v>
      </c>
      <c r="K11" s="1">
        <v>15000</v>
      </c>
      <c r="L11" s="1">
        <v>0</v>
      </c>
      <c r="M11" s="1" t="s">
        <v>34</v>
      </c>
      <c r="N11" s="1" t="s">
        <v>63</v>
      </c>
      <c r="O11" s="1" t="s">
        <v>78</v>
      </c>
      <c r="P11" s="1" t="s">
        <v>79</v>
      </c>
      <c r="Q11" s="1" t="s">
        <v>38</v>
      </c>
      <c r="R11" s="1" t="s">
        <v>152</v>
      </c>
      <c r="S11" s="3">
        <v>918536000000</v>
      </c>
      <c r="T11" s="1" t="s">
        <v>86</v>
      </c>
      <c r="U11" s="1">
        <v>90</v>
      </c>
      <c r="V11" s="1">
        <v>69</v>
      </c>
      <c r="W11" s="1" t="s">
        <v>41</v>
      </c>
      <c r="X11" s="1">
        <v>343510</v>
      </c>
      <c r="Y11" s="2">
        <v>38557</v>
      </c>
      <c r="Z11" s="1">
        <v>15.1789737171464</v>
      </c>
      <c r="AA11" s="1">
        <v>18</v>
      </c>
      <c r="AB11" s="1">
        <v>676000</v>
      </c>
      <c r="AC11" s="1">
        <f t="shared" si="0"/>
        <v>736000</v>
      </c>
      <c r="AF11">
        <v>22</v>
      </c>
    </row>
    <row r="12" spans="1:32" x14ac:dyDescent="0.25">
      <c r="A12" s="1" t="s">
        <v>153</v>
      </c>
      <c r="B12" s="1" t="s">
        <v>154</v>
      </c>
      <c r="C12" s="1" t="s">
        <v>155</v>
      </c>
      <c r="D12" s="1">
        <v>2018</v>
      </c>
      <c r="E12" s="1" t="s">
        <v>45</v>
      </c>
      <c r="F12" s="1">
        <v>2</v>
      </c>
      <c r="G12" s="1" t="s">
        <v>46</v>
      </c>
      <c r="H12" s="1" t="s">
        <v>90</v>
      </c>
      <c r="I12" s="1">
        <v>92000</v>
      </c>
      <c r="J12" s="1">
        <v>77000</v>
      </c>
      <c r="K12" s="1">
        <v>15000</v>
      </c>
      <c r="L12" s="1">
        <v>0</v>
      </c>
      <c r="M12" s="1" t="s">
        <v>34</v>
      </c>
      <c r="N12" s="1" t="s">
        <v>70</v>
      </c>
      <c r="O12" s="1" t="s">
        <v>48</v>
      </c>
      <c r="P12" s="1" t="s">
        <v>49</v>
      </c>
      <c r="Q12" s="1" t="s">
        <v>38</v>
      </c>
      <c r="R12" s="1" t="s">
        <v>156</v>
      </c>
      <c r="S12" s="3">
        <v>917033000000</v>
      </c>
      <c r="T12" s="1" t="s">
        <v>51</v>
      </c>
      <c r="U12" s="1">
        <v>90</v>
      </c>
      <c r="V12" s="1">
        <v>86</v>
      </c>
      <c r="W12" s="1" t="s">
        <v>41</v>
      </c>
      <c r="X12" s="1">
        <v>229210</v>
      </c>
      <c r="Y12" s="2">
        <v>35513</v>
      </c>
      <c r="Z12" s="1">
        <v>15.1789737171464</v>
      </c>
      <c r="AA12" s="1">
        <v>27</v>
      </c>
      <c r="AB12" s="1">
        <v>184000</v>
      </c>
      <c r="AC12" s="1">
        <f t="shared" si="0"/>
        <v>214000</v>
      </c>
      <c r="AF12">
        <v>23</v>
      </c>
    </row>
    <row r="13" spans="1:32" x14ac:dyDescent="0.25">
      <c r="A13" s="1" t="s">
        <v>185</v>
      </c>
      <c r="B13" s="1" t="s">
        <v>186</v>
      </c>
      <c r="C13" s="1" t="s">
        <v>187</v>
      </c>
      <c r="D13" s="1">
        <v>2018</v>
      </c>
      <c r="E13" s="1" t="s">
        <v>31</v>
      </c>
      <c r="F13" s="1">
        <v>4</v>
      </c>
      <c r="G13" s="1" t="s">
        <v>32</v>
      </c>
      <c r="H13" s="1" t="s">
        <v>56</v>
      </c>
      <c r="I13" s="1">
        <v>169000</v>
      </c>
      <c r="J13" s="1">
        <v>154000</v>
      </c>
      <c r="K13" s="1">
        <v>15000</v>
      </c>
      <c r="L13" s="1">
        <v>0</v>
      </c>
      <c r="M13" s="1" t="s">
        <v>34</v>
      </c>
      <c r="N13" s="1" t="s">
        <v>70</v>
      </c>
      <c r="O13" s="1" t="s">
        <v>188</v>
      </c>
      <c r="P13" s="1" t="s">
        <v>189</v>
      </c>
      <c r="Q13" s="1" t="s">
        <v>38</v>
      </c>
      <c r="R13" s="1" t="s">
        <v>190</v>
      </c>
      <c r="S13" s="3">
        <v>918638000000</v>
      </c>
      <c r="T13" s="1" t="s">
        <v>51</v>
      </c>
      <c r="U13" s="1">
        <v>90</v>
      </c>
      <c r="V13" s="1">
        <v>67</v>
      </c>
      <c r="W13" s="1" t="s">
        <v>41</v>
      </c>
      <c r="X13" s="1">
        <v>192219</v>
      </c>
      <c r="Y13" s="2">
        <v>38445</v>
      </c>
      <c r="Z13" s="1">
        <v>15.1789737171464</v>
      </c>
      <c r="AA13" s="1">
        <v>19</v>
      </c>
      <c r="AB13" s="1">
        <v>676000</v>
      </c>
      <c r="AC13" s="1">
        <f t="shared" si="0"/>
        <v>736000</v>
      </c>
      <c r="AF13">
        <v>24</v>
      </c>
    </row>
    <row r="14" spans="1:32" x14ac:dyDescent="0.25">
      <c r="A14" s="1" t="s">
        <v>191</v>
      </c>
      <c r="B14" s="1" t="s">
        <v>192</v>
      </c>
      <c r="C14" s="1" t="s">
        <v>193</v>
      </c>
      <c r="D14" s="1">
        <v>2018</v>
      </c>
      <c r="E14" s="1" t="s">
        <v>31</v>
      </c>
      <c r="F14" s="1">
        <v>4</v>
      </c>
      <c r="G14" s="1" t="s">
        <v>32</v>
      </c>
      <c r="H14" s="1" t="s">
        <v>62</v>
      </c>
      <c r="I14" s="1">
        <v>169000</v>
      </c>
      <c r="J14" s="1">
        <v>154000</v>
      </c>
      <c r="K14" s="1">
        <v>15000</v>
      </c>
      <c r="L14" s="1">
        <v>0</v>
      </c>
      <c r="M14" s="1" t="s">
        <v>34</v>
      </c>
      <c r="N14" s="1" t="s">
        <v>70</v>
      </c>
      <c r="O14" s="1" t="s">
        <v>188</v>
      </c>
      <c r="P14" s="1" t="s">
        <v>189</v>
      </c>
      <c r="Q14" s="1" t="s">
        <v>38</v>
      </c>
      <c r="R14" s="1" t="s">
        <v>194</v>
      </c>
      <c r="S14" s="3">
        <v>917983000000</v>
      </c>
      <c r="T14" s="1" t="s">
        <v>86</v>
      </c>
      <c r="U14" s="1">
        <v>90</v>
      </c>
      <c r="V14" s="1">
        <v>72</v>
      </c>
      <c r="W14" s="1" t="s">
        <v>52</v>
      </c>
      <c r="X14" s="1">
        <v>134733</v>
      </c>
      <c r="Y14" s="2">
        <v>38672</v>
      </c>
      <c r="Z14" s="1">
        <v>15.1789737171464</v>
      </c>
      <c r="AA14" s="1">
        <v>18</v>
      </c>
      <c r="AB14" s="1">
        <v>676000</v>
      </c>
      <c r="AC14" s="1">
        <f t="shared" si="0"/>
        <v>736000</v>
      </c>
      <c r="AF14">
        <v>25</v>
      </c>
    </row>
    <row r="15" spans="1:32" x14ac:dyDescent="0.25">
      <c r="A15" s="1" t="s">
        <v>224</v>
      </c>
      <c r="B15" s="1" t="s">
        <v>225</v>
      </c>
      <c r="C15" s="1" t="s">
        <v>226</v>
      </c>
      <c r="D15" s="1">
        <v>2018</v>
      </c>
      <c r="E15" s="1" t="s">
        <v>31</v>
      </c>
      <c r="F15" s="1">
        <v>4</v>
      </c>
      <c r="G15" s="1" t="s">
        <v>32</v>
      </c>
      <c r="H15" s="1" t="s">
        <v>102</v>
      </c>
      <c r="I15" s="1">
        <v>169000</v>
      </c>
      <c r="J15" s="1">
        <v>154000</v>
      </c>
      <c r="K15" s="1">
        <v>15000</v>
      </c>
      <c r="L15" s="1">
        <v>0</v>
      </c>
      <c r="M15" s="1" t="s">
        <v>34</v>
      </c>
      <c r="N15" s="1" t="s">
        <v>70</v>
      </c>
      <c r="O15" s="1" t="s">
        <v>48</v>
      </c>
      <c r="P15" s="1" t="s">
        <v>49</v>
      </c>
      <c r="Q15" s="1" t="s">
        <v>38</v>
      </c>
      <c r="R15" s="1" t="s">
        <v>227</v>
      </c>
      <c r="S15" s="3">
        <v>917799000000</v>
      </c>
      <c r="T15" s="1" t="s">
        <v>40</v>
      </c>
      <c r="U15" s="1">
        <v>90</v>
      </c>
      <c r="V15" s="1">
        <v>90</v>
      </c>
      <c r="W15" s="1" t="s">
        <v>52</v>
      </c>
      <c r="X15" s="1">
        <v>754720</v>
      </c>
      <c r="Y15" s="2">
        <v>37333</v>
      </c>
      <c r="Z15" s="1">
        <v>15.1789737171464</v>
      </c>
      <c r="AA15" s="1">
        <v>22</v>
      </c>
      <c r="AB15" s="1">
        <v>676000</v>
      </c>
      <c r="AC15" s="1">
        <f t="shared" si="0"/>
        <v>736000</v>
      </c>
      <c r="AF15">
        <v>26</v>
      </c>
    </row>
    <row r="16" spans="1:32" x14ac:dyDescent="0.25">
      <c r="A16" s="1" t="s">
        <v>352</v>
      </c>
      <c r="B16" s="1" t="s">
        <v>353</v>
      </c>
      <c r="C16" s="1" t="s">
        <v>354</v>
      </c>
      <c r="D16" s="1">
        <v>2018</v>
      </c>
      <c r="E16" s="1" t="s">
        <v>31</v>
      </c>
      <c r="F16" s="1">
        <v>4</v>
      </c>
      <c r="G16" s="1" t="s">
        <v>32</v>
      </c>
      <c r="H16" s="1" t="s">
        <v>102</v>
      </c>
      <c r="I16" s="1">
        <v>169000</v>
      </c>
      <c r="J16" s="1">
        <v>154000</v>
      </c>
      <c r="K16" s="1">
        <v>15000</v>
      </c>
      <c r="L16" s="1">
        <v>0</v>
      </c>
      <c r="M16" s="1" t="s">
        <v>34</v>
      </c>
      <c r="N16" s="1" t="s">
        <v>70</v>
      </c>
      <c r="O16" s="1" t="s">
        <v>36</v>
      </c>
      <c r="P16" s="1" t="s">
        <v>37</v>
      </c>
      <c r="Q16" s="1" t="s">
        <v>38</v>
      </c>
      <c r="R16" s="1" t="s">
        <v>355</v>
      </c>
      <c r="S16" s="3">
        <v>919294000000</v>
      </c>
      <c r="T16" s="1" t="s">
        <v>86</v>
      </c>
      <c r="U16" s="1">
        <v>89</v>
      </c>
      <c r="V16" s="1">
        <v>85</v>
      </c>
      <c r="W16" s="1" t="s">
        <v>52</v>
      </c>
      <c r="X16" s="1">
        <v>464763</v>
      </c>
      <c r="Y16" s="2">
        <v>38178</v>
      </c>
      <c r="Z16" s="1">
        <v>14.1789737171464</v>
      </c>
      <c r="AA16" s="1">
        <v>19</v>
      </c>
      <c r="AB16" s="1">
        <v>676000</v>
      </c>
      <c r="AC16" s="1">
        <f t="shared" si="0"/>
        <v>736000</v>
      </c>
      <c r="AF16">
        <v>27</v>
      </c>
    </row>
    <row r="17" spans="1:32" x14ac:dyDescent="0.25">
      <c r="A17" s="1" t="s">
        <v>376</v>
      </c>
      <c r="B17" s="1" t="s">
        <v>377</v>
      </c>
      <c r="C17" s="1" t="s">
        <v>378</v>
      </c>
      <c r="D17" s="1">
        <v>2018</v>
      </c>
      <c r="E17" s="1" t="s">
        <v>31</v>
      </c>
      <c r="F17" s="1">
        <v>4</v>
      </c>
      <c r="G17" s="1" t="s">
        <v>32</v>
      </c>
      <c r="H17" s="1" t="s">
        <v>47</v>
      </c>
      <c r="I17" s="1">
        <v>169000</v>
      </c>
      <c r="J17" s="1">
        <v>154000</v>
      </c>
      <c r="K17" s="1">
        <v>15000</v>
      </c>
      <c r="L17" s="1">
        <v>0</v>
      </c>
      <c r="M17" s="1" t="s">
        <v>34</v>
      </c>
      <c r="N17" s="1" t="s">
        <v>63</v>
      </c>
      <c r="O17" s="1" t="s">
        <v>71</v>
      </c>
      <c r="P17" s="1" t="s">
        <v>72</v>
      </c>
      <c r="Q17" s="1" t="s">
        <v>38</v>
      </c>
      <c r="R17" s="1" t="s">
        <v>379</v>
      </c>
      <c r="S17" s="3">
        <v>919228000000</v>
      </c>
      <c r="T17" s="1" t="s">
        <v>74</v>
      </c>
      <c r="U17" s="1">
        <v>89</v>
      </c>
      <c r="V17" s="1">
        <v>61</v>
      </c>
      <c r="W17" s="1" t="s">
        <v>52</v>
      </c>
      <c r="X17" s="1">
        <v>742922</v>
      </c>
      <c r="Y17" s="2">
        <v>38785</v>
      </c>
      <c r="Z17" s="1">
        <v>14.1789737171464</v>
      </c>
      <c r="AA17" s="1">
        <v>18</v>
      </c>
      <c r="AB17" s="1">
        <v>676000</v>
      </c>
      <c r="AC17" s="1">
        <f t="shared" si="0"/>
        <v>736000</v>
      </c>
      <c r="AF17">
        <v>28</v>
      </c>
    </row>
    <row r="18" spans="1:32" x14ac:dyDescent="0.25">
      <c r="A18" s="1" t="s">
        <v>380</v>
      </c>
      <c r="B18" s="1" t="s">
        <v>381</v>
      </c>
      <c r="C18" s="1" t="s">
        <v>382</v>
      </c>
      <c r="D18" s="1">
        <v>2018</v>
      </c>
      <c r="E18" s="1" t="s">
        <v>31</v>
      </c>
      <c r="F18" s="1">
        <v>4</v>
      </c>
      <c r="G18" s="1" t="s">
        <v>32</v>
      </c>
      <c r="H18" s="1" t="s">
        <v>56</v>
      </c>
      <c r="I18" s="1">
        <v>169000</v>
      </c>
      <c r="J18" s="1">
        <v>154000</v>
      </c>
      <c r="K18" s="1">
        <v>15000</v>
      </c>
      <c r="L18" s="1">
        <v>0</v>
      </c>
      <c r="M18" s="1" t="s">
        <v>34</v>
      </c>
      <c r="N18" s="1" t="s">
        <v>63</v>
      </c>
      <c r="O18" s="1" t="s">
        <v>57</v>
      </c>
      <c r="P18" s="1" t="s">
        <v>57</v>
      </c>
      <c r="Q18" s="1" t="s">
        <v>38</v>
      </c>
      <c r="R18" s="1" t="s">
        <v>383</v>
      </c>
      <c r="S18" s="3">
        <v>918445000000</v>
      </c>
      <c r="T18" s="1" t="s">
        <v>86</v>
      </c>
      <c r="U18" s="1">
        <v>89</v>
      </c>
      <c r="V18" s="1">
        <v>69</v>
      </c>
      <c r="W18" s="1" t="s">
        <v>52</v>
      </c>
      <c r="X18" s="1">
        <v>317587</v>
      </c>
      <c r="Y18" s="2">
        <v>38529</v>
      </c>
      <c r="Z18" s="1">
        <v>14.1789737171464</v>
      </c>
      <c r="AA18" s="1">
        <v>19</v>
      </c>
      <c r="AB18" s="1">
        <v>676000</v>
      </c>
      <c r="AC18" s="1">
        <f t="shared" si="0"/>
        <v>736000</v>
      </c>
      <c r="AF18">
        <v>29</v>
      </c>
    </row>
    <row r="19" spans="1:32" x14ac:dyDescent="0.25">
      <c r="A19" s="1" t="s">
        <v>396</v>
      </c>
      <c r="B19" s="1" t="s">
        <v>397</v>
      </c>
      <c r="C19" s="1" t="s">
        <v>398</v>
      </c>
      <c r="D19" s="1">
        <v>2018</v>
      </c>
      <c r="E19" s="1" t="s">
        <v>31</v>
      </c>
      <c r="F19" s="1">
        <v>4</v>
      </c>
      <c r="G19" s="1" t="s">
        <v>32</v>
      </c>
      <c r="H19" s="1" t="s">
        <v>113</v>
      </c>
      <c r="I19" s="1">
        <v>169000</v>
      </c>
      <c r="J19" s="1">
        <v>154000</v>
      </c>
      <c r="K19" s="1">
        <v>15000</v>
      </c>
      <c r="L19" s="1">
        <v>0</v>
      </c>
      <c r="M19" s="1" t="s">
        <v>34</v>
      </c>
      <c r="N19" s="1" t="s">
        <v>35</v>
      </c>
      <c r="O19" s="1" t="s">
        <v>36</v>
      </c>
      <c r="P19" s="1" t="s">
        <v>37</v>
      </c>
      <c r="Q19" s="1" t="s">
        <v>38</v>
      </c>
      <c r="R19" s="1" t="s">
        <v>399</v>
      </c>
      <c r="S19" s="3">
        <v>919606000000</v>
      </c>
      <c r="T19" s="1" t="s">
        <v>86</v>
      </c>
      <c r="U19" s="1">
        <v>89</v>
      </c>
      <c r="V19" s="1">
        <v>69</v>
      </c>
      <c r="W19" s="1" t="s">
        <v>41</v>
      </c>
      <c r="X19" s="1">
        <v>349208</v>
      </c>
      <c r="Y19" s="2">
        <v>36923</v>
      </c>
      <c r="Z19" s="1">
        <v>14.1789737171464</v>
      </c>
      <c r="AA19" s="1">
        <v>23</v>
      </c>
      <c r="AB19" s="1">
        <v>676000</v>
      </c>
      <c r="AC19" s="1">
        <f t="shared" si="0"/>
        <v>736000</v>
      </c>
    </row>
    <row r="20" spans="1:32" x14ac:dyDescent="0.25">
      <c r="A20" s="1" t="s">
        <v>424</v>
      </c>
      <c r="B20" s="1" t="s">
        <v>425</v>
      </c>
      <c r="C20" s="1" t="s">
        <v>426</v>
      </c>
      <c r="D20" s="1">
        <v>2018</v>
      </c>
      <c r="E20" s="1" t="s">
        <v>31</v>
      </c>
      <c r="F20" s="1">
        <v>4</v>
      </c>
      <c r="G20" s="1" t="s">
        <v>32</v>
      </c>
      <c r="H20" s="1" t="s">
        <v>33</v>
      </c>
      <c r="I20" s="1">
        <v>169000</v>
      </c>
      <c r="J20" s="1">
        <v>154000</v>
      </c>
      <c r="K20" s="1">
        <v>15000</v>
      </c>
      <c r="L20" s="1">
        <v>0</v>
      </c>
      <c r="M20" s="1" t="s">
        <v>34</v>
      </c>
      <c r="N20" s="1" t="s">
        <v>35</v>
      </c>
      <c r="O20" s="1" t="s">
        <v>91</v>
      </c>
      <c r="P20" s="1" t="s">
        <v>92</v>
      </c>
      <c r="Q20" s="1" t="s">
        <v>38</v>
      </c>
      <c r="R20" s="1" t="s">
        <v>427</v>
      </c>
      <c r="S20" s="3">
        <v>918664000000</v>
      </c>
      <c r="T20" s="1" t="s">
        <v>40</v>
      </c>
      <c r="U20" s="1">
        <v>89</v>
      </c>
      <c r="V20" s="1">
        <v>91</v>
      </c>
      <c r="W20" s="1" t="s">
        <v>52</v>
      </c>
      <c r="X20" s="1">
        <v>185574</v>
      </c>
      <c r="Y20" s="2">
        <v>37957</v>
      </c>
      <c r="Z20" s="1">
        <v>14.1789737171464</v>
      </c>
      <c r="AA20" s="1">
        <v>20</v>
      </c>
      <c r="AB20" s="1">
        <v>676000</v>
      </c>
      <c r="AC20" s="1">
        <f t="shared" si="0"/>
        <v>736000</v>
      </c>
    </row>
    <row r="21" spans="1:32" x14ac:dyDescent="0.25">
      <c r="A21" s="1" t="s">
        <v>432</v>
      </c>
      <c r="B21" s="1" t="s">
        <v>433</v>
      </c>
      <c r="C21" s="1" t="s">
        <v>434</v>
      </c>
      <c r="D21" s="1">
        <v>2018</v>
      </c>
      <c r="E21" s="1" t="s">
        <v>31</v>
      </c>
      <c r="F21" s="1">
        <v>4</v>
      </c>
      <c r="G21" s="1" t="s">
        <v>32</v>
      </c>
      <c r="H21" s="1" t="s">
        <v>102</v>
      </c>
      <c r="I21" s="1">
        <v>169000</v>
      </c>
      <c r="J21" s="1">
        <v>154000</v>
      </c>
      <c r="K21" s="1">
        <v>15000</v>
      </c>
      <c r="L21" s="1">
        <v>0</v>
      </c>
      <c r="M21" s="1" t="s">
        <v>34</v>
      </c>
      <c r="N21" s="1" t="s">
        <v>70</v>
      </c>
      <c r="O21" s="1" t="s">
        <v>57</v>
      </c>
      <c r="P21" s="1" t="s">
        <v>57</v>
      </c>
      <c r="Q21" s="1" t="s">
        <v>38</v>
      </c>
      <c r="R21" s="1" t="s">
        <v>435</v>
      </c>
      <c r="S21" s="3">
        <v>917241000000</v>
      </c>
      <c r="T21" s="1" t="s">
        <v>86</v>
      </c>
      <c r="U21" s="1">
        <v>89</v>
      </c>
      <c r="V21" s="1">
        <v>68</v>
      </c>
      <c r="W21" s="1" t="s">
        <v>52</v>
      </c>
      <c r="X21" s="1">
        <v>654522</v>
      </c>
      <c r="Y21" s="2">
        <v>38511</v>
      </c>
      <c r="Z21" s="1">
        <v>14.1789737171464</v>
      </c>
      <c r="AA21" s="1">
        <v>19</v>
      </c>
      <c r="AB21" s="1">
        <v>676000</v>
      </c>
      <c r="AC21" s="1">
        <f t="shared" si="0"/>
        <v>736000</v>
      </c>
    </row>
    <row r="22" spans="1:32" x14ac:dyDescent="0.25">
      <c r="A22" s="1" t="s">
        <v>440</v>
      </c>
      <c r="B22" s="1" t="s">
        <v>441</v>
      </c>
      <c r="C22" s="1" t="s">
        <v>442</v>
      </c>
      <c r="D22" s="1">
        <v>2018</v>
      </c>
      <c r="E22" s="1" t="s">
        <v>31</v>
      </c>
      <c r="F22" s="1">
        <v>4</v>
      </c>
      <c r="G22" s="1" t="s">
        <v>32</v>
      </c>
      <c r="H22" s="1" t="s">
        <v>122</v>
      </c>
      <c r="I22" s="1">
        <v>169000</v>
      </c>
      <c r="J22" s="1">
        <v>154000</v>
      </c>
      <c r="K22" s="1">
        <v>15000</v>
      </c>
      <c r="L22" s="1">
        <v>0</v>
      </c>
      <c r="M22" s="1" t="s">
        <v>5649</v>
      </c>
      <c r="N22" s="1" t="s">
        <v>63</v>
      </c>
      <c r="O22" s="1" t="s">
        <v>84</v>
      </c>
      <c r="P22" s="1" t="s">
        <v>65</v>
      </c>
      <c r="Q22" s="1" t="s">
        <v>38</v>
      </c>
      <c r="R22" s="1" t="s">
        <v>443</v>
      </c>
      <c r="S22" s="3">
        <v>917357000000</v>
      </c>
      <c r="T22" s="1" t="s">
        <v>74</v>
      </c>
      <c r="U22" s="1">
        <v>89</v>
      </c>
      <c r="V22" s="1">
        <v>76</v>
      </c>
      <c r="W22" s="1" t="s">
        <v>41</v>
      </c>
      <c r="X22" s="1">
        <v>305517</v>
      </c>
      <c r="Y22" s="2">
        <v>37700</v>
      </c>
      <c r="Z22" s="1">
        <v>14.1789737171464</v>
      </c>
      <c r="AA22" s="1">
        <v>21</v>
      </c>
      <c r="AB22" s="1">
        <v>676000</v>
      </c>
      <c r="AC22" s="1">
        <f t="shared" si="0"/>
        <v>736000</v>
      </c>
    </row>
    <row r="23" spans="1:32" x14ac:dyDescent="0.25">
      <c r="A23" s="1" t="s">
        <v>488</v>
      </c>
      <c r="B23" s="1" t="s">
        <v>489</v>
      </c>
      <c r="C23" s="1" t="s">
        <v>490</v>
      </c>
      <c r="D23" s="1">
        <v>2018</v>
      </c>
      <c r="E23" s="1" t="s">
        <v>31</v>
      </c>
      <c r="F23" s="1">
        <v>4</v>
      </c>
      <c r="G23" s="1" t="s">
        <v>32</v>
      </c>
      <c r="H23" s="1" t="s">
        <v>56</v>
      </c>
      <c r="I23" s="1">
        <v>169000</v>
      </c>
      <c r="J23" s="1">
        <v>154000</v>
      </c>
      <c r="K23" s="1">
        <v>15000</v>
      </c>
      <c r="L23" s="1">
        <v>0</v>
      </c>
      <c r="M23" s="1" t="s">
        <v>34</v>
      </c>
      <c r="N23" s="1" t="s">
        <v>35</v>
      </c>
      <c r="O23" s="1" t="s">
        <v>103</v>
      </c>
      <c r="P23" s="1" t="s">
        <v>104</v>
      </c>
      <c r="Q23" s="1" t="s">
        <v>38</v>
      </c>
      <c r="R23" s="1" t="s">
        <v>491</v>
      </c>
      <c r="S23" s="3">
        <v>917934000000</v>
      </c>
      <c r="T23" s="1" t="s">
        <v>74</v>
      </c>
      <c r="U23" s="1">
        <v>88</v>
      </c>
      <c r="V23" s="1">
        <v>91</v>
      </c>
      <c r="W23" s="1" t="s">
        <v>52</v>
      </c>
      <c r="X23" s="1">
        <v>754042</v>
      </c>
      <c r="Y23" s="2">
        <v>37842</v>
      </c>
      <c r="Z23" s="1">
        <v>13.1789737171464</v>
      </c>
      <c r="AA23" s="1">
        <v>20</v>
      </c>
      <c r="AB23" s="1">
        <v>676000</v>
      </c>
      <c r="AC23" s="1">
        <f t="shared" si="0"/>
        <v>736000</v>
      </c>
    </row>
    <row r="24" spans="1:32" x14ac:dyDescent="0.25">
      <c r="A24" s="1" t="s">
        <v>530</v>
      </c>
      <c r="B24" s="1" t="s">
        <v>531</v>
      </c>
      <c r="C24" s="1" t="s">
        <v>532</v>
      </c>
      <c r="D24" s="1">
        <v>2018</v>
      </c>
      <c r="E24" s="1" t="s">
        <v>31</v>
      </c>
      <c r="F24" s="1">
        <v>4</v>
      </c>
      <c r="G24" s="1" t="s">
        <v>32</v>
      </c>
      <c r="H24" s="1" t="s">
        <v>47</v>
      </c>
      <c r="I24" s="1">
        <v>169000</v>
      </c>
      <c r="J24" s="1">
        <v>154000</v>
      </c>
      <c r="K24" s="1">
        <v>15000</v>
      </c>
      <c r="L24" s="1">
        <v>0</v>
      </c>
      <c r="M24" s="1" t="s">
        <v>34</v>
      </c>
      <c r="N24" s="1" t="s">
        <v>70</v>
      </c>
      <c r="O24" s="1" t="s">
        <v>91</v>
      </c>
      <c r="P24" s="1" t="s">
        <v>92</v>
      </c>
      <c r="Q24" s="1" t="s">
        <v>38</v>
      </c>
      <c r="R24" s="1" t="s">
        <v>533</v>
      </c>
      <c r="S24" s="3">
        <v>919449000000</v>
      </c>
      <c r="T24" s="1" t="s">
        <v>74</v>
      </c>
      <c r="U24" s="1">
        <v>88</v>
      </c>
      <c r="V24" s="1">
        <v>74</v>
      </c>
      <c r="W24" s="1" t="s">
        <v>52</v>
      </c>
      <c r="X24" s="1">
        <v>114032</v>
      </c>
      <c r="Y24" s="2">
        <v>38118</v>
      </c>
      <c r="Z24" s="1">
        <v>13.1789737171464</v>
      </c>
      <c r="AA24" s="1">
        <v>20</v>
      </c>
      <c r="AB24" s="1">
        <v>676000</v>
      </c>
      <c r="AC24" s="1">
        <f t="shared" si="0"/>
        <v>736000</v>
      </c>
    </row>
    <row r="25" spans="1:32" x14ac:dyDescent="0.25">
      <c r="A25" s="1" t="s">
        <v>550</v>
      </c>
      <c r="B25" s="1" t="s">
        <v>551</v>
      </c>
      <c r="C25" s="1" t="s">
        <v>552</v>
      </c>
      <c r="D25" s="1">
        <v>2018</v>
      </c>
      <c r="E25" s="1" t="s">
        <v>31</v>
      </c>
      <c r="F25" s="1">
        <v>4</v>
      </c>
      <c r="G25" s="1" t="s">
        <v>32</v>
      </c>
      <c r="H25" s="1" t="s">
        <v>62</v>
      </c>
      <c r="I25" s="1">
        <v>169000</v>
      </c>
      <c r="J25" s="1">
        <v>154000</v>
      </c>
      <c r="K25" s="1">
        <v>15000</v>
      </c>
      <c r="L25" s="1">
        <v>0</v>
      </c>
      <c r="M25" s="1" t="s">
        <v>34</v>
      </c>
      <c r="N25" s="1" t="s">
        <v>70</v>
      </c>
      <c r="O25" s="1" t="s">
        <v>48</v>
      </c>
      <c r="P25" s="1" t="s">
        <v>49</v>
      </c>
      <c r="Q25" s="1" t="s">
        <v>38</v>
      </c>
      <c r="R25" s="1" t="s">
        <v>553</v>
      </c>
      <c r="S25" s="3">
        <v>917674000000</v>
      </c>
      <c r="T25" s="1" t="s">
        <v>51</v>
      </c>
      <c r="U25" s="1">
        <v>88</v>
      </c>
      <c r="V25" s="1">
        <v>83</v>
      </c>
      <c r="W25" s="1" t="s">
        <v>52</v>
      </c>
      <c r="X25" s="1">
        <v>276739</v>
      </c>
      <c r="Y25" s="2">
        <v>38225</v>
      </c>
      <c r="Z25" s="1">
        <v>13.1789737171464</v>
      </c>
      <c r="AA25" s="1">
        <v>19</v>
      </c>
      <c r="AB25" s="1">
        <v>676000</v>
      </c>
      <c r="AC25" s="1">
        <f t="shared" si="0"/>
        <v>736000</v>
      </c>
    </row>
    <row r="26" spans="1:32" x14ac:dyDescent="0.25">
      <c r="A26" s="1" t="s">
        <v>566</v>
      </c>
      <c r="B26" s="1" t="s">
        <v>567</v>
      </c>
      <c r="C26" s="1" t="s">
        <v>568</v>
      </c>
      <c r="D26" s="1">
        <v>2018</v>
      </c>
      <c r="E26" s="1" t="s">
        <v>31</v>
      </c>
      <c r="F26" s="1">
        <v>4</v>
      </c>
      <c r="G26" s="1" t="s">
        <v>32</v>
      </c>
      <c r="H26" s="1" t="s">
        <v>210</v>
      </c>
      <c r="I26" s="1">
        <v>169000</v>
      </c>
      <c r="J26" s="1">
        <v>154000</v>
      </c>
      <c r="K26" s="1">
        <v>15000</v>
      </c>
      <c r="L26" s="1">
        <v>0</v>
      </c>
      <c r="M26" s="1" t="s">
        <v>34</v>
      </c>
      <c r="N26" s="1" t="s">
        <v>70</v>
      </c>
      <c r="O26" s="1" t="s">
        <v>188</v>
      </c>
      <c r="P26" s="1" t="s">
        <v>189</v>
      </c>
      <c r="Q26" s="1" t="s">
        <v>38</v>
      </c>
      <c r="R26" s="1" t="s">
        <v>569</v>
      </c>
      <c r="S26" s="3">
        <v>917468000000</v>
      </c>
      <c r="T26" s="1" t="s">
        <v>98</v>
      </c>
      <c r="U26" s="1">
        <v>88</v>
      </c>
      <c r="V26" s="1">
        <v>70</v>
      </c>
      <c r="W26" s="1" t="s">
        <v>52</v>
      </c>
      <c r="X26" s="1">
        <v>315710</v>
      </c>
      <c r="Y26" s="2">
        <v>38755</v>
      </c>
      <c r="Z26" s="1">
        <v>13.1789737171464</v>
      </c>
      <c r="AA26" s="1">
        <v>18</v>
      </c>
      <c r="AB26" s="1">
        <v>676000</v>
      </c>
      <c r="AC26" s="1">
        <f t="shared" si="0"/>
        <v>736000</v>
      </c>
    </row>
    <row r="27" spans="1:32" x14ac:dyDescent="0.25">
      <c r="A27" s="1" t="s">
        <v>570</v>
      </c>
      <c r="B27" s="1" t="s">
        <v>571</v>
      </c>
      <c r="C27" s="1" t="s">
        <v>572</v>
      </c>
      <c r="D27" s="1">
        <v>2018</v>
      </c>
      <c r="E27" s="1" t="s">
        <v>31</v>
      </c>
      <c r="F27" s="1">
        <v>4</v>
      </c>
      <c r="G27" s="1" t="s">
        <v>32</v>
      </c>
      <c r="H27" s="1" t="s">
        <v>47</v>
      </c>
      <c r="I27" s="1">
        <v>169000</v>
      </c>
      <c r="J27" s="1">
        <v>154000</v>
      </c>
      <c r="K27" s="1">
        <v>15000</v>
      </c>
      <c r="L27" s="1">
        <v>0</v>
      </c>
      <c r="M27" s="1" t="s">
        <v>34</v>
      </c>
      <c r="N27" s="1" t="s">
        <v>70</v>
      </c>
      <c r="O27" s="1" t="s">
        <v>48</v>
      </c>
      <c r="P27" s="1" t="s">
        <v>49</v>
      </c>
      <c r="Q27" s="1" t="s">
        <v>38</v>
      </c>
      <c r="R27" s="1" t="s">
        <v>573</v>
      </c>
      <c r="S27" s="3">
        <v>919151000000</v>
      </c>
      <c r="T27" s="1" t="s">
        <v>51</v>
      </c>
      <c r="U27" s="1">
        <v>88</v>
      </c>
      <c r="V27" s="1">
        <v>83</v>
      </c>
      <c r="W27" s="1" t="s">
        <v>52</v>
      </c>
      <c r="X27" s="1">
        <v>535978</v>
      </c>
      <c r="Y27" s="2">
        <v>38567</v>
      </c>
      <c r="Z27" s="1">
        <v>13.1789737171464</v>
      </c>
      <c r="AA27" s="1">
        <v>18</v>
      </c>
      <c r="AB27" s="1">
        <v>676000</v>
      </c>
      <c r="AC27" s="1">
        <f t="shared" si="0"/>
        <v>736000</v>
      </c>
    </row>
    <row r="28" spans="1:32" x14ac:dyDescent="0.25">
      <c r="A28" s="1" t="s">
        <v>574</v>
      </c>
      <c r="B28" s="1" t="s">
        <v>575</v>
      </c>
      <c r="C28" s="1" t="s">
        <v>576</v>
      </c>
      <c r="D28" s="1">
        <v>2018</v>
      </c>
      <c r="E28" s="1" t="s">
        <v>31</v>
      </c>
      <c r="F28" s="1">
        <v>4</v>
      </c>
      <c r="G28" s="1" t="s">
        <v>32</v>
      </c>
      <c r="H28" s="1" t="s">
        <v>90</v>
      </c>
      <c r="I28" s="1">
        <v>169000</v>
      </c>
      <c r="J28" s="1">
        <v>154000</v>
      </c>
      <c r="K28" s="1">
        <v>15000</v>
      </c>
      <c r="L28" s="1">
        <v>0</v>
      </c>
      <c r="M28" s="1" t="s">
        <v>34</v>
      </c>
      <c r="N28" s="1" t="s">
        <v>70</v>
      </c>
      <c r="O28" s="1" t="s">
        <v>57</v>
      </c>
      <c r="P28" s="1" t="s">
        <v>57</v>
      </c>
      <c r="Q28" s="1" t="s">
        <v>38</v>
      </c>
      <c r="R28" s="1" t="s">
        <v>577</v>
      </c>
      <c r="S28" s="3">
        <v>917431000000</v>
      </c>
      <c r="T28" s="1" t="s">
        <v>86</v>
      </c>
      <c r="U28" s="1">
        <v>88</v>
      </c>
      <c r="V28" s="1">
        <v>70</v>
      </c>
      <c r="W28" s="1" t="s">
        <v>41</v>
      </c>
      <c r="X28" s="1">
        <v>752227</v>
      </c>
      <c r="Y28" s="2">
        <v>38667</v>
      </c>
      <c r="Z28" s="1">
        <v>13.1789737171464</v>
      </c>
      <c r="AA28" s="1">
        <v>18</v>
      </c>
      <c r="AB28" s="1">
        <v>676000</v>
      </c>
      <c r="AC28" s="1">
        <f t="shared" si="0"/>
        <v>736000</v>
      </c>
    </row>
    <row r="29" spans="1:32" x14ac:dyDescent="0.25">
      <c r="A29" s="1" t="s">
        <v>582</v>
      </c>
      <c r="B29" s="1" t="s">
        <v>583</v>
      </c>
      <c r="C29" s="1" t="s">
        <v>584</v>
      </c>
      <c r="D29" s="1">
        <v>2018</v>
      </c>
      <c r="E29" s="1" t="s">
        <v>31</v>
      </c>
      <c r="F29" s="1">
        <v>4</v>
      </c>
      <c r="G29" s="1" t="s">
        <v>32</v>
      </c>
      <c r="H29" s="1" t="s">
        <v>102</v>
      </c>
      <c r="I29" s="1">
        <v>169000</v>
      </c>
      <c r="J29" s="1">
        <v>154000</v>
      </c>
      <c r="K29" s="1">
        <v>15000</v>
      </c>
      <c r="L29" s="1">
        <v>0</v>
      </c>
      <c r="M29" s="1" t="s">
        <v>34</v>
      </c>
      <c r="N29" s="1" t="s">
        <v>63</v>
      </c>
      <c r="O29" s="1" t="s">
        <v>78</v>
      </c>
      <c r="P29" s="1" t="s">
        <v>79</v>
      </c>
      <c r="Q29" s="1" t="s">
        <v>38</v>
      </c>
      <c r="R29" s="1" t="s">
        <v>585</v>
      </c>
      <c r="S29" s="3">
        <v>917689000000</v>
      </c>
      <c r="T29" s="1" t="s">
        <v>51</v>
      </c>
      <c r="U29" s="1">
        <v>88</v>
      </c>
      <c r="V29" s="1">
        <v>83</v>
      </c>
      <c r="W29" s="1" t="s">
        <v>52</v>
      </c>
      <c r="X29" s="1">
        <v>289925</v>
      </c>
      <c r="Y29" s="2">
        <v>38881</v>
      </c>
      <c r="Z29" s="1">
        <v>13.1789737171464</v>
      </c>
      <c r="AA29" s="1">
        <v>18</v>
      </c>
      <c r="AB29" s="1">
        <v>676000</v>
      </c>
      <c r="AC29" s="1">
        <f t="shared" si="0"/>
        <v>736000</v>
      </c>
    </row>
    <row r="30" spans="1:32" x14ac:dyDescent="0.25">
      <c r="A30" s="1" t="s">
        <v>586</v>
      </c>
      <c r="B30" s="1" t="s">
        <v>587</v>
      </c>
      <c r="C30" s="1" t="s">
        <v>588</v>
      </c>
      <c r="D30" s="1">
        <v>2018</v>
      </c>
      <c r="E30" s="1" t="s">
        <v>31</v>
      </c>
      <c r="F30" s="1">
        <v>4</v>
      </c>
      <c r="G30" s="1" t="s">
        <v>32</v>
      </c>
      <c r="H30" s="1" t="s">
        <v>113</v>
      </c>
      <c r="I30" s="1">
        <v>169000</v>
      </c>
      <c r="J30" s="1">
        <v>154000</v>
      </c>
      <c r="K30" s="1">
        <v>15000</v>
      </c>
      <c r="L30" s="1">
        <v>0</v>
      </c>
      <c r="M30" s="1" t="s">
        <v>34</v>
      </c>
      <c r="N30" s="1" t="s">
        <v>63</v>
      </c>
      <c r="O30" s="1" t="s">
        <v>84</v>
      </c>
      <c r="P30" s="1" t="s">
        <v>65</v>
      </c>
      <c r="Q30" s="1" t="s">
        <v>38</v>
      </c>
      <c r="R30" s="1" t="s">
        <v>589</v>
      </c>
      <c r="S30" s="3">
        <v>917298000000</v>
      </c>
      <c r="T30" s="1" t="s">
        <v>40</v>
      </c>
      <c r="U30" s="1">
        <v>88</v>
      </c>
      <c r="V30" s="1">
        <v>71</v>
      </c>
      <c r="W30" s="1" t="s">
        <v>41</v>
      </c>
      <c r="X30" s="1">
        <v>311544</v>
      </c>
      <c r="Y30" s="2">
        <v>38645</v>
      </c>
      <c r="Z30" s="1">
        <v>13.1789737171464</v>
      </c>
      <c r="AA30" s="1">
        <v>18</v>
      </c>
      <c r="AB30" s="1">
        <v>676000</v>
      </c>
      <c r="AC30" s="1">
        <f t="shared" si="0"/>
        <v>736000</v>
      </c>
    </row>
    <row r="31" spans="1:32" x14ac:dyDescent="0.25">
      <c r="A31" s="1" t="s">
        <v>598</v>
      </c>
      <c r="B31" s="1" t="s">
        <v>599</v>
      </c>
      <c r="C31" s="1" t="s">
        <v>600</v>
      </c>
      <c r="D31" s="1">
        <v>2018</v>
      </c>
      <c r="E31" s="1" t="s">
        <v>31</v>
      </c>
      <c r="F31" s="1">
        <v>4</v>
      </c>
      <c r="G31" s="1" t="s">
        <v>32</v>
      </c>
      <c r="H31" s="1" t="s">
        <v>151</v>
      </c>
      <c r="I31" s="1">
        <v>169000</v>
      </c>
      <c r="J31" s="1">
        <v>154000</v>
      </c>
      <c r="K31" s="1">
        <v>15000</v>
      </c>
      <c r="L31" s="1">
        <v>0</v>
      </c>
      <c r="M31" s="1" t="s">
        <v>34</v>
      </c>
      <c r="N31" s="1" t="s">
        <v>35</v>
      </c>
      <c r="O31" s="1" t="s">
        <v>57</v>
      </c>
      <c r="P31" s="1" t="s">
        <v>57</v>
      </c>
      <c r="Q31" s="1" t="s">
        <v>38</v>
      </c>
      <c r="R31" s="1" t="s">
        <v>601</v>
      </c>
      <c r="S31" s="3">
        <v>919968000000</v>
      </c>
      <c r="T31" s="1" t="s">
        <v>98</v>
      </c>
      <c r="U31" s="1">
        <v>88</v>
      </c>
      <c r="V31" s="1">
        <v>69</v>
      </c>
      <c r="W31" s="1" t="s">
        <v>52</v>
      </c>
      <c r="X31" s="1">
        <v>117605</v>
      </c>
      <c r="Y31" s="2">
        <v>38608</v>
      </c>
      <c r="Z31" s="1">
        <v>13.1789737171464</v>
      </c>
      <c r="AA31" s="1">
        <v>18</v>
      </c>
      <c r="AB31" s="1">
        <v>676000</v>
      </c>
      <c r="AC31" s="1">
        <f t="shared" si="0"/>
        <v>736000</v>
      </c>
    </row>
    <row r="32" spans="1:32" x14ac:dyDescent="0.25">
      <c r="A32" s="1" t="s">
        <v>602</v>
      </c>
      <c r="B32" s="1" t="s">
        <v>603</v>
      </c>
      <c r="C32" s="1" t="s">
        <v>604</v>
      </c>
      <c r="D32" s="1">
        <v>2018</v>
      </c>
      <c r="E32" s="1" t="s">
        <v>31</v>
      </c>
      <c r="F32" s="1">
        <v>4</v>
      </c>
      <c r="G32" s="1" t="s">
        <v>32</v>
      </c>
      <c r="H32" s="1" t="s">
        <v>102</v>
      </c>
      <c r="I32" s="1">
        <v>169000</v>
      </c>
      <c r="J32" s="1">
        <v>154000</v>
      </c>
      <c r="K32" s="1">
        <v>15000</v>
      </c>
      <c r="L32" s="1">
        <v>0</v>
      </c>
      <c r="M32" s="1" t="s">
        <v>34</v>
      </c>
      <c r="N32" s="1" t="s">
        <v>63</v>
      </c>
      <c r="O32" s="1" t="s">
        <v>57</v>
      </c>
      <c r="P32" s="1" t="s">
        <v>57</v>
      </c>
      <c r="Q32" s="1" t="s">
        <v>38</v>
      </c>
      <c r="R32" s="1" t="s">
        <v>605</v>
      </c>
      <c r="S32" s="3">
        <v>918545000000</v>
      </c>
      <c r="T32" s="1" t="s">
        <v>98</v>
      </c>
      <c r="U32" s="1">
        <v>88</v>
      </c>
      <c r="V32" s="1">
        <v>71</v>
      </c>
      <c r="W32" s="1" t="s">
        <v>52</v>
      </c>
      <c r="X32" s="1">
        <v>758051</v>
      </c>
      <c r="Y32" s="2">
        <v>38387</v>
      </c>
      <c r="Z32" s="1">
        <v>13.1789737171464</v>
      </c>
      <c r="AA32" s="1">
        <v>19</v>
      </c>
      <c r="AB32" s="1">
        <v>676000</v>
      </c>
      <c r="AC32" s="1">
        <f t="shared" si="0"/>
        <v>736000</v>
      </c>
    </row>
    <row r="33" spans="1:29" x14ac:dyDescent="0.25">
      <c r="A33" s="1" t="s">
        <v>610</v>
      </c>
      <c r="B33" s="1" t="s">
        <v>611</v>
      </c>
      <c r="C33" s="1" t="s">
        <v>612</v>
      </c>
      <c r="D33" s="1">
        <v>2018</v>
      </c>
      <c r="E33" s="1" t="s">
        <v>31</v>
      </c>
      <c r="F33" s="1">
        <v>4</v>
      </c>
      <c r="G33" s="1" t="s">
        <v>32</v>
      </c>
      <c r="H33" s="1" t="s">
        <v>151</v>
      </c>
      <c r="I33" s="1">
        <v>169000</v>
      </c>
      <c r="J33" s="1">
        <v>154000</v>
      </c>
      <c r="K33" s="1">
        <v>15000</v>
      </c>
      <c r="L33" s="1">
        <v>0</v>
      </c>
      <c r="M33" s="1" t="s">
        <v>34</v>
      </c>
      <c r="N33" s="1" t="s">
        <v>70</v>
      </c>
      <c r="O33" s="1" t="s">
        <v>71</v>
      </c>
      <c r="P33" s="1" t="s">
        <v>72</v>
      </c>
      <c r="Q33" s="1" t="s">
        <v>38</v>
      </c>
      <c r="R33" s="1" t="s">
        <v>613</v>
      </c>
      <c r="S33" s="3">
        <v>917238000000</v>
      </c>
      <c r="T33" s="1" t="s">
        <v>40</v>
      </c>
      <c r="U33" s="1">
        <v>88</v>
      </c>
      <c r="V33" s="1">
        <v>80</v>
      </c>
      <c r="W33" s="1" t="s">
        <v>41</v>
      </c>
      <c r="X33" s="1">
        <v>781658</v>
      </c>
      <c r="Y33" s="2">
        <v>36765</v>
      </c>
      <c r="Z33" s="1">
        <v>13.1789737171464</v>
      </c>
      <c r="AA33" s="1">
        <v>23</v>
      </c>
      <c r="AB33" s="1">
        <v>676000</v>
      </c>
      <c r="AC33" s="1">
        <f t="shared" si="0"/>
        <v>736000</v>
      </c>
    </row>
    <row r="34" spans="1:29" x14ac:dyDescent="0.25">
      <c r="A34" s="1" t="s">
        <v>614</v>
      </c>
      <c r="B34" s="1" t="s">
        <v>615</v>
      </c>
      <c r="C34" s="1" t="s">
        <v>616</v>
      </c>
      <c r="D34" s="1">
        <v>2018</v>
      </c>
      <c r="E34" s="1" t="s">
        <v>31</v>
      </c>
      <c r="F34" s="1">
        <v>4</v>
      </c>
      <c r="G34" s="1" t="s">
        <v>32</v>
      </c>
      <c r="H34" s="1" t="s">
        <v>33</v>
      </c>
      <c r="I34" s="1">
        <v>169000</v>
      </c>
      <c r="J34" s="1">
        <v>154000</v>
      </c>
      <c r="K34" s="1">
        <v>15000</v>
      </c>
      <c r="L34" s="1">
        <v>0</v>
      </c>
      <c r="M34" s="1" t="s">
        <v>34</v>
      </c>
      <c r="N34" s="1" t="s">
        <v>35</v>
      </c>
      <c r="O34" s="1" t="s">
        <v>188</v>
      </c>
      <c r="P34" s="1" t="s">
        <v>189</v>
      </c>
      <c r="Q34" s="1" t="s">
        <v>38</v>
      </c>
      <c r="R34" s="1" t="s">
        <v>617</v>
      </c>
      <c r="S34" s="3">
        <v>919166000000</v>
      </c>
      <c r="T34" s="1" t="s">
        <v>86</v>
      </c>
      <c r="U34" s="1">
        <v>88</v>
      </c>
      <c r="V34" s="1">
        <v>80</v>
      </c>
      <c r="W34" s="1" t="s">
        <v>41</v>
      </c>
      <c r="X34" s="1">
        <v>675307</v>
      </c>
      <c r="Y34" s="2">
        <v>37325</v>
      </c>
      <c r="Z34" s="1">
        <v>13.1789737171464</v>
      </c>
      <c r="AA34" s="1">
        <v>22</v>
      </c>
      <c r="AB34" s="1">
        <v>676000</v>
      </c>
      <c r="AC34" s="1">
        <f t="shared" si="0"/>
        <v>736000</v>
      </c>
    </row>
    <row r="35" spans="1:29" x14ac:dyDescent="0.25">
      <c r="A35" s="1" t="s">
        <v>630</v>
      </c>
      <c r="B35" s="1" t="s">
        <v>631</v>
      </c>
      <c r="C35" s="1" t="s">
        <v>632</v>
      </c>
      <c r="D35" s="1">
        <v>2018</v>
      </c>
      <c r="E35" s="1" t="s">
        <v>31</v>
      </c>
      <c r="F35" s="1">
        <v>4</v>
      </c>
      <c r="G35" s="1" t="s">
        <v>32</v>
      </c>
      <c r="H35" s="1" t="s">
        <v>102</v>
      </c>
      <c r="I35" s="1">
        <v>169000</v>
      </c>
      <c r="J35" s="1">
        <v>154000</v>
      </c>
      <c r="K35" s="1">
        <v>15000</v>
      </c>
      <c r="L35" s="1">
        <v>0</v>
      </c>
      <c r="M35" s="1" t="s">
        <v>34</v>
      </c>
      <c r="N35" s="1" t="s">
        <v>35</v>
      </c>
      <c r="O35" s="1" t="s">
        <v>78</v>
      </c>
      <c r="P35" s="1" t="s">
        <v>79</v>
      </c>
      <c r="Q35" s="1" t="s">
        <v>38</v>
      </c>
      <c r="R35" s="1" t="s">
        <v>633</v>
      </c>
      <c r="S35" s="3">
        <v>917519000000</v>
      </c>
      <c r="T35" s="1" t="s">
        <v>74</v>
      </c>
      <c r="U35" s="1">
        <v>88</v>
      </c>
      <c r="V35" s="1">
        <v>68</v>
      </c>
      <c r="W35" s="1" t="s">
        <v>52</v>
      </c>
      <c r="X35" s="1">
        <v>743113</v>
      </c>
      <c r="Y35" s="2">
        <v>38657</v>
      </c>
      <c r="Z35" s="1">
        <v>13.1789737171464</v>
      </c>
      <c r="AA35" s="1">
        <v>18</v>
      </c>
      <c r="AB35" s="1">
        <v>676000</v>
      </c>
      <c r="AC35" s="1">
        <f t="shared" si="0"/>
        <v>736000</v>
      </c>
    </row>
    <row r="36" spans="1:29" x14ac:dyDescent="0.25">
      <c r="A36" s="1" t="s">
        <v>680</v>
      </c>
      <c r="B36" s="1" t="s">
        <v>681</v>
      </c>
      <c r="C36" s="1" t="s">
        <v>682</v>
      </c>
      <c r="D36" s="1">
        <v>2018</v>
      </c>
      <c r="E36" s="1" t="s">
        <v>31</v>
      </c>
      <c r="F36" s="1">
        <v>4</v>
      </c>
      <c r="G36" s="1" t="s">
        <v>32</v>
      </c>
      <c r="H36" s="1" t="s">
        <v>62</v>
      </c>
      <c r="I36" s="1">
        <v>169000</v>
      </c>
      <c r="J36" s="1">
        <v>154000</v>
      </c>
      <c r="K36" s="1">
        <v>15000</v>
      </c>
      <c r="L36" s="1">
        <v>0</v>
      </c>
      <c r="M36" s="1" t="s">
        <v>34</v>
      </c>
      <c r="N36" s="1" t="s">
        <v>63</v>
      </c>
      <c r="O36" s="1" t="s">
        <v>188</v>
      </c>
      <c r="P36" s="1" t="s">
        <v>189</v>
      </c>
      <c r="Q36" s="1" t="s">
        <v>38</v>
      </c>
      <c r="R36" s="1" t="s">
        <v>683</v>
      </c>
      <c r="S36" s="3">
        <v>917708000000</v>
      </c>
      <c r="T36" s="1" t="s">
        <v>40</v>
      </c>
      <c r="U36" s="1">
        <v>87</v>
      </c>
      <c r="V36" s="1">
        <v>76</v>
      </c>
      <c r="W36" s="1" t="s">
        <v>41</v>
      </c>
      <c r="X36" s="1">
        <v>294215</v>
      </c>
      <c r="Y36" s="2">
        <v>37000</v>
      </c>
      <c r="Z36" s="1">
        <v>12.1789737171464</v>
      </c>
      <c r="AA36" s="1">
        <v>23</v>
      </c>
      <c r="AB36" s="1">
        <v>676000</v>
      </c>
      <c r="AC36" s="1">
        <f t="shared" si="0"/>
        <v>736000</v>
      </c>
    </row>
    <row r="37" spans="1:29" x14ac:dyDescent="0.25">
      <c r="A37" s="1" t="s">
        <v>696</v>
      </c>
      <c r="B37" s="1" t="s">
        <v>697</v>
      </c>
      <c r="C37" s="1" t="s">
        <v>698</v>
      </c>
      <c r="D37" s="1">
        <v>2018</v>
      </c>
      <c r="E37" s="1" t="s">
        <v>31</v>
      </c>
      <c r="F37" s="1">
        <v>4</v>
      </c>
      <c r="G37" s="1" t="s">
        <v>32</v>
      </c>
      <c r="H37" s="1" t="s">
        <v>151</v>
      </c>
      <c r="I37" s="1">
        <v>169000</v>
      </c>
      <c r="J37" s="1">
        <v>154000</v>
      </c>
      <c r="K37" s="1">
        <v>15000</v>
      </c>
      <c r="L37" s="1">
        <v>0</v>
      </c>
      <c r="M37" s="1" t="s">
        <v>34</v>
      </c>
      <c r="N37" s="1" t="s">
        <v>70</v>
      </c>
      <c r="O37" s="1" t="s">
        <v>91</v>
      </c>
      <c r="P37" s="1" t="s">
        <v>92</v>
      </c>
      <c r="Q37" s="1" t="s">
        <v>38</v>
      </c>
      <c r="R37" s="1" t="s">
        <v>699</v>
      </c>
      <c r="S37" s="3">
        <v>919960000000</v>
      </c>
      <c r="T37" s="1" t="s">
        <v>98</v>
      </c>
      <c r="U37" s="1">
        <v>87</v>
      </c>
      <c r="V37" s="1">
        <v>69</v>
      </c>
      <c r="W37" s="1" t="s">
        <v>41</v>
      </c>
      <c r="X37" s="1">
        <v>309070</v>
      </c>
      <c r="Y37" s="2">
        <v>38627</v>
      </c>
      <c r="Z37" s="1">
        <v>12.1789737171464</v>
      </c>
      <c r="AA37" s="1">
        <v>18</v>
      </c>
      <c r="AB37" s="1">
        <v>676000</v>
      </c>
      <c r="AC37" s="1">
        <f t="shared" si="0"/>
        <v>736000</v>
      </c>
    </row>
    <row r="38" spans="1:29" x14ac:dyDescent="0.25">
      <c r="A38" s="1" t="s">
        <v>734</v>
      </c>
      <c r="B38" s="1" t="s">
        <v>735</v>
      </c>
      <c r="C38" s="1" t="s">
        <v>736</v>
      </c>
      <c r="D38" s="1">
        <v>2018</v>
      </c>
      <c r="E38" s="1" t="s">
        <v>31</v>
      </c>
      <c r="F38" s="1">
        <v>4</v>
      </c>
      <c r="G38" s="1" t="s">
        <v>32</v>
      </c>
      <c r="H38" s="1" t="s">
        <v>102</v>
      </c>
      <c r="I38" s="1">
        <v>169000</v>
      </c>
      <c r="J38" s="1">
        <v>154000</v>
      </c>
      <c r="K38" s="1">
        <v>15000</v>
      </c>
      <c r="L38" s="1">
        <v>0</v>
      </c>
      <c r="M38" s="1" t="s">
        <v>34</v>
      </c>
      <c r="N38" s="1" t="s">
        <v>63</v>
      </c>
      <c r="O38" s="1" t="s">
        <v>48</v>
      </c>
      <c r="P38" s="1" t="s">
        <v>49</v>
      </c>
      <c r="Q38" s="1" t="s">
        <v>38</v>
      </c>
      <c r="R38" s="1" t="s">
        <v>737</v>
      </c>
      <c r="S38" s="3">
        <v>919024000000</v>
      </c>
      <c r="T38" s="1" t="s">
        <v>74</v>
      </c>
      <c r="U38" s="1">
        <v>87</v>
      </c>
      <c r="V38" s="1">
        <v>85</v>
      </c>
      <c r="W38" s="1" t="s">
        <v>41</v>
      </c>
      <c r="X38" s="1">
        <v>446602</v>
      </c>
      <c r="Y38" s="2">
        <v>38113</v>
      </c>
      <c r="Z38" s="1">
        <v>12.1789737171464</v>
      </c>
      <c r="AA38" s="1">
        <v>20</v>
      </c>
      <c r="AB38" s="1">
        <v>676000</v>
      </c>
      <c r="AC38" s="1">
        <f t="shared" si="0"/>
        <v>736000</v>
      </c>
    </row>
    <row r="39" spans="1:29" x14ac:dyDescent="0.25">
      <c r="A39" s="1" t="s">
        <v>762</v>
      </c>
      <c r="B39" s="1" t="s">
        <v>763</v>
      </c>
      <c r="C39" s="1" t="s">
        <v>764</v>
      </c>
      <c r="D39" s="1">
        <v>2018</v>
      </c>
      <c r="E39" s="1" t="s">
        <v>45</v>
      </c>
      <c r="F39" s="1">
        <v>2</v>
      </c>
      <c r="G39" s="1" t="s">
        <v>46</v>
      </c>
      <c r="H39" s="1" t="s">
        <v>62</v>
      </c>
      <c r="I39" s="1">
        <v>92000</v>
      </c>
      <c r="J39" s="1">
        <v>77000</v>
      </c>
      <c r="K39" s="1">
        <v>15000</v>
      </c>
      <c r="L39" s="1">
        <v>0</v>
      </c>
      <c r="M39" s="1" t="s">
        <v>5649</v>
      </c>
      <c r="N39" s="1" t="s">
        <v>35</v>
      </c>
      <c r="O39" s="1" t="s">
        <v>64</v>
      </c>
      <c r="P39" s="1" t="s">
        <v>65</v>
      </c>
      <c r="Q39" s="1" t="s">
        <v>38</v>
      </c>
      <c r="R39" s="1" t="s">
        <v>765</v>
      </c>
      <c r="S39" s="3">
        <v>918611000000</v>
      </c>
      <c r="T39" s="1" t="s">
        <v>86</v>
      </c>
      <c r="U39" s="1">
        <v>87</v>
      </c>
      <c r="V39" s="1">
        <v>74</v>
      </c>
      <c r="W39" s="1" t="s">
        <v>52</v>
      </c>
      <c r="X39" s="1">
        <v>132957</v>
      </c>
      <c r="Y39" s="2">
        <v>36657</v>
      </c>
      <c r="Z39" s="1">
        <v>12.1789737171464</v>
      </c>
      <c r="AA39" s="1">
        <v>24</v>
      </c>
      <c r="AB39" s="1">
        <v>184000</v>
      </c>
      <c r="AC39" s="1">
        <f t="shared" si="0"/>
        <v>214000</v>
      </c>
    </row>
    <row r="40" spans="1:29" x14ac:dyDescent="0.25">
      <c r="A40" s="1" t="s">
        <v>786</v>
      </c>
      <c r="B40" s="1" t="s">
        <v>787</v>
      </c>
      <c r="C40" s="1" t="s">
        <v>788</v>
      </c>
      <c r="D40" s="1">
        <v>2018</v>
      </c>
      <c r="E40" s="1" t="s">
        <v>31</v>
      </c>
      <c r="F40" s="1">
        <v>4</v>
      </c>
      <c r="G40" s="1" t="s">
        <v>32</v>
      </c>
      <c r="H40" s="1" t="s">
        <v>33</v>
      </c>
      <c r="I40" s="1">
        <v>169000</v>
      </c>
      <c r="J40" s="1">
        <v>154000</v>
      </c>
      <c r="K40" s="1">
        <v>15000</v>
      </c>
      <c r="L40" s="1">
        <v>0</v>
      </c>
      <c r="M40" s="1" t="s">
        <v>5649</v>
      </c>
      <c r="N40" s="1" t="s">
        <v>35</v>
      </c>
      <c r="O40" s="1" t="s">
        <v>91</v>
      </c>
      <c r="P40" s="1" t="s">
        <v>92</v>
      </c>
      <c r="Q40" s="1" t="s">
        <v>38</v>
      </c>
      <c r="R40" s="1" t="s">
        <v>789</v>
      </c>
      <c r="S40" s="3">
        <v>917812000000</v>
      </c>
      <c r="T40" s="1" t="s">
        <v>40</v>
      </c>
      <c r="U40" s="1">
        <v>87</v>
      </c>
      <c r="V40" s="1">
        <v>81</v>
      </c>
      <c r="W40" s="1" t="s">
        <v>41</v>
      </c>
      <c r="X40" s="1">
        <v>297097</v>
      </c>
      <c r="Y40" s="2">
        <v>38579</v>
      </c>
      <c r="Z40" s="1">
        <v>12.1789737171464</v>
      </c>
      <c r="AA40" s="1">
        <v>18</v>
      </c>
      <c r="AB40" s="1">
        <v>676000</v>
      </c>
      <c r="AC40" s="1">
        <f t="shared" si="0"/>
        <v>736000</v>
      </c>
    </row>
    <row r="41" spans="1:29" x14ac:dyDescent="0.25">
      <c r="A41" s="1" t="s">
        <v>834</v>
      </c>
      <c r="B41" s="1" t="s">
        <v>835</v>
      </c>
      <c r="C41" s="1" t="s">
        <v>836</v>
      </c>
      <c r="D41" s="1">
        <v>2018</v>
      </c>
      <c r="E41" s="1" t="s">
        <v>31</v>
      </c>
      <c r="F41" s="1">
        <v>4</v>
      </c>
      <c r="G41" s="1" t="s">
        <v>32</v>
      </c>
      <c r="H41" s="1" t="s">
        <v>62</v>
      </c>
      <c r="I41" s="1">
        <v>169000</v>
      </c>
      <c r="J41" s="1">
        <v>154000</v>
      </c>
      <c r="K41" s="1">
        <v>15000</v>
      </c>
      <c r="L41" s="1">
        <v>0</v>
      </c>
      <c r="M41" s="1" t="s">
        <v>34</v>
      </c>
      <c r="N41" s="1" t="s">
        <v>70</v>
      </c>
      <c r="O41" s="1" t="s">
        <v>103</v>
      </c>
      <c r="P41" s="1" t="s">
        <v>104</v>
      </c>
      <c r="Q41" s="1" t="s">
        <v>38</v>
      </c>
      <c r="R41" s="1" t="s">
        <v>837</v>
      </c>
      <c r="S41" s="3">
        <v>917121000000</v>
      </c>
      <c r="T41" s="1" t="s">
        <v>51</v>
      </c>
      <c r="U41" s="1">
        <v>86</v>
      </c>
      <c r="V41" s="1">
        <v>76</v>
      </c>
      <c r="W41" s="1" t="s">
        <v>41</v>
      </c>
      <c r="X41" s="1">
        <v>191491</v>
      </c>
      <c r="Y41" s="2">
        <v>37756</v>
      </c>
      <c r="Z41" s="1">
        <v>11.1789737171464</v>
      </c>
      <c r="AA41" s="1">
        <v>21</v>
      </c>
      <c r="AB41" s="1">
        <v>676000</v>
      </c>
      <c r="AC41" s="1">
        <f t="shared" si="0"/>
        <v>736000</v>
      </c>
    </row>
    <row r="42" spans="1:29" x14ac:dyDescent="0.25">
      <c r="A42" s="1" t="s">
        <v>842</v>
      </c>
      <c r="B42" s="1" t="s">
        <v>843</v>
      </c>
      <c r="C42" s="1" t="s">
        <v>844</v>
      </c>
      <c r="D42" s="1">
        <v>2018</v>
      </c>
      <c r="E42" s="1" t="s">
        <v>31</v>
      </c>
      <c r="F42" s="1">
        <v>4</v>
      </c>
      <c r="G42" s="1" t="s">
        <v>32</v>
      </c>
      <c r="H42" s="1" t="s">
        <v>62</v>
      </c>
      <c r="I42" s="1">
        <v>169000</v>
      </c>
      <c r="J42" s="1">
        <v>154000</v>
      </c>
      <c r="K42" s="1">
        <v>15000</v>
      </c>
      <c r="L42" s="1">
        <v>0</v>
      </c>
      <c r="M42" s="1" t="s">
        <v>34</v>
      </c>
      <c r="N42" s="1" t="s">
        <v>63</v>
      </c>
      <c r="O42" s="1" t="s">
        <v>48</v>
      </c>
      <c r="P42" s="1" t="s">
        <v>49</v>
      </c>
      <c r="Q42" s="1" t="s">
        <v>38</v>
      </c>
      <c r="R42" s="1" t="s">
        <v>845</v>
      </c>
      <c r="S42" s="3">
        <v>917696000000</v>
      </c>
      <c r="T42" s="1" t="s">
        <v>86</v>
      </c>
      <c r="U42" s="1">
        <v>86</v>
      </c>
      <c r="V42" s="1">
        <v>86</v>
      </c>
      <c r="W42" s="1" t="s">
        <v>52</v>
      </c>
      <c r="X42" s="1">
        <v>209861</v>
      </c>
      <c r="Y42" s="2">
        <v>36843</v>
      </c>
      <c r="Z42" s="1">
        <v>11.1789737171464</v>
      </c>
      <c r="AA42" s="1">
        <v>23</v>
      </c>
      <c r="AB42" s="1">
        <v>676000</v>
      </c>
      <c r="AC42" s="1">
        <f t="shared" si="0"/>
        <v>736000</v>
      </c>
    </row>
    <row r="43" spans="1:29" x14ac:dyDescent="0.25">
      <c r="A43" s="1" t="s">
        <v>846</v>
      </c>
      <c r="B43" s="1" t="s">
        <v>847</v>
      </c>
      <c r="C43" s="1" t="s">
        <v>848</v>
      </c>
      <c r="D43" s="1">
        <v>2018</v>
      </c>
      <c r="E43" s="1" t="s">
        <v>31</v>
      </c>
      <c r="F43" s="1">
        <v>4</v>
      </c>
      <c r="G43" s="1" t="s">
        <v>32</v>
      </c>
      <c r="H43" s="1" t="s">
        <v>62</v>
      </c>
      <c r="I43" s="1">
        <v>169000</v>
      </c>
      <c r="J43" s="1">
        <v>154000</v>
      </c>
      <c r="K43" s="1">
        <v>15000</v>
      </c>
      <c r="L43" s="1">
        <v>0</v>
      </c>
      <c r="M43" s="1" t="s">
        <v>34</v>
      </c>
      <c r="N43" s="1" t="s">
        <v>63</v>
      </c>
      <c r="O43" s="1" t="s">
        <v>84</v>
      </c>
      <c r="P43" s="1" t="s">
        <v>65</v>
      </c>
      <c r="Q43" s="1" t="s">
        <v>38</v>
      </c>
      <c r="R43" s="1" t="s">
        <v>849</v>
      </c>
      <c r="S43" s="3">
        <v>919786000000</v>
      </c>
      <c r="T43" s="1" t="s">
        <v>51</v>
      </c>
      <c r="U43" s="1">
        <v>86</v>
      </c>
      <c r="V43" s="1">
        <v>92</v>
      </c>
      <c r="W43" s="1" t="s">
        <v>52</v>
      </c>
      <c r="X43" s="1">
        <v>110850</v>
      </c>
      <c r="Y43" s="2">
        <v>38658</v>
      </c>
      <c r="Z43" s="1">
        <v>11.1789737171464</v>
      </c>
      <c r="AA43" s="1">
        <v>18</v>
      </c>
      <c r="AB43" s="1">
        <v>676000</v>
      </c>
      <c r="AC43" s="1">
        <f t="shared" si="0"/>
        <v>736000</v>
      </c>
    </row>
    <row r="44" spans="1:29" x14ac:dyDescent="0.25">
      <c r="A44" s="1" t="s">
        <v>854</v>
      </c>
      <c r="B44" s="1" t="s">
        <v>855</v>
      </c>
      <c r="C44" s="1" t="s">
        <v>856</v>
      </c>
      <c r="D44" s="1">
        <v>2018</v>
      </c>
      <c r="E44" s="1" t="s">
        <v>31</v>
      </c>
      <c r="F44" s="1">
        <v>4</v>
      </c>
      <c r="G44" s="1" t="s">
        <v>32</v>
      </c>
      <c r="H44" s="1" t="s">
        <v>113</v>
      </c>
      <c r="I44" s="1">
        <v>169000</v>
      </c>
      <c r="J44" s="1">
        <v>154000</v>
      </c>
      <c r="K44" s="1">
        <v>15000</v>
      </c>
      <c r="L44" s="1">
        <v>0</v>
      </c>
      <c r="M44" s="1" t="s">
        <v>34</v>
      </c>
      <c r="N44" s="1" t="s">
        <v>70</v>
      </c>
      <c r="O44" s="1" t="s">
        <v>36</v>
      </c>
      <c r="P44" s="1" t="s">
        <v>37</v>
      </c>
      <c r="Q44" s="1" t="s">
        <v>38</v>
      </c>
      <c r="R44" s="1" t="s">
        <v>857</v>
      </c>
      <c r="S44" s="3">
        <v>917188000000</v>
      </c>
      <c r="T44" s="1" t="s">
        <v>86</v>
      </c>
      <c r="U44" s="1">
        <v>86</v>
      </c>
      <c r="V44" s="1">
        <v>67</v>
      </c>
      <c r="W44" s="1" t="s">
        <v>41</v>
      </c>
      <c r="X44" s="1">
        <v>214453</v>
      </c>
      <c r="Y44" s="2">
        <v>38580</v>
      </c>
      <c r="Z44" s="1">
        <v>11.1789737171464</v>
      </c>
      <c r="AA44" s="1">
        <v>18</v>
      </c>
      <c r="AB44" s="1">
        <v>676000</v>
      </c>
      <c r="AC44" s="1">
        <f t="shared" si="0"/>
        <v>736000</v>
      </c>
    </row>
    <row r="45" spans="1:29" x14ac:dyDescent="0.25">
      <c r="A45" s="1" t="s">
        <v>878</v>
      </c>
      <c r="B45" s="1" t="s">
        <v>879</v>
      </c>
      <c r="C45" s="1" t="s">
        <v>880</v>
      </c>
      <c r="D45" s="1">
        <v>2018</v>
      </c>
      <c r="E45" s="1" t="s">
        <v>31</v>
      </c>
      <c r="F45" s="1">
        <v>4</v>
      </c>
      <c r="G45" s="1" t="s">
        <v>32</v>
      </c>
      <c r="H45" s="1" t="s">
        <v>122</v>
      </c>
      <c r="I45" s="1">
        <v>169000</v>
      </c>
      <c r="J45" s="1">
        <v>154000</v>
      </c>
      <c r="K45" s="1">
        <v>15000</v>
      </c>
      <c r="L45" s="1">
        <v>0</v>
      </c>
      <c r="M45" s="1" t="s">
        <v>34</v>
      </c>
      <c r="N45" s="1" t="s">
        <v>35</v>
      </c>
      <c r="O45" s="1" t="s">
        <v>57</v>
      </c>
      <c r="P45" s="1" t="s">
        <v>57</v>
      </c>
      <c r="Q45" s="1" t="s">
        <v>38</v>
      </c>
      <c r="R45" s="1" t="s">
        <v>881</v>
      </c>
      <c r="S45" s="3">
        <v>918608000000</v>
      </c>
      <c r="T45" s="1" t="s">
        <v>51</v>
      </c>
      <c r="U45" s="1">
        <v>86</v>
      </c>
      <c r="V45" s="1">
        <v>74</v>
      </c>
      <c r="W45" s="1" t="s">
        <v>41</v>
      </c>
      <c r="X45" s="1">
        <v>380454</v>
      </c>
      <c r="Y45" s="2">
        <v>38363</v>
      </c>
      <c r="Z45" s="1">
        <v>11.1789737171464</v>
      </c>
      <c r="AA45" s="1">
        <v>19</v>
      </c>
      <c r="AB45" s="1">
        <v>676000</v>
      </c>
      <c r="AC45" s="1">
        <f t="shared" si="0"/>
        <v>736000</v>
      </c>
    </row>
    <row r="46" spans="1:29" x14ac:dyDescent="0.25">
      <c r="A46" s="1" t="s">
        <v>942</v>
      </c>
      <c r="B46" s="1" t="s">
        <v>943</v>
      </c>
      <c r="C46" s="1" t="s">
        <v>944</v>
      </c>
      <c r="D46" s="1">
        <v>2018</v>
      </c>
      <c r="E46" s="1" t="s">
        <v>45</v>
      </c>
      <c r="F46" s="1">
        <v>2</v>
      </c>
      <c r="G46" s="1" t="s">
        <v>46</v>
      </c>
      <c r="H46" s="1" t="s">
        <v>33</v>
      </c>
      <c r="I46" s="1">
        <v>92000</v>
      </c>
      <c r="J46" s="1">
        <v>77000</v>
      </c>
      <c r="K46" s="1">
        <v>15000</v>
      </c>
      <c r="L46" s="1">
        <v>0</v>
      </c>
      <c r="M46" s="1" t="s">
        <v>34</v>
      </c>
      <c r="N46" s="1" t="s">
        <v>70</v>
      </c>
      <c r="O46" s="1" t="s">
        <v>91</v>
      </c>
      <c r="P46" s="1" t="s">
        <v>92</v>
      </c>
      <c r="Q46" s="1" t="s">
        <v>38</v>
      </c>
      <c r="R46" s="1" t="s">
        <v>945</v>
      </c>
      <c r="S46" s="3">
        <v>917056000000</v>
      </c>
      <c r="T46" s="1" t="s">
        <v>74</v>
      </c>
      <c r="U46" s="1">
        <v>86</v>
      </c>
      <c r="V46" s="1">
        <v>71</v>
      </c>
      <c r="W46" s="1" t="s">
        <v>52</v>
      </c>
      <c r="X46" s="1">
        <v>630787</v>
      </c>
      <c r="Y46" s="2">
        <v>36350</v>
      </c>
      <c r="Z46" s="1">
        <v>11.1789737171464</v>
      </c>
      <c r="AA46" s="1">
        <v>24</v>
      </c>
      <c r="AB46" s="1">
        <v>184000</v>
      </c>
      <c r="AC46" s="1">
        <f t="shared" si="0"/>
        <v>214000</v>
      </c>
    </row>
    <row r="47" spans="1:29" x14ac:dyDescent="0.25">
      <c r="A47" s="1" t="s">
        <v>950</v>
      </c>
      <c r="B47" s="1" t="s">
        <v>951</v>
      </c>
      <c r="C47" s="1" t="s">
        <v>952</v>
      </c>
      <c r="D47" s="1">
        <v>2018</v>
      </c>
      <c r="E47" s="1" t="s">
        <v>31</v>
      </c>
      <c r="F47" s="1">
        <v>4</v>
      </c>
      <c r="G47" s="1" t="s">
        <v>32</v>
      </c>
      <c r="H47" s="1" t="s">
        <v>47</v>
      </c>
      <c r="I47" s="1">
        <v>169000</v>
      </c>
      <c r="J47" s="1">
        <v>154000</v>
      </c>
      <c r="K47" s="1">
        <v>15000</v>
      </c>
      <c r="L47" s="1">
        <v>0</v>
      </c>
      <c r="M47" s="1" t="s">
        <v>34</v>
      </c>
      <c r="N47" s="1" t="s">
        <v>63</v>
      </c>
      <c r="O47" s="1" t="s">
        <v>84</v>
      </c>
      <c r="P47" s="1" t="s">
        <v>65</v>
      </c>
      <c r="Q47" s="1" t="s">
        <v>38</v>
      </c>
      <c r="R47" s="1" t="s">
        <v>953</v>
      </c>
      <c r="S47" s="3">
        <v>919199000000</v>
      </c>
      <c r="T47" s="1" t="s">
        <v>98</v>
      </c>
      <c r="U47" s="1">
        <v>86</v>
      </c>
      <c r="V47" s="1">
        <v>91</v>
      </c>
      <c r="W47" s="1" t="s">
        <v>41</v>
      </c>
      <c r="X47" s="1">
        <v>664448</v>
      </c>
      <c r="Y47" s="2">
        <v>37693</v>
      </c>
      <c r="Z47" s="1">
        <v>11.1789737171464</v>
      </c>
      <c r="AA47" s="1">
        <v>21</v>
      </c>
      <c r="AB47" s="1">
        <v>676000</v>
      </c>
      <c r="AC47" s="1">
        <f t="shared" si="0"/>
        <v>736000</v>
      </c>
    </row>
    <row r="48" spans="1:29" x14ac:dyDescent="0.25">
      <c r="A48" s="1" t="s">
        <v>962</v>
      </c>
      <c r="B48" s="1" t="s">
        <v>963</v>
      </c>
      <c r="C48" s="1" t="s">
        <v>964</v>
      </c>
      <c r="D48" s="1">
        <v>2018</v>
      </c>
      <c r="E48" s="1" t="s">
        <v>31</v>
      </c>
      <c r="F48" s="1">
        <v>4</v>
      </c>
      <c r="G48" s="1" t="s">
        <v>32</v>
      </c>
      <c r="H48" s="1" t="s">
        <v>90</v>
      </c>
      <c r="I48" s="1">
        <v>169000</v>
      </c>
      <c r="J48" s="1">
        <v>154000</v>
      </c>
      <c r="K48" s="1">
        <v>15000</v>
      </c>
      <c r="L48" s="1">
        <v>0</v>
      </c>
      <c r="M48" s="1" t="s">
        <v>34</v>
      </c>
      <c r="N48" s="1" t="s">
        <v>63</v>
      </c>
      <c r="O48" s="1" t="s">
        <v>71</v>
      </c>
      <c r="P48" s="1" t="s">
        <v>72</v>
      </c>
      <c r="Q48" s="1" t="s">
        <v>38</v>
      </c>
      <c r="R48" s="1" t="s">
        <v>965</v>
      </c>
      <c r="S48" s="3">
        <v>919094000000</v>
      </c>
      <c r="T48" s="1" t="s">
        <v>40</v>
      </c>
      <c r="U48" s="1">
        <v>86</v>
      </c>
      <c r="V48" s="1">
        <v>63</v>
      </c>
      <c r="W48" s="1" t="s">
        <v>41</v>
      </c>
      <c r="X48" s="1">
        <v>536751</v>
      </c>
      <c r="Y48" s="2">
        <v>36931</v>
      </c>
      <c r="Z48" s="1">
        <v>11.1789737171464</v>
      </c>
      <c r="AA48" s="1">
        <v>23</v>
      </c>
      <c r="AB48" s="1">
        <v>676000</v>
      </c>
      <c r="AC48" s="1">
        <f t="shared" si="0"/>
        <v>736000</v>
      </c>
    </row>
    <row r="49" spans="1:29" x14ac:dyDescent="0.25">
      <c r="A49" s="1" t="s">
        <v>974</v>
      </c>
      <c r="B49" s="1" t="s">
        <v>975</v>
      </c>
      <c r="C49" s="1" t="s">
        <v>976</v>
      </c>
      <c r="D49" s="1">
        <v>2018</v>
      </c>
      <c r="E49" s="1" t="s">
        <v>45</v>
      </c>
      <c r="F49" s="1">
        <v>2</v>
      </c>
      <c r="G49" s="1" t="s">
        <v>46</v>
      </c>
      <c r="H49" s="1" t="s">
        <v>47</v>
      </c>
      <c r="I49" s="1">
        <v>92000</v>
      </c>
      <c r="J49" s="1">
        <v>77000</v>
      </c>
      <c r="K49" s="1">
        <v>15000</v>
      </c>
      <c r="L49" s="1">
        <v>0</v>
      </c>
      <c r="M49" s="1" t="s">
        <v>34</v>
      </c>
      <c r="N49" s="1" t="s">
        <v>35</v>
      </c>
      <c r="O49" s="1" t="s">
        <v>48</v>
      </c>
      <c r="P49" s="1" t="s">
        <v>49</v>
      </c>
      <c r="Q49" s="1" t="s">
        <v>38</v>
      </c>
      <c r="R49" s="1" t="s">
        <v>977</v>
      </c>
      <c r="S49" s="3">
        <v>919699000000</v>
      </c>
      <c r="T49" s="1" t="s">
        <v>98</v>
      </c>
      <c r="U49" s="1">
        <v>86</v>
      </c>
      <c r="V49" s="1">
        <v>60</v>
      </c>
      <c r="W49" s="1" t="s">
        <v>52</v>
      </c>
      <c r="X49" s="1">
        <v>166896</v>
      </c>
      <c r="Y49" s="2">
        <v>35286</v>
      </c>
      <c r="Z49" s="1">
        <v>11.1789737171464</v>
      </c>
      <c r="AA49" s="1">
        <v>27</v>
      </c>
      <c r="AB49" s="1">
        <v>184000</v>
      </c>
      <c r="AC49" s="1">
        <f t="shared" si="0"/>
        <v>214000</v>
      </c>
    </row>
    <row r="50" spans="1:29" x14ac:dyDescent="0.25">
      <c r="A50" s="1" t="s">
        <v>982</v>
      </c>
      <c r="B50" s="1" t="s">
        <v>983</v>
      </c>
      <c r="C50" s="1" t="s">
        <v>984</v>
      </c>
      <c r="D50" s="1">
        <v>2018</v>
      </c>
      <c r="E50" s="1" t="s">
        <v>31</v>
      </c>
      <c r="F50" s="1">
        <v>4</v>
      </c>
      <c r="G50" s="1" t="s">
        <v>32</v>
      </c>
      <c r="H50" s="1" t="s">
        <v>102</v>
      </c>
      <c r="I50" s="1">
        <v>169000</v>
      </c>
      <c r="J50" s="1">
        <v>154000</v>
      </c>
      <c r="K50" s="1">
        <v>15000</v>
      </c>
      <c r="L50" s="1">
        <v>0</v>
      </c>
      <c r="M50" s="1" t="s">
        <v>34</v>
      </c>
      <c r="N50" s="1" t="s">
        <v>70</v>
      </c>
      <c r="O50" s="1" t="s">
        <v>71</v>
      </c>
      <c r="P50" s="1" t="s">
        <v>72</v>
      </c>
      <c r="Q50" s="1" t="s">
        <v>38</v>
      </c>
      <c r="R50" s="1" t="s">
        <v>985</v>
      </c>
      <c r="S50" s="3">
        <v>917219000000</v>
      </c>
      <c r="T50" s="1" t="s">
        <v>51</v>
      </c>
      <c r="U50" s="1">
        <v>86</v>
      </c>
      <c r="V50" s="1">
        <v>71</v>
      </c>
      <c r="W50" s="1" t="s">
        <v>52</v>
      </c>
      <c r="X50" s="1">
        <v>226613</v>
      </c>
      <c r="Y50" s="2">
        <v>37681</v>
      </c>
      <c r="Z50" s="1">
        <v>11.1789737171464</v>
      </c>
      <c r="AA50" s="1">
        <v>21</v>
      </c>
      <c r="AB50" s="1">
        <v>676000</v>
      </c>
      <c r="AC50" s="1">
        <f t="shared" si="0"/>
        <v>736000</v>
      </c>
    </row>
    <row r="51" spans="1:29" x14ac:dyDescent="0.25">
      <c r="A51" s="1" t="s">
        <v>994</v>
      </c>
      <c r="B51" s="1" t="s">
        <v>995</v>
      </c>
      <c r="C51" s="1" t="s">
        <v>996</v>
      </c>
      <c r="D51" s="1">
        <v>2018</v>
      </c>
      <c r="E51" s="1" t="s">
        <v>31</v>
      </c>
      <c r="F51" s="1">
        <v>4</v>
      </c>
      <c r="G51" s="1" t="s">
        <v>32</v>
      </c>
      <c r="H51" s="1" t="s">
        <v>33</v>
      </c>
      <c r="I51" s="1">
        <v>169000</v>
      </c>
      <c r="J51" s="1">
        <v>154000</v>
      </c>
      <c r="K51" s="1">
        <v>15000</v>
      </c>
      <c r="L51" s="1">
        <v>0</v>
      </c>
      <c r="M51" s="1" t="s">
        <v>34</v>
      </c>
      <c r="N51" s="1" t="s">
        <v>35</v>
      </c>
      <c r="O51" s="1" t="s">
        <v>48</v>
      </c>
      <c r="P51" s="1" t="s">
        <v>49</v>
      </c>
      <c r="Q51" s="1" t="s">
        <v>38</v>
      </c>
      <c r="R51" s="1" t="s">
        <v>997</v>
      </c>
      <c r="S51" s="3">
        <v>917442000000</v>
      </c>
      <c r="T51" s="1" t="s">
        <v>86</v>
      </c>
      <c r="U51" s="1">
        <v>86</v>
      </c>
      <c r="V51" s="1">
        <v>82</v>
      </c>
      <c r="W51" s="1" t="s">
        <v>52</v>
      </c>
      <c r="X51" s="1">
        <v>476489</v>
      </c>
      <c r="Y51" s="2">
        <v>37324</v>
      </c>
      <c r="Z51" s="1">
        <v>11.1789737171464</v>
      </c>
      <c r="AA51" s="1">
        <v>22</v>
      </c>
      <c r="AB51" s="1">
        <v>676000</v>
      </c>
      <c r="AC51" s="1">
        <f t="shared" si="0"/>
        <v>736000</v>
      </c>
    </row>
    <row r="52" spans="1:29" x14ac:dyDescent="0.25">
      <c r="A52" s="1" t="s">
        <v>1010</v>
      </c>
      <c r="B52" s="1" t="s">
        <v>1011</v>
      </c>
      <c r="C52" s="1" t="s">
        <v>1012</v>
      </c>
      <c r="D52" s="1">
        <v>2018</v>
      </c>
      <c r="E52" s="1" t="s">
        <v>31</v>
      </c>
      <c r="F52" s="1">
        <v>4</v>
      </c>
      <c r="G52" s="1" t="s">
        <v>32</v>
      </c>
      <c r="H52" s="1" t="s">
        <v>56</v>
      </c>
      <c r="I52" s="1">
        <v>169000</v>
      </c>
      <c r="J52" s="1">
        <v>154000</v>
      </c>
      <c r="K52" s="1">
        <v>15000</v>
      </c>
      <c r="L52" s="1">
        <v>0</v>
      </c>
      <c r="M52" s="1" t="s">
        <v>34</v>
      </c>
      <c r="N52" s="1" t="s">
        <v>63</v>
      </c>
      <c r="O52" s="1" t="s">
        <v>188</v>
      </c>
      <c r="P52" s="1" t="s">
        <v>189</v>
      </c>
      <c r="Q52" s="1" t="s">
        <v>38</v>
      </c>
      <c r="R52" s="1" t="s">
        <v>1013</v>
      </c>
      <c r="S52" s="3">
        <v>917108000000</v>
      </c>
      <c r="T52" s="1" t="s">
        <v>98</v>
      </c>
      <c r="U52" s="1">
        <v>86</v>
      </c>
      <c r="V52" s="1">
        <v>72</v>
      </c>
      <c r="W52" s="1" t="s">
        <v>41</v>
      </c>
      <c r="X52" s="1">
        <v>618909</v>
      </c>
      <c r="Y52" s="2">
        <v>38744</v>
      </c>
      <c r="Z52" s="1">
        <v>11.1789737171464</v>
      </c>
      <c r="AA52" s="1">
        <v>18</v>
      </c>
      <c r="AB52" s="1">
        <v>676000</v>
      </c>
      <c r="AC52" s="1">
        <f t="shared" si="0"/>
        <v>736000</v>
      </c>
    </row>
    <row r="53" spans="1:29" x14ac:dyDescent="0.25">
      <c r="A53" s="1" t="s">
        <v>1026</v>
      </c>
      <c r="B53" s="1" t="s">
        <v>1027</v>
      </c>
      <c r="C53" s="1" t="s">
        <v>1028</v>
      </c>
      <c r="D53" s="1">
        <v>2018</v>
      </c>
      <c r="E53" s="1" t="s">
        <v>45</v>
      </c>
      <c r="F53" s="1">
        <v>2</v>
      </c>
      <c r="G53" s="1" t="s">
        <v>46</v>
      </c>
      <c r="H53" s="1" t="s">
        <v>62</v>
      </c>
      <c r="I53" s="1">
        <v>92000</v>
      </c>
      <c r="J53" s="1">
        <v>77000</v>
      </c>
      <c r="K53" s="1">
        <v>15000</v>
      </c>
      <c r="L53" s="1">
        <v>0</v>
      </c>
      <c r="M53" s="1" t="s">
        <v>34</v>
      </c>
      <c r="N53" s="1" t="s">
        <v>70</v>
      </c>
      <c r="O53" s="1" t="s">
        <v>84</v>
      </c>
      <c r="P53" s="1" t="s">
        <v>65</v>
      </c>
      <c r="Q53" s="1" t="s">
        <v>38</v>
      </c>
      <c r="R53" s="1" t="s">
        <v>1029</v>
      </c>
      <c r="S53" s="3">
        <v>918609000000</v>
      </c>
      <c r="T53" s="1" t="s">
        <v>86</v>
      </c>
      <c r="U53" s="1">
        <v>86</v>
      </c>
      <c r="V53" s="1">
        <v>71</v>
      </c>
      <c r="W53" s="1" t="s">
        <v>52</v>
      </c>
      <c r="X53" s="1">
        <v>488998</v>
      </c>
      <c r="Y53" s="2">
        <v>36126</v>
      </c>
      <c r="Z53" s="1">
        <v>11.1789737171464</v>
      </c>
      <c r="AA53" s="1">
        <v>25</v>
      </c>
      <c r="AB53" s="1">
        <v>184000</v>
      </c>
      <c r="AC53" s="1">
        <f t="shared" si="0"/>
        <v>214000</v>
      </c>
    </row>
    <row r="54" spans="1:29" x14ac:dyDescent="0.25">
      <c r="A54" s="1" t="s">
        <v>1046</v>
      </c>
      <c r="B54" s="1" t="s">
        <v>1047</v>
      </c>
      <c r="C54" s="1" t="s">
        <v>1048</v>
      </c>
      <c r="D54" s="1">
        <v>2018</v>
      </c>
      <c r="E54" s="1" t="s">
        <v>31</v>
      </c>
      <c r="F54" s="1">
        <v>4</v>
      </c>
      <c r="G54" s="1" t="s">
        <v>32</v>
      </c>
      <c r="H54" s="1" t="s">
        <v>151</v>
      </c>
      <c r="I54" s="1">
        <v>169000</v>
      </c>
      <c r="J54" s="1">
        <v>154000</v>
      </c>
      <c r="K54" s="1">
        <v>15000</v>
      </c>
      <c r="L54" s="1">
        <v>0</v>
      </c>
      <c r="M54" s="1" t="s">
        <v>34</v>
      </c>
      <c r="N54" s="1" t="s">
        <v>70</v>
      </c>
      <c r="O54" s="1" t="s">
        <v>36</v>
      </c>
      <c r="P54" s="1" t="s">
        <v>37</v>
      </c>
      <c r="Q54" s="1" t="s">
        <v>38</v>
      </c>
      <c r="R54" s="1" t="s">
        <v>1049</v>
      </c>
      <c r="S54" s="3">
        <v>918558000000</v>
      </c>
      <c r="T54" s="1" t="s">
        <v>74</v>
      </c>
      <c r="U54" s="1">
        <v>86</v>
      </c>
      <c r="V54" s="1">
        <v>71</v>
      </c>
      <c r="W54" s="1" t="s">
        <v>41</v>
      </c>
      <c r="X54" s="1">
        <v>686510</v>
      </c>
      <c r="Y54" s="2">
        <v>38364</v>
      </c>
      <c r="Z54" s="1">
        <v>11.1789737171464</v>
      </c>
      <c r="AA54" s="1">
        <v>19</v>
      </c>
      <c r="AB54" s="1">
        <v>676000</v>
      </c>
      <c r="AC54" s="1">
        <f t="shared" si="0"/>
        <v>736000</v>
      </c>
    </row>
    <row r="55" spans="1:29" x14ac:dyDescent="0.25">
      <c r="A55" s="1" t="s">
        <v>1058</v>
      </c>
      <c r="B55" s="1" t="s">
        <v>1059</v>
      </c>
      <c r="C55" s="1" t="s">
        <v>1060</v>
      </c>
      <c r="D55" s="1">
        <v>2018</v>
      </c>
      <c r="E55" s="1" t="s">
        <v>31</v>
      </c>
      <c r="F55" s="1">
        <v>4</v>
      </c>
      <c r="G55" s="1" t="s">
        <v>32</v>
      </c>
      <c r="H55" s="1" t="s">
        <v>151</v>
      </c>
      <c r="I55" s="1">
        <v>169000</v>
      </c>
      <c r="J55" s="1">
        <v>154000</v>
      </c>
      <c r="K55" s="1">
        <v>15000</v>
      </c>
      <c r="L55" s="1">
        <v>0</v>
      </c>
      <c r="M55" s="1" t="s">
        <v>34</v>
      </c>
      <c r="N55" s="1" t="s">
        <v>63</v>
      </c>
      <c r="O55" s="1" t="s">
        <v>48</v>
      </c>
      <c r="P55" s="1" t="s">
        <v>49</v>
      </c>
      <c r="Q55" s="1" t="s">
        <v>38</v>
      </c>
      <c r="R55" s="1" t="s">
        <v>1061</v>
      </c>
      <c r="S55" s="3">
        <v>917931000000</v>
      </c>
      <c r="T55" s="1" t="s">
        <v>40</v>
      </c>
      <c r="U55" s="1">
        <v>86</v>
      </c>
      <c r="V55" s="1">
        <v>76</v>
      </c>
      <c r="W55" s="1" t="s">
        <v>52</v>
      </c>
      <c r="X55" s="1">
        <v>592546</v>
      </c>
      <c r="Y55" s="2">
        <v>38203</v>
      </c>
      <c r="Z55" s="1">
        <v>11.1789737171464</v>
      </c>
      <c r="AA55" s="1">
        <v>19</v>
      </c>
      <c r="AB55" s="1">
        <v>676000</v>
      </c>
      <c r="AC55" s="1">
        <f t="shared" si="0"/>
        <v>736000</v>
      </c>
    </row>
    <row r="56" spans="1:29" x14ac:dyDescent="0.25">
      <c r="A56" s="1" t="s">
        <v>1090</v>
      </c>
      <c r="B56" s="1" t="s">
        <v>1091</v>
      </c>
      <c r="C56" s="1" t="s">
        <v>1092</v>
      </c>
      <c r="D56" s="1">
        <v>2018</v>
      </c>
      <c r="E56" s="1" t="s">
        <v>45</v>
      </c>
      <c r="F56" s="1">
        <v>2</v>
      </c>
      <c r="G56" s="1" t="s">
        <v>46</v>
      </c>
      <c r="H56" s="1" t="s">
        <v>113</v>
      </c>
      <c r="I56" s="1">
        <v>92000</v>
      </c>
      <c r="J56" s="1">
        <v>77000</v>
      </c>
      <c r="K56" s="1">
        <v>15000</v>
      </c>
      <c r="L56" s="1">
        <v>0</v>
      </c>
      <c r="M56" s="1" t="s">
        <v>34</v>
      </c>
      <c r="N56" s="1" t="s">
        <v>70</v>
      </c>
      <c r="O56" s="1" t="s">
        <v>91</v>
      </c>
      <c r="P56" s="1" t="s">
        <v>92</v>
      </c>
      <c r="Q56" s="1" t="s">
        <v>38</v>
      </c>
      <c r="R56" s="1" t="s">
        <v>1093</v>
      </c>
      <c r="S56" s="3">
        <v>919678000000</v>
      </c>
      <c r="T56" s="1" t="s">
        <v>86</v>
      </c>
      <c r="U56" s="1">
        <v>86</v>
      </c>
      <c r="V56" s="1">
        <v>83</v>
      </c>
      <c r="W56" s="1" t="s">
        <v>52</v>
      </c>
      <c r="X56" s="1">
        <v>311322</v>
      </c>
      <c r="Y56" s="2">
        <v>37335</v>
      </c>
      <c r="Z56" s="1">
        <v>11.1789737171464</v>
      </c>
      <c r="AA56" s="1">
        <v>22</v>
      </c>
      <c r="AB56" s="1">
        <v>184000</v>
      </c>
      <c r="AC56" s="1">
        <f t="shared" si="0"/>
        <v>214000</v>
      </c>
    </row>
    <row r="57" spans="1:29" x14ac:dyDescent="0.25">
      <c r="A57" s="1" t="s">
        <v>1094</v>
      </c>
      <c r="B57" s="1" t="s">
        <v>1095</v>
      </c>
      <c r="C57" s="1" t="s">
        <v>1096</v>
      </c>
      <c r="D57" s="1">
        <v>2018</v>
      </c>
      <c r="E57" s="1" t="s">
        <v>31</v>
      </c>
      <c r="F57" s="1">
        <v>4</v>
      </c>
      <c r="G57" s="1" t="s">
        <v>32</v>
      </c>
      <c r="H57" s="1" t="s">
        <v>102</v>
      </c>
      <c r="I57" s="1">
        <v>169000</v>
      </c>
      <c r="J57" s="1">
        <v>154000</v>
      </c>
      <c r="K57" s="1">
        <v>15000</v>
      </c>
      <c r="L57" s="1">
        <v>0</v>
      </c>
      <c r="M57" s="1" t="s">
        <v>34</v>
      </c>
      <c r="N57" s="1" t="s">
        <v>70</v>
      </c>
      <c r="O57" s="1" t="s">
        <v>188</v>
      </c>
      <c r="P57" s="1" t="s">
        <v>189</v>
      </c>
      <c r="Q57" s="1" t="s">
        <v>38</v>
      </c>
      <c r="R57" s="1" t="s">
        <v>1097</v>
      </c>
      <c r="S57" s="3">
        <v>918790000000</v>
      </c>
      <c r="T57" s="1" t="s">
        <v>51</v>
      </c>
      <c r="U57" s="1">
        <v>86</v>
      </c>
      <c r="V57" s="1">
        <v>91</v>
      </c>
      <c r="W57" s="1" t="s">
        <v>41</v>
      </c>
      <c r="X57" s="1">
        <v>284419</v>
      </c>
      <c r="Y57" s="2">
        <v>37571</v>
      </c>
      <c r="Z57" s="1">
        <v>11.1789737171464</v>
      </c>
      <c r="AA57" s="1">
        <v>21</v>
      </c>
      <c r="AB57" s="1">
        <v>676000</v>
      </c>
      <c r="AC57" s="1">
        <f t="shared" si="0"/>
        <v>736000</v>
      </c>
    </row>
    <row r="58" spans="1:29" x14ac:dyDescent="0.25">
      <c r="A58" s="1" t="s">
        <v>1108</v>
      </c>
      <c r="B58" s="1" t="s">
        <v>1109</v>
      </c>
      <c r="C58" s="1" t="s">
        <v>1110</v>
      </c>
      <c r="D58" s="1">
        <v>2018</v>
      </c>
      <c r="E58" s="1" t="s">
        <v>31</v>
      </c>
      <c r="F58" s="1">
        <v>4</v>
      </c>
      <c r="G58" s="1" t="s">
        <v>32</v>
      </c>
      <c r="H58" s="1" t="s">
        <v>210</v>
      </c>
      <c r="I58" s="1">
        <v>169000</v>
      </c>
      <c r="J58" s="1">
        <v>154000</v>
      </c>
      <c r="K58" s="1">
        <v>15000</v>
      </c>
      <c r="L58" s="1">
        <v>0</v>
      </c>
      <c r="M58" s="1" t="s">
        <v>34</v>
      </c>
      <c r="N58" s="1" t="s">
        <v>70</v>
      </c>
      <c r="O58" s="1" t="s">
        <v>48</v>
      </c>
      <c r="P58" s="1" t="s">
        <v>49</v>
      </c>
      <c r="Q58" s="1" t="s">
        <v>38</v>
      </c>
      <c r="R58" s="1" t="s">
        <v>1111</v>
      </c>
      <c r="S58" s="3">
        <v>919530000000</v>
      </c>
      <c r="T58" s="1" t="s">
        <v>51</v>
      </c>
      <c r="U58" s="1">
        <v>86</v>
      </c>
      <c r="V58" s="1">
        <v>74</v>
      </c>
      <c r="W58" s="1" t="s">
        <v>41</v>
      </c>
      <c r="X58" s="1">
        <v>114066</v>
      </c>
      <c r="Y58" s="2">
        <v>37504</v>
      </c>
      <c r="Z58" s="1">
        <v>11.1789737171464</v>
      </c>
      <c r="AA58" s="1">
        <v>21</v>
      </c>
      <c r="AB58" s="1">
        <v>676000</v>
      </c>
      <c r="AC58" s="1">
        <f t="shared" si="0"/>
        <v>736000</v>
      </c>
    </row>
    <row r="59" spans="1:29" x14ac:dyDescent="0.25">
      <c r="A59" s="1" t="s">
        <v>1124</v>
      </c>
      <c r="B59" s="1" t="s">
        <v>1125</v>
      </c>
      <c r="C59" s="1" t="s">
        <v>1126</v>
      </c>
      <c r="D59" s="1">
        <v>2018</v>
      </c>
      <c r="E59" s="1" t="s">
        <v>31</v>
      </c>
      <c r="F59" s="1">
        <v>4</v>
      </c>
      <c r="G59" s="1" t="s">
        <v>32</v>
      </c>
      <c r="H59" s="1" t="s">
        <v>47</v>
      </c>
      <c r="I59" s="1">
        <v>169000</v>
      </c>
      <c r="J59" s="1">
        <v>154000</v>
      </c>
      <c r="K59" s="1">
        <v>15000</v>
      </c>
      <c r="L59" s="1">
        <v>0</v>
      </c>
      <c r="M59" s="1" t="s">
        <v>34</v>
      </c>
      <c r="N59" s="1" t="s">
        <v>63</v>
      </c>
      <c r="O59" s="1" t="s">
        <v>188</v>
      </c>
      <c r="P59" s="1" t="s">
        <v>189</v>
      </c>
      <c r="Q59" s="1" t="s">
        <v>38</v>
      </c>
      <c r="R59" s="1" t="s">
        <v>1127</v>
      </c>
      <c r="S59" s="3">
        <v>917941000000</v>
      </c>
      <c r="T59" s="1" t="s">
        <v>40</v>
      </c>
      <c r="U59" s="1">
        <v>85</v>
      </c>
      <c r="V59" s="1">
        <v>72</v>
      </c>
      <c r="W59" s="1" t="s">
        <v>41</v>
      </c>
      <c r="X59" s="1">
        <v>595730</v>
      </c>
      <c r="Y59" s="2">
        <v>37730</v>
      </c>
      <c r="Z59" s="1">
        <v>10.1789737171464</v>
      </c>
      <c r="AA59" s="1">
        <v>21</v>
      </c>
      <c r="AB59" s="1">
        <v>676000</v>
      </c>
      <c r="AC59" s="1">
        <f t="shared" si="0"/>
        <v>736000</v>
      </c>
    </row>
    <row r="60" spans="1:29" x14ac:dyDescent="0.25">
      <c r="A60" s="1" t="s">
        <v>1180</v>
      </c>
      <c r="B60" s="1" t="s">
        <v>1181</v>
      </c>
      <c r="C60" s="1" t="s">
        <v>1182</v>
      </c>
      <c r="D60" s="1">
        <v>2018</v>
      </c>
      <c r="E60" s="1" t="s">
        <v>31</v>
      </c>
      <c r="F60" s="1">
        <v>4</v>
      </c>
      <c r="G60" s="1" t="s">
        <v>32</v>
      </c>
      <c r="H60" s="1" t="s">
        <v>33</v>
      </c>
      <c r="I60" s="1">
        <v>169000</v>
      </c>
      <c r="J60" s="1">
        <v>154000</v>
      </c>
      <c r="K60" s="1">
        <v>15000</v>
      </c>
      <c r="L60" s="1">
        <v>0</v>
      </c>
      <c r="M60" s="1" t="s">
        <v>34</v>
      </c>
      <c r="N60" s="1" t="s">
        <v>35</v>
      </c>
      <c r="O60" s="1" t="s">
        <v>71</v>
      </c>
      <c r="P60" s="1" t="s">
        <v>72</v>
      </c>
      <c r="Q60" s="1" t="s">
        <v>38</v>
      </c>
      <c r="R60" s="1" t="s">
        <v>1183</v>
      </c>
      <c r="S60" s="3">
        <v>919370000000</v>
      </c>
      <c r="T60" s="1" t="s">
        <v>40</v>
      </c>
      <c r="U60" s="1">
        <v>85</v>
      </c>
      <c r="V60" s="1">
        <v>61</v>
      </c>
      <c r="W60" s="1" t="s">
        <v>52</v>
      </c>
      <c r="X60" s="1">
        <v>693487</v>
      </c>
      <c r="Y60" s="2">
        <v>38002</v>
      </c>
      <c r="Z60" s="1">
        <v>10.1789737171464</v>
      </c>
      <c r="AA60" s="1">
        <v>20</v>
      </c>
      <c r="AB60" s="1">
        <v>676000</v>
      </c>
      <c r="AC60" s="1">
        <f t="shared" si="0"/>
        <v>736000</v>
      </c>
    </row>
    <row r="61" spans="1:29" x14ac:dyDescent="0.25">
      <c r="A61" s="1" t="s">
        <v>1198</v>
      </c>
      <c r="B61" s="1" t="s">
        <v>1199</v>
      </c>
      <c r="C61" s="1" t="s">
        <v>1200</v>
      </c>
      <c r="D61" s="1">
        <v>2018</v>
      </c>
      <c r="E61" s="1" t="s">
        <v>31</v>
      </c>
      <c r="F61" s="1">
        <v>4</v>
      </c>
      <c r="G61" s="1" t="s">
        <v>32</v>
      </c>
      <c r="H61" s="1" t="s">
        <v>210</v>
      </c>
      <c r="I61" s="1">
        <v>169000</v>
      </c>
      <c r="J61" s="1">
        <v>154000</v>
      </c>
      <c r="K61" s="1">
        <v>15000</v>
      </c>
      <c r="L61" s="1">
        <v>0</v>
      </c>
      <c r="M61" s="1" t="s">
        <v>34</v>
      </c>
      <c r="N61" s="1" t="s">
        <v>35</v>
      </c>
      <c r="O61" s="1" t="s">
        <v>188</v>
      </c>
      <c r="P61" s="1" t="s">
        <v>189</v>
      </c>
      <c r="Q61" s="1" t="s">
        <v>38</v>
      </c>
      <c r="R61" s="1" t="s">
        <v>1201</v>
      </c>
      <c r="S61" s="3">
        <v>917935000000</v>
      </c>
      <c r="T61" s="1" t="s">
        <v>74</v>
      </c>
      <c r="U61" s="1">
        <v>85</v>
      </c>
      <c r="V61" s="1">
        <v>80</v>
      </c>
      <c r="W61" s="1" t="s">
        <v>52</v>
      </c>
      <c r="X61" s="1">
        <v>420330</v>
      </c>
      <c r="Y61" s="2">
        <v>37558</v>
      </c>
      <c r="Z61" s="1">
        <v>10.1789737171464</v>
      </c>
      <c r="AA61" s="1">
        <v>21</v>
      </c>
      <c r="AB61" s="1">
        <v>676000</v>
      </c>
      <c r="AC61" s="1">
        <f t="shared" si="0"/>
        <v>736000</v>
      </c>
    </row>
    <row r="62" spans="1:29" x14ac:dyDescent="0.25">
      <c r="A62" s="1" t="s">
        <v>1214</v>
      </c>
      <c r="B62" s="1" t="s">
        <v>1215</v>
      </c>
      <c r="C62" s="1" t="s">
        <v>1216</v>
      </c>
      <c r="D62" s="1">
        <v>2018</v>
      </c>
      <c r="E62" s="1" t="s">
        <v>31</v>
      </c>
      <c r="F62" s="1">
        <v>4</v>
      </c>
      <c r="G62" s="1" t="s">
        <v>32</v>
      </c>
      <c r="H62" s="1" t="s">
        <v>33</v>
      </c>
      <c r="I62" s="1">
        <v>169000</v>
      </c>
      <c r="J62" s="1">
        <v>154000</v>
      </c>
      <c r="K62" s="1">
        <v>15000</v>
      </c>
      <c r="L62" s="1">
        <v>0</v>
      </c>
      <c r="M62" s="1" t="s">
        <v>34</v>
      </c>
      <c r="N62" s="1" t="s">
        <v>35</v>
      </c>
      <c r="O62" s="1" t="s">
        <v>71</v>
      </c>
      <c r="P62" s="1" t="s">
        <v>72</v>
      </c>
      <c r="Q62" s="1" t="s">
        <v>38</v>
      </c>
      <c r="R62" s="1" t="s">
        <v>1217</v>
      </c>
      <c r="S62" s="3">
        <v>918588000000</v>
      </c>
      <c r="T62" s="1" t="s">
        <v>40</v>
      </c>
      <c r="U62" s="1">
        <v>85</v>
      </c>
      <c r="V62" s="1">
        <v>77</v>
      </c>
      <c r="W62" s="1" t="s">
        <v>52</v>
      </c>
      <c r="X62" s="1">
        <v>338493</v>
      </c>
      <c r="Y62" s="2">
        <v>37282</v>
      </c>
      <c r="Z62" s="1">
        <v>10.1789737171464</v>
      </c>
      <c r="AA62" s="1">
        <v>22</v>
      </c>
      <c r="AB62" s="1">
        <v>676000</v>
      </c>
      <c r="AC62" s="1">
        <f t="shared" si="0"/>
        <v>736000</v>
      </c>
    </row>
    <row r="63" spans="1:29" x14ac:dyDescent="0.25">
      <c r="A63" s="1" t="s">
        <v>1222</v>
      </c>
      <c r="B63" s="1" t="s">
        <v>1223</v>
      </c>
      <c r="C63" s="1" t="s">
        <v>1224</v>
      </c>
      <c r="D63" s="1">
        <v>2018</v>
      </c>
      <c r="E63" s="1" t="s">
        <v>31</v>
      </c>
      <c r="F63" s="1">
        <v>4</v>
      </c>
      <c r="G63" s="1" t="s">
        <v>32</v>
      </c>
      <c r="H63" s="1" t="s">
        <v>151</v>
      </c>
      <c r="I63" s="1">
        <v>169000</v>
      </c>
      <c r="J63" s="1">
        <v>154000</v>
      </c>
      <c r="K63" s="1">
        <v>15000</v>
      </c>
      <c r="L63" s="1">
        <v>0</v>
      </c>
      <c r="M63" s="1" t="s">
        <v>34</v>
      </c>
      <c r="N63" s="1" t="s">
        <v>70</v>
      </c>
      <c r="O63" s="1" t="s">
        <v>103</v>
      </c>
      <c r="P63" s="1" t="s">
        <v>104</v>
      </c>
      <c r="Q63" s="1" t="s">
        <v>38</v>
      </c>
      <c r="R63" s="1" t="s">
        <v>1225</v>
      </c>
      <c r="S63" s="3">
        <v>917545000000</v>
      </c>
      <c r="T63" s="1" t="s">
        <v>51</v>
      </c>
      <c r="U63" s="1">
        <v>85</v>
      </c>
      <c r="V63" s="1">
        <v>90</v>
      </c>
      <c r="W63" s="1" t="s">
        <v>41</v>
      </c>
      <c r="X63" s="1">
        <v>785268</v>
      </c>
      <c r="Y63" s="2">
        <v>37815</v>
      </c>
      <c r="Z63" s="1">
        <v>10.1789737171464</v>
      </c>
      <c r="AA63" s="1">
        <v>20</v>
      </c>
      <c r="AB63" s="1">
        <v>676000</v>
      </c>
      <c r="AC63" s="1">
        <f t="shared" si="0"/>
        <v>736000</v>
      </c>
    </row>
    <row r="64" spans="1:29" x14ac:dyDescent="0.25">
      <c r="A64" s="1" t="s">
        <v>1242</v>
      </c>
      <c r="B64" s="1" t="s">
        <v>1243</v>
      </c>
      <c r="C64" s="1" t="s">
        <v>1244</v>
      </c>
      <c r="D64" s="1">
        <v>2018</v>
      </c>
      <c r="E64" s="1" t="s">
        <v>31</v>
      </c>
      <c r="F64" s="1">
        <v>4</v>
      </c>
      <c r="G64" s="1" t="s">
        <v>32</v>
      </c>
      <c r="H64" s="1" t="s">
        <v>122</v>
      </c>
      <c r="I64" s="1">
        <v>169000</v>
      </c>
      <c r="J64" s="1">
        <v>154000</v>
      </c>
      <c r="K64" s="1">
        <v>15000</v>
      </c>
      <c r="L64" s="1">
        <v>0</v>
      </c>
      <c r="M64" s="1" t="s">
        <v>34</v>
      </c>
      <c r="N64" s="1" t="s">
        <v>70</v>
      </c>
      <c r="O64" s="1" t="s">
        <v>103</v>
      </c>
      <c r="P64" s="1" t="s">
        <v>104</v>
      </c>
      <c r="Q64" s="1" t="s">
        <v>38</v>
      </c>
      <c r="R64" s="1" t="s">
        <v>1245</v>
      </c>
      <c r="S64" s="3">
        <v>918712000000</v>
      </c>
      <c r="T64" s="1" t="s">
        <v>86</v>
      </c>
      <c r="U64" s="1">
        <v>85</v>
      </c>
      <c r="V64" s="1">
        <v>74</v>
      </c>
      <c r="W64" s="1" t="s">
        <v>52</v>
      </c>
      <c r="X64" s="1">
        <v>438825</v>
      </c>
      <c r="Y64" s="2">
        <v>37723</v>
      </c>
      <c r="Z64" s="1">
        <v>10.1789737171464</v>
      </c>
      <c r="AA64" s="1">
        <v>21</v>
      </c>
      <c r="AB64" s="1">
        <v>676000</v>
      </c>
      <c r="AC64" s="1">
        <f t="shared" si="0"/>
        <v>736000</v>
      </c>
    </row>
    <row r="65" spans="1:29" x14ac:dyDescent="0.25">
      <c r="A65" s="1" t="s">
        <v>1264</v>
      </c>
      <c r="B65" s="1" t="s">
        <v>82</v>
      </c>
      <c r="C65" s="1" t="s">
        <v>83</v>
      </c>
      <c r="D65" s="1">
        <v>2018</v>
      </c>
      <c r="E65" s="1" t="s">
        <v>45</v>
      </c>
      <c r="F65" s="1">
        <v>2</v>
      </c>
      <c r="G65" s="1" t="s">
        <v>46</v>
      </c>
      <c r="H65" s="1" t="s">
        <v>113</v>
      </c>
      <c r="I65" s="1">
        <v>92000</v>
      </c>
      <c r="J65" s="1">
        <v>77000</v>
      </c>
      <c r="K65" s="1">
        <v>15000</v>
      </c>
      <c r="L65" s="1">
        <v>0</v>
      </c>
      <c r="M65" s="1" t="s">
        <v>34</v>
      </c>
      <c r="N65" s="1" t="s">
        <v>63</v>
      </c>
      <c r="O65" s="1" t="s">
        <v>71</v>
      </c>
      <c r="P65" s="1" t="s">
        <v>72</v>
      </c>
      <c r="Q65" s="1" t="s">
        <v>38</v>
      </c>
      <c r="R65" s="1" t="s">
        <v>1265</v>
      </c>
      <c r="S65" s="3">
        <v>917780000000</v>
      </c>
      <c r="T65" s="1" t="s">
        <v>98</v>
      </c>
      <c r="U65" s="1">
        <v>85</v>
      </c>
      <c r="V65" s="1">
        <v>92</v>
      </c>
      <c r="W65" s="1" t="s">
        <v>41</v>
      </c>
      <c r="X65" s="1">
        <v>519373</v>
      </c>
      <c r="Y65" s="2">
        <v>36387</v>
      </c>
      <c r="Z65" s="1">
        <v>10.1789737171464</v>
      </c>
      <c r="AA65" s="1">
        <v>24</v>
      </c>
      <c r="AB65" s="1">
        <v>184000</v>
      </c>
      <c r="AC65" s="1">
        <f t="shared" si="0"/>
        <v>214000</v>
      </c>
    </row>
    <row r="66" spans="1:29" x14ac:dyDescent="0.25">
      <c r="A66" s="1" t="s">
        <v>1268</v>
      </c>
      <c r="B66" s="1" t="s">
        <v>1269</v>
      </c>
      <c r="C66" s="1" t="s">
        <v>1270</v>
      </c>
      <c r="D66" s="1">
        <v>2018</v>
      </c>
      <c r="E66" s="1" t="s">
        <v>45</v>
      </c>
      <c r="F66" s="1">
        <v>2</v>
      </c>
      <c r="G66" s="1" t="s">
        <v>46</v>
      </c>
      <c r="H66" s="1" t="s">
        <v>47</v>
      </c>
      <c r="I66" s="1">
        <v>92000</v>
      </c>
      <c r="J66" s="1">
        <v>77000</v>
      </c>
      <c r="K66" s="1">
        <v>15000</v>
      </c>
      <c r="L66" s="1">
        <v>0</v>
      </c>
      <c r="M66" s="1" t="s">
        <v>34</v>
      </c>
      <c r="N66" s="1" t="s">
        <v>35</v>
      </c>
      <c r="O66" s="1" t="s">
        <v>103</v>
      </c>
      <c r="P66" s="1" t="s">
        <v>104</v>
      </c>
      <c r="Q66" s="1" t="s">
        <v>38</v>
      </c>
      <c r="R66" s="1" t="s">
        <v>1271</v>
      </c>
      <c r="S66" s="3">
        <v>919966000000</v>
      </c>
      <c r="T66" s="1" t="s">
        <v>98</v>
      </c>
      <c r="U66" s="1">
        <v>85</v>
      </c>
      <c r="V66" s="1">
        <v>90</v>
      </c>
      <c r="W66" s="1" t="s">
        <v>41</v>
      </c>
      <c r="X66" s="1">
        <v>692313</v>
      </c>
      <c r="Y66" s="2">
        <v>37063</v>
      </c>
      <c r="Z66" s="1">
        <v>10.1789737171464</v>
      </c>
      <c r="AA66" s="1">
        <v>23</v>
      </c>
      <c r="AB66" s="1">
        <v>184000</v>
      </c>
      <c r="AC66" s="1">
        <f t="shared" si="0"/>
        <v>214000</v>
      </c>
    </row>
    <row r="67" spans="1:29" x14ac:dyDescent="0.25">
      <c r="A67" s="1" t="s">
        <v>1324</v>
      </c>
      <c r="B67" s="1" t="s">
        <v>1095</v>
      </c>
      <c r="C67" s="1" t="s">
        <v>1096</v>
      </c>
      <c r="D67" s="1">
        <v>2018</v>
      </c>
      <c r="E67" s="1" t="s">
        <v>45</v>
      </c>
      <c r="F67" s="1">
        <v>2</v>
      </c>
      <c r="G67" s="1" t="s">
        <v>46</v>
      </c>
      <c r="H67" s="1" t="s">
        <v>33</v>
      </c>
      <c r="I67" s="1">
        <v>92000</v>
      </c>
      <c r="J67" s="1">
        <v>77000</v>
      </c>
      <c r="K67" s="1">
        <v>15000</v>
      </c>
      <c r="L67" s="1">
        <v>0</v>
      </c>
      <c r="M67" s="1" t="s">
        <v>34</v>
      </c>
      <c r="N67" s="1" t="s">
        <v>35</v>
      </c>
      <c r="O67" s="1" t="s">
        <v>57</v>
      </c>
      <c r="P67" s="1" t="s">
        <v>57</v>
      </c>
      <c r="Q67" s="1" t="s">
        <v>38</v>
      </c>
      <c r="R67" s="1" t="s">
        <v>1325</v>
      </c>
      <c r="S67" s="3">
        <v>917161000000</v>
      </c>
      <c r="T67" s="1" t="s">
        <v>40</v>
      </c>
      <c r="U67" s="1">
        <v>84</v>
      </c>
      <c r="V67" s="1">
        <v>87</v>
      </c>
      <c r="W67" s="1" t="s">
        <v>52</v>
      </c>
      <c r="X67" s="1">
        <v>155846</v>
      </c>
      <c r="Y67" s="2">
        <v>37287</v>
      </c>
      <c r="Z67" s="1">
        <v>9.1789737171464303</v>
      </c>
      <c r="AA67" s="1">
        <v>22</v>
      </c>
      <c r="AB67" s="1">
        <v>184000</v>
      </c>
      <c r="AC67" s="1">
        <f t="shared" si="0"/>
        <v>214000</v>
      </c>
    </row>
    <row r="68" spans="1:29" x14ac:dyDescent="0.25">
      <c r="A68" s="1" t="s">
        <v>1330</v>
      </c>
      <c r="B68" s="1" t="s">
        <v>1331</v>
      </c>
      <c r="C68" s="1" t="s">
        <v>1332</v>
      </c>
      <c r="D68" s="1">
        <v>2018</v>
      </c>
      <c r="E68" s="1" t="s">
        <v>31</v>
      </c>
      <c r="F68" s="1">
        <v>4</v>
      </c>
      <c r="G68" s="1" t="s">
        <v>32</v>
      </c>
      <c r="H68" s="1" t="s">
        <v>151</v>
      </c>
      <c r="I68" s="1">
        <v>169000</v>
      </c>
      <c r="J68" s="1">
        <v>154000</v>
      </c>
      <c r="K68" s="1">
        <v>15000</v>
      </c>
      <c r="L68" s="1">
        <v>0</v>
      </c>
      <c r="M68" s="1" t="s">
        <v>34</v>
      </c>
      <c r="N68" s="1" t="s">
        <v>70</v>
      </c>
      <c r="O68" s="1" t="s">
        <v>91</v>
      </c>
      <c r="P68" s="1" t="s">
        <v>92</v>
      </c>
      <c r="Q68" s="1" t="s">
        <v>38</v>
      </c>
      <c r="R68" s="1" t="s">
        <v>1333</v>
      </c>
      <c r="S68" s="3">
        <v>917060000000</v>
      </c>
      <c r="T68" s="1" t="s">
        <v>40</v>
      </c>
      <c r="U68" s="1">
        <v>84</v>
      </c>
      <c r="V68" s="1">
        <v>90</v>
      </c>
      <c r="W68" s="1" t="s">
        <v>41</v>
      </c>
      <c r="X68" s="1">
        <v>249032</v>
      </c>
      <c r="Y68" s="2">
        <v>37189</v>
      </c>
      <c r="Z68" s="1">
        <v>9.1789737171464303</v>
      </c>
      <c r="AA68" s="1">
        <v>22</v>
      </c>
      <c r="AB68" s="1">
        <v>676000</v>
      </c>
      <c r="AC68" s="1">
        <f t="shared" si="0"/>
        <v>736000</v>
      </c>
    </row>
    <row r="69" spans="1:29" x14ac:dyDescent="0.25">
      <c r="A69" s="1" t="s">
        <v>1338</v>
      </c>
      <c r="B69" s="1" t="s">
        <v>1339</v>
      </c>
      <c r="C69" s="1" t="s">
        <v>1340</v>
      </c>
      <c r="D69" s="1">
        <v>2018</v>
      </c>
      <c r="E69" s="1" t="s">
        <v>31</v>
      </c>
      <c r="F69" s="1">
        <v>4</v>
      </c>
      <c r="G69" s="1" t="s">
        <v>32</v>
      </c>
      <c r="H69" s="1" t="s">
        <v>102</v>
      </c>
      <c r="I69" s="1">
        <v>169000</v>
      </c>
      <c r="J69" s="1">
        <v>154000</v>
      </c>
      <c r="K69" s="1">
        <v>15000</v>
      </c>
      <c r="L69" s="1">
        <v>0</v>
      </c>
      <c r="M69" s="1" t="s">
        <v>34</v>
      </c>
      <c r="N69" s="1" t="s">
        <v>35</v>
      </c>
      <c r="O69" s="1" t="s">
        <v>84</v>
      </c>
      <c r="P69" s="1" t="s">
        <v>65</v>
      </c>
      <c r="Q69" s="1" t="s">
        <v>38</v>
      </c>
      <c r="R69" s="1" t="s">
        <v>1341</v>
      </c>
      <c r="S69" s="3">
        <v>919049000000</v>
      </c>
      <c r="T69" s="1" t="s">
        <v>98</v>
      </c>
      <c r="U69" s="1">
        <v>84</v>
      </c>
      <c r="V69" s="1">
        <v>78</v>
      </c>
      <c r="W69" s="1" t="s">
        <v>41</v>
      </c>
      <c r="X69" s="1">
        <v>794873</v>
      </c>
      <c r="Y69" s="2">
        <v>36959</v>
      </c>
      <c r="Z69" s="1">
        <v>9.1789737171464303</v>
      </c>
      <c r="AA69" s="1">
        <v>23</v>
      </c>
      <c r="AB69" s="1">
        <v>676000</v>
      </c>
      <c r="AC69" s="1">
        <f t="shared" si="0"/>
        <v>736000</v>
      </c>
    </row>
    <row r="70" spans="1:29" x14ac:dyDescent="0.25">
      <c r="A70" s="1" t="s">
        <v>1362</v>
      </c>
      <c r="B70" s="1" t="s">
        <v>1363</v>
      </c>
      <c r="C70" s="1" t="s">
        <v>1364</v>
      </c>
      <c r="D70" s="1">
        <v>2018</v>
      </c>
      <c r="E70" s="1" t="s">
        <v>31</v>
      </c>
      <c r="F70" s="1">
        <v>4</v>
      </c>
      <c r="G70" s="1" t="s">
        <v>32</v>
      </c>
      <c r="H70" s="1" t="s">
        <v>56</v>
      </c>
      <c r="I70" s="1">
        <v>169000</v>
      </c>
      <c r="J70" s="1">
        <v>154000</v>
      </c>
      <c r="K70" s="1">
        <v>15000</v>
      </c>
      <c r="L70" s="1">
        <v>0</v>
      </c>
      <c r="M70" s="1" t="s">
        <v>34</v>
      </c>
      <c r="N70" s="1" t="s">
        <v>63</v>
      </c>
      <c r="O70" s="1" t="s">
        <v>57</v>
      </c>
      <c r="P70" s="1" t="s">
        <v>57</v>
      </c>
      <c r="Q70" s="1" t="s">
        <v>38</v>
      </c>
      <c r="R70" s="1" t="s">
        <v>1365</v>
      </c>
      <c r="S70" s="3">
        <v>918130000000</v>
      </c>
      <c r="T70" s="1" t="s">
        <v>74</v>
      </c>
      <c r="U70" s="1">
        <v>84</v>
      </c>
      <c r="V70" s="1">
        <v>74</v>
      </c>
      <c r="W70" s="1" t="s">
        <v>41</v>
      </c>
      <c r="X70" s="1">
        <v>510472</v>
      </c>
      <c r="Y70" s="2">
        <v>38873</v>
      </c>
      <c r="Z70" s="1">
        <v>9.1789737171464303</v>
      </c>
      <c r="AA70" s="1">
        <v>18</v>
      </c>
      <c r="AB70" s="1">
        <v>676000</v>
      </c>
      <c r="AC70" s="1">
        <f t="shared" ref="AC70:AC133" si="1">IF(F70 = 2, AB70+30000,AB70+60000)</f>
        <v>736000</v>
      </c>
    </row>
    <row r="71" spans="1:29" x14ac:dyDescent="0.25">
      <c r="A71" s="1" t="s">
        <v>1384</v>
      </c>
      <c r="B71" s="1" t="s">
        <v>689</v>
      </c>
      <c r="C71" s="1" t="s">
        <v>690</v>
      </c>
      <c r="D71" s="1">
        <v>2018</v>
      </c>
      <c r="E71" s="1" t="s">
        <v>31</v>
      </c>
      <c r="F71" s="1">
        <v>4</v>
      </c>
      <c r="G71" s="1" t="s">
        <v>32</v>
      </c>
      <c r="H71" s="1" t="s">
        <v>33</v>
      </c>
      <c r="I71" s="1">
        <v>169000</v>
      </c>
      <c r="J71" s="1">
        <v>154000</v>
      </c>
      <c r="K71" s="1">
        <v>15000</v>
      </c>
      <c r="L71" s="1">
        <v>0</v>
      </c>
      <c r="M71" s="1" t="s">
        <v>34</v>
      </c>
      <c r="N71" s="1" t="s">
        <v>35</v>
      </c>
      <c r="O71" s="1" t="s">
        <v>78</v>
      </c>
      <c r="P71" s="1" t="s">
        <v>79</v>
      </c>
      <c r="Q71" s="1" t="s">
        <v>38</v>
      </c>
      <c r="R71" s="1" t="s">
        <v>1385</v>
      </c>
      <c r="S71" s="3">
        <v>918059000000</v>
      </c>
      <c r="T71" s="1" t="s">
        <v>40</v>
      </c>
      <c r="U71" s="1">
        <v>84</v>
      </c>
      <c r="V71" s="1">
        <v>68</v>
      </c>
      <c r="W71" s="1" t="s">
        <v>41</v>
      </c>
      <c r="X71" s="1">
        <v>301560</v>
      </c>
      <c r="Y71" s="2">
        <v>37845</v>
      </c>
      <c r="Z71" s="1">
        <v>9.1789737171464303</v>
      </c>
      <c r="AA71" s="1">
        <v>20</v>
      </c>
      <c r="AB71" s="1">
        <v>676000</v>
      </c>
      <c r="AC71" s="1">
        <f t="shared" si="1"/>
        <v>736000</v>
      </c>
    </row>
    <row r="72" spans="1:29" x14ac:dyDescent="0.25">
      <c r="A72" s="1" t="s">
        <v>1426</v>
      </c>
      <c r="B72" s="1" t="s">
        <v>1427</v>
      </c>
      <c r="C72" s="1" t="s">
        <v>1428</v>
      </c>
      <c r="D72" s="1">
        <v>2018</v>
      </c>
      <c r="E72" s="1" t="s">
        <v>31</v>
      </c>
      <c r="F72" s="1">
        <v>4</v>
      </c>
      <c r="G72" s="1" t="s">
        <v>32</v>
      </c>
      <c r="H72" s="1" t="s">
        <v>122</v>
      </c>
      <c r="I72" s="1">
        <v>169000</v>
      </c>
      <c r="J72" s="1">
        <v>154000</v>
      </c>
      <c r="K72" s="1">
        <v>15000</v>
      </c>
      <c r="L72" s="1">
        <v>0</v>
      </c>
      <c r="M72" s="1" t="s">
        <v>34</v>
      </c>
      <c r="N72" s="1" t="s">
        <v>70</v>
      </c>
      <c r="O72" s="1" t="s">
        <v>64</v>
      </c>
      <c r="P72" s="1" t="s">
        <v>65</v>
      </c>
      <c r="Q72" s="1" t="s">
        <v>38</v>
      </c>
      <c r="R72" s="1" t="s">
        <v>1429</v>
      </c>
      <c r="S72" s="3">
        <v>919424000000</v>
      </c>
      <c r="T72" s="1" t="s">
        <v>74</v>
      </c>
      <c r="U72" s="1">
        <v>83</v>
      </c>
      <c r="V72" s="1">
        <v>67</v>
      </c>
      <c r="W72" s="1" t="s">
        <v>41</v>
      </c>
      <c r="X72" s="1">
        <v>682662</v>
      </c>
      <c r="Y72" s="2">
        <v>38733</v>
      </c>
      <c r="Z72" s="1">
        <v>8.1789737171464303</v>
      </c>
      <c r="AA72" s="1">
        <v>18</v>
      </c>
      <c r="AB72" s="1">
        <v>676000</v>
      </c>
      <c r="AC72" s="1">
        <f t="shared" si="1"/>
        <v>736000</v>
      </c>
    </row>
    <row r="73" spans="1:29" x14ac:dyDescent="0.25">
      <c r="A73" s="1" t="s">
        <v>1430</v>
      </c>
      <c r="B73" s="1" t="s">
        <v>1431</v>
      </c>
      <c r="C73" s="1" t="s">
        <v>1432</v>
      </c>
      <c r="D73" s="1">
        <v>2018</v>
      </c>
      <c r="E73" s="1" t="s">
        <v>31</v>
      </c>
      <c r="F73" s="1">
        <v>4</v>
      </c>
      <c r="G73" s="1" t="s">
        <v>32</v>
      </c>
      <c r="H73" s="1" t="s">
        <v>102</v>
      </c>
      <c r="I73" s="1">
        <v>169000</v>
      </c>
      <c r="J73" s="1">
        <v>154000</v>
      </c>
      <c r="K73" s="1">
        <v>15000</v>
      </c>
      <c r="L73" s="1">
        <v>0</v>
      </c>
      <c r="M73" s="1" t="s">
        <v>34</v>
      </c>
      <c r="N73" s="1" t="s">
        <v>63</v>
      </c>
      <c r="O73" s="1" t="s">
        <v>71</v>
      </c>
      <c r="P73" s="1" t="s">
        <v>72</v>
      </c>
      <c r="Q73" s="1" t="s">
        <v>38</v>
      </c>
      <c r="R73" s="1" t="s">
        <v>1433</v>
      </c>
      <c r="S73" s="3">
        <v>919600000000</v>
      </c>
      <c r="T73" s="1" t="s">
        <v>98</v>
      </c>
      <c r="U73" s="1">
        <v>83</v>
      </c>
      <c r="V73" s="1">
        <v>66</v>
      </c>
      <c r="W73" s="1" t="s">
        <v>52</v>
      </c>
      <c r="X73" s="1">
        <v>200816</v>
      </c>
      <c r="Y73" s="2">
        <v>36958</v>
      </c>
      <c r="Z73" s="1">
        <v>8.1789737171464303</v>
      </c>
      <c r="AA73" s="1">
        <v>23</v>
      </c>
      <c r="AB73" s="1">
        <v>676000</v>
      </c>
      <c r="AC73" s="1">
        <f t="shared" si="1"/>
        <v>736000</v>
      </c>
    </row>
    <row r="74" spans="1:29" x14ac:dyDescent="0.25">
      <c r="A74" s="1" t="s">
        <v>1450</v>
      </c>
      <c r="B74" s="1" t="s">
        <v>1451</v>
      </c>
      <c r="C74" s="1" t="s">
        <v>1452</v>
      </c>
      <c r="D74" s="1">
        <v>2018</v>
      </c>
      <c r="E74" s="1" t="s">
        <v>31</v>
      </c>
      <c r="F74" s="1">
        <v>4</v>
      </c>
      <c r="G74" s="1" t="s">
        <v>32</v>
      </c>
      <c r="H74" s="1" t="s">
        <v>90</v>
      </c>
      <c r="I74" s="1">
        <v>169000</v>
      </c>
      <c r="J74" s="1">
        <v>154000</v>
      </c>
      <c r="K74" s="1">
        <v>15000</v>
      </c>
      <c r="L74" s="1">
        <v>0</v>
      </c>
      <c r="M74" s="1" t="s">
        <v>34</v>
      </c>
      <c r="N74" s="1" t="s">
        <v>35</v>
      </c>
      <c r="O74" s="1" t="s">
        <v>64</v>
      </c>
      <c r="P74" s="1" t="s">
        <v>65</v>
      </c>
      <c r="Q74" s="1" t="s">
        <v>38</v>
      </c>
      <c r="R74" s="1" t="s">
        <v>1453</v>
      </c>
      <c r="S74" s="3">
        <v>918758000000</v>
      </c>
      <c r="T74" s="1" t="s">
        <v>98</v>
      </c>
      <c r="U74" s="1">
        <v>83</v>
      </c>
      <c r="V74" s="1">
        <v>61</v>
      </c>
      <c r="W74" s="1" t="s">
        <v>52</v>
      </c>
      <c r="X74" s="1">
        <v>673977</v>
      </c>
      <c r="Y74" s="2">
        <v>37058</v>
      </c>
      <c r="Z74" s="1">
        <v>8.1789737171464303</v>
      </c>
      <c r="AA74" s="1">
        <v>23</v>
      </c>
      <c r="AB74" s="1">
        <v>676000</v>
      </c>
      <c r="AC74" s="1">
        <f t="shared" si="1"/>
        <v>736000</v>
      </c>
    </row>
    <row r="75" spans="1:29" x14ac:dyDescent="0.25">
      <c r="A75" s="1" t="s">
        <v>1454</v>
      </c>
      <c r="B75" s="1" t="s">
        <v>1455</v>
      </c>
      <c r="C75" s="1" t="s">
        <v>1456</v>
      </c>
      <c r="D75" s="1">
        <v>2018</v>
      </c>
      <c r="E75" s="1" t="s">
        <v>45</v>
      </c>
      <c r="F75" s="1">
        <v>2</v>
      </c>
      <c r="G75" s="1" t="s">
        <v>46</v>
      </c>
      <c r="H75" s="1" t="s">
        <v>102</v>
      </c>
      <c r="I75" s="1">
        <v>92000</v>
      </c>
      <c r="J75" s="1">
        <v>77000</v>
      </c>
      <c r="K75" s="1">
        <v>15000</v>
      </c>
      <c r="L75" s="1">
        <v>0</v>
      </c>
      <c r="M75" s="1" t="s">
        <v>34</v>
      </c>
      <c r="N75" s="1" t="s">
        <v>35</v>
      </c>
      <c r="O75" s="1" t="s">
        <v>103</v>
      </c>
      <c r="P75" s="1" t="s">
        <v>104</v>
      </c>
      <c r="Q75" s="1" t="s">
        <v>38</v>
      </c>
      <c r="R75" s="1" t="s">
        <v>1457</v>
      </c>
      <c r="S75" s="3">
        <v>918843000000</v>
      </c>
      <c r="T75" s="1" t="s">
        <v>51</v>
      </c>
      <c r="U75" s="1">
        <v>83</v>
      </c>
      <c r="V75" s="1">
        <v>76</v>
      </c>
      <c r="W75" s="1" t="s">
        <v>52</v>
      </c>
      <c r="X75" s="1">
        <v>168510</v>
      </c>
      <c r="Y75" s="2">
        <v>37372</v>
      </c>
      <c r="Z75" s="1">
        <v>8.1789737171464303</v>
      </c>
      <c r="AA75" s="1">
        <v>22</v>
      </c>
      <c r="AB75" s="1">
        <v>184000</v>
      </c>
      <c r="AC75" s="1">
        <f t="shared" si="1"/>
        <v>214000</v>
      </c>
    </row>
    <row r="76" spans="1:29" x14ac:dyDescent="0.25">
      <c r="A76" s="1" t="s">
        <v>1470</v>
      </c>
      <c r="B76" s="1" t="s">
        <v>1471</v>
      </c>
      <c r="C76" s="1" t="s">
        <v>1472</v>
      </c>
      <c r="D76" s="1">
        <v>2018</v>
      </c>
      <c r="E76" s="1" t="s">
        <v>31</v>
      </c>
      <c r="F76" s="1">
        <v>4</v>
      </c>
      <c r="G76" s="1" t="s">
        <v>32</v>
      </c>
      <c r="H76" s="1" t="s">
        <v>62</v>
      </c>
      <c r="I76" s="1">
        <v>169000</v>
      </c>
      <c r="J76" s="1">
        <v>154000</v>
      </c>
      <c r="K76" s="1">
        <v>15000</v>
      </c>
      <c r="L76" s="1">
        <v>0</v>
      </c>
      <c r="M76" s="1" t="s">
        <v>34</v>
      </c>
      <c r="N76" s="1" t="s">
        <v>35</v>
      </c>
      <c r="O76" s="1" t="s">
        <v>71</v>
      </c>
      <c r="P76" s="1" t="s">
        <v>72</v>
      </c>
      <c r="Q76" s="1" t="s">
        <v>38</v>
      </c>
      <c r="R76" s="1" t="s">
        <v>1473</v>
      </c>
      <c r="S76" s="3">
        <v>917385000000</v>
      </c>
      <c r="T76" s="1" t="s">
        <v>86</v>
      </c>
      <c r="U76" s="1">
        <v>83</v>
      </c>
      <c r="V76" s="1">
        <v>80</v>
      </c>
      <c r="W76" s="1" t="s">
        <v>41</v>
      </c>
      <c r="X76" s="1">
        <v>662714</v>
      </c>
      <c r="Y76" s="2">
        <v>38192</v>
      </c>
      <c r="Z76" s="1">
        <v>8.1789737171464303</v>
      </c>
      <c r="AA76" s="1">
        <v>19</v>
      </c>
      <c r="AB76" s="1">
        <v>676000</v>
      </c>
      <c r="AC76" s="1">
        <f t="shared" si="1"/>
        <v>736000</v>
      </c>
    </row>
    <row r="77" spans="1:29" x14ac:dyDescent="0.25">
      <c r="A77" s="1" t="s">
        <v>1474</v>
      </c>
      <c r="B77" s="1" t="s">
        <v>1475</v>
      </c>
      <c r="C77" s="1" t="s">
        <v>1476</v>
      </c>
      <c r="D77" s="1">
        <v>2018</v>
      </c>
      <c r="E77" s="1" t="s">
        <v>45</v>
      </c>
      <c r="F77" s="1">
        <v>2</v>
      </c>
      <c r="G77" s="1" t="s">
        <v>46</v>
      </c>
      <c r="H77" s="1" t="s">
        <v>62</v>
      </c>
      <c r="I77" s="1">
        <v>92000</v>
      </c>
      <c r="J77" s="1">
        <v>77000</v>
      </c>
      <c r="K77" s="1">
        <v>15000</v>
      </c>
      <c r="L77" s="1">
        <v>0</v>
      </c>
      <c r="M77" s="1" t="s">
        <v>34</v>
      </c>
      <c r="N77" s="1" t="s">
        <v>35</v>
      </c>
      <c r="O77" s="1" t="s">
        <v>91</v>
      </c>
      <c r="P77" s="1" t="s">
        <v>92</v>
      </c>
      <c r="Q77" s="1" t="s">
        <v>38</v>
      </c>
      <c r="R77" s="1" t="s">
        <v>1477</v>
      </c>
      <c r="S77" s="3">
        <v>917235000000</v>
      </c>
      <c r="T77" s="1" t="s">
        <v>98</v>
      </c>
      <c r="U77" s="1">
        <v>83</v>
      </c>
      <c r="V77" s="1">
        <v>83</v>
      </c>
      <c r="W77" s="1" t="s">
        <v>52</v>
      </c>
      <c r="X77" s="1">
        <v>103705</v>
      </c>
      <c r="Y77" s="2">
        <v>35550</v>
      </c>
      <c r="Z77" s="1">
        <v>8.1789737171464303</v>
      </c>
      <c r="AA77" s="1">
        <v>27</v>
      </c>
      <c r="AB77" s="1">
        <v>184000</v>
      </c>
      <c r="AC77" s="1">
        <f t="shared" si="1"/>
        <v>214000</v>
      </c>
    </row>
    <row r="78" spans="1:29" x14ac:dyDescent="0.25">
      <c r="A78" s="1" t="s">
        <v>1494</v>
      </c>
      <c r="B78" s="1" t="s">
        <v>1495</v>
      </c>
      <c r="C78" s="1" t="s">
        <v>1496</v>
      </c>
      <c r="D78" s="1">
        <v>2018</v>
      </c>
      <c r="E78" s="1" t="s">
        <v>31</v>
      </c>
      <c r="F78" s="1">
        <v>4</v>
      </c>
      <c r="G78" s="1" t="s">
        <v>32</v>
      </c>
      <c r="H78" s="1" t="s">
        <v>151</v>
      </c>
      <c r="I78" s="1">
        <v>169000</v>
      </c>
      <c r="J78" s="1">
        <v>154000</v>
      </c>
      <c r="K78" s="1">
        <v>15000</v>
      </c>
      <c r="L78" s="1">
        <v>0</v>
      </c>
      <c r="M78" s="1" t="s">
        <v>34</v>
      </c>
      <c r="N78" s="1" t="s">
        <v>35</v>
      </c>
      <c r="O78" s="1" t="s">
        <v>78</v>
      </c>
      <c r="P78" s="1" t="s">
        <v>79</v>
      </c>
      <c r="Q78" s="1" t="s">
        <v>38</v>
      </c>
      <c r="R78" s="1" t="s">
        <v>1497</v>
      </c>
      <c r="S78" s="3">
        <v>917702000000</v>
      </c>
      <c r="T78" s="1" t="s">
        <v>74</v>
      </c>
      <c r="U78" s="1">
        <v>83</v>
      </c>
      <c r="V78" s="1">
        <v>85</v>
      </c>
      <c r="W78" s="1" t="s">
        <v>52</v>
      </c>
      <c r="X78" s="1">
        <v>737771</v>
      </c>
      <c r="Y78" s="2">
        <v>38620</v>
      </c>
      <c r="Z78" s="1">
        <v>8.1789737171464303</v>
      </c>
      <c r="AA78" s="1">
        <v>18</v>
      </c>
      <c r="AB78" s="1">
        <v>676000</v>
      </c>
      <c r="AC78" s="1">
        <f t="shared" si="1"/>
        <v>736000</v>
      </c>
    </row>
    <row r="79" spans="1:29" x14ac:dyDescent="0.25">
      <c r="A79" s="1" t="s">
        <v>1512</v>
      </c>
      <c r="B79" s="1" t="s">
        <v>1513</v>
      </c>
      <c r="C79" s="1" t="s">
        <v>1514</v>
      </c>
      <c r="D79" s="1">
        <v>2018</v>
      </c>
      <c r="E79" s="1" t="s">
        <v>31</v>
      </c>
      <c r="F79" s="1">
        <v>4</v>
      </c>
      <c r="G79" s="1" t="s">
        <v>32</v>
      </c>
      <c r="H79" s="1" t="s">
        <v>33</v>
      </c>
      <c r="I79" s="1">
        <v>169000</v>
      </c>
      <c r="J79" s="1">
        <v>154000</v>
      </c>
      <c r="K79" s="1">
        <v>15000</v>
      </c>
      <c r="L79" s="1">
        <v>0</v>
      </c>
      <c r="M79" s="1" t="s">
        <v>5649</v>
      </c>
      <c r="N79" s="1" t="s">
        <v>63</v>
      </c>
      <c r="O79" s="1" t="s">
        <v>64</v>
      </c>
      <c r="P79" s="1" t="s">
        <v>65</v>
      </c>
      <c r="Q79" s="1" t="s">
        <v>38</v>
      </c>
      <c r="R79" s="1" t="s">
        <v>1515</v>
      </c>
      <c r="S79" s="3">
        <v>917101000000</v>
      </c>
      <c r="T79" s="1" t="s">
        <v>51</v>
      </c>
      <c r="U79" s="1">
        <v>83</v>
      </c>
      <c r="V79" s="1">
        <v>77</v>
      </c>
      <c r="W79" s="1" t="s">
        <v>41</v>
      </c>
      <c r="X79" s="1">
        <v>584831</v>
      </c>
      <c r="Y79" s="2">
        <v>37533</v>
      </c>
      <c r="Z79" s="1">
        <v>8.1789737171464303</v>
      </c>
      <c r="AA79" s="1">
        <v>21</v>
      </c>
      <c r="AB79" s="1">
        <v>676000</v>
      </c>
      <c r="AC79" s="1">
        <f t="shared" si="1"/>
        <v>736000</v>
      </c>
    </row>
    <row r="80" spans="1:29" x14ac:dyDescent="0.25">
      <c r="A80" s="1" t="s">
        <v>1524</v>
      </c>
      <c r="B80" s="1" t="s">
        <v>1525</v>
      </c>
      <c r="C80" s="1" t="s">
        <v>1526</v>
      </c>
      <c r="D80" s="1">
        <v>2018</v>
      </c>
      <c r="E80" s="1" t="s">
        <v>31</v>
      </c>
      <c r="F80" s="1">
        <v>4</v>
      </c>
      <c r="G80" s="1" t="s">
        <v>32</v>
      </c>
      <c r="H80" s="1" t="s">
        <v>102</v>
      </c>
      <c r="I80" s="1">
        <v>169000</v>
      </c>
      <c r="J80" s="1">
        <v>154000</v>
      </c>
      <c r="K80" s="1">
        <v>15000</v>
      </c>
      <c r="L80" s="1">
        <v>0</v>
      </c>
      <c r="M80" s="1" t="s">
        <v>5649</v>
      </c>
      <c r="N80" s="1" t="s">
        <v>70</v>
      </c>
      <c r="O80" s="1" t="s">
        <v>57</v>
      </c>
      <c r="P80" s="1" t="s">
        <v>57</v>
      </c>
      <c r="Q80" s="1" t="s">
        <v>38</v>
      </c>
      <c r="R80" s="1" t="s">
        <v>1527</v>
      </c>
      <c r="S80" s="3">
        <v>918118000000</v>
      </c>
      <c r="T80" s="1" t="s">
        <v>40</v>
      </c>
      <c r="U80" s="1">
        <v>83</v>
      </c>
      <c r="V80" s="1">
        <v>73</v>
      </c>
      <c r="W80" s="1" t="s">
        <v>52</v>
      </c>
      <c r="X80" s="1">
        <v>534068</v>
      </c>
      <c r="Y80" s="2">
        <v>37757</v>
      </c>
      <c r="Z80" s="1">
        <v>8.1789737171464303</v>
      </c>
      <c r="AA80" s="1">
        <v>21</v>
      </c>
      <c r="AB80" s="1">
        <v>676000</v>
      </c>
      <c r="AC80" s="1">
        <f t="shared" si="1"/>
        <v>736000</v>
      </c>
    </row>
    <row r="81" spans="1:29" x14ac:dyDescent="0.25">
      <c r="A81" s="1" t="s">
        <v>1554</v>
      </c>
      <c r="B81" s="1" t="s">
        <v>393</v>
      </c>
      <c r="C81" s="1" t="s">
        <v>394</v>
      </c>
      <c r="D81" s="1">
        <v>2018</v>
      </c>
      <c r="E81" s="1" t="s">
        <v>45</v>
      </c>
      <c r="F81" s="1">
        <v>2</v>
      </c>
      <c r="G81" s="1" t="s">
        <v>46</v>
      </c>
      <c r="H81" s="1" t="s">
        <v>62</v>
      </c>
      <c r="I81" s="1">
        <v>92000</v>
      </c>
      <c r="J81" s="1">
        <v>77000</v>
      </c>
      <c r="K81" s="1">
        <v>15000</v>
      </c>
      <c r="L81" s="1">
        <v>0</v>
      </c>
      <c r="M81" s="1" t="s">
        <v>34</v>
      </c>
      <c r="N81" s="1" t="s">
        <v>63</v>
      </c>
      <c r="O81" s="1" t="s">
        <v>57</v>
      </c>
      <c r="P81" s="1" t="s">
        <v>57</v>
      </c>
      <c r="Q81" s="1" t="s">
        <v>38</v>
      </c>
      <c r="R81" s="1" t="s">
        <v>1555</v>
      </c>
      <c r="S81" s="3">
        <v>918067000000</v>
      </c>
      <c r="T81" s="1" t="s">
        <v>98</v>
      </c>
      <c r="U81" s="1">
        <v>83</v>
      </c>
      <c r="V81" s="1">
        <v>83</v>
      </c>
      <c r="W81" s="1" t="s">
        <v>41</v>
      </c>
      <c r="X81" s="1">
        <v>506500</v>
      </c>
      <c r="Y81" s="2">
        <v>36416</v>
      </c>
      <c r="Z81" s="1">
        <v>8.1789737171464303</v>
      </c>
      <c r="AA81" s="1">
        <v>24</v>
      </c>
      <c r="AB81" s="1">
        <v>184000</v>
      </c>
      <c r="AC81" s="1">
        <f t="shared" si="1"/>
        <v>214000</v>
      </c>
    </row>
    <row r="82" spans="1:29" x14ac:dyDescent="0.25">
      <c r="A82" s="1" t="s">
        <v>1556</v>
      </c>
      <c r="B82" s="1" t="s">
        <v>1557</v>
      </c>
      <c r="C82" s="1" t="s">
        <v>1558</v>
      </c>
      <c r="D82" s="1">
        <v>2018</v>
      </c>
      <c r="E82" s="1" t="s">
        <v>45</v>
      </c>
      <c r="F82" s="1">
        <v>2</v>
      </c>
      <c r="G82" s="1" t="s">
        <v>46</v>
      </c>
      <c r="H82" s="1" t="s">
        <v>113</v>
      </c>
      <c r="I82" s="1">
        <v>92000</v>
      </c>
      <c r="J82" s="1">
        <v>77000</v>
      </c>
      <c r="K82" s="1">
        <v>15000</v>
      </c>
      <c r="L82" s="1">
        <v>0</v>
      </c>
      <c r="M82" s="1" t="s">
        <v>34</v>
      </c>
      <c r="N82" s="1" t="s">
        <v>70</v>
      </c>
      <c r="O82" s="1" t="s">
        <v>57</v>
      </c>
      <c r="P82" s="1" t="s">
        <v>57</v>
      </c>
      <c r="Q82" s="1" t="s">
        <v>38</v>
      </c>
      <c r="R82" s="1" t="s">
        <v>1559</v>
      </c>
      <c r="S82" s="3">
        <v>917361000000</v>
      </c>
      <c r="T82" s="1" t="s">
        <v>74</v>
      </c>
      <c r="U82" s="1">
        <v>83</v>
      </c>
      <c r="V82" s="1">
        <v>78</v>
      </c>
      <c r="W82" s="1" t="s">
        <v>52</v>
      </c>
      <c r="X82" s="1">
        <v>310274</v>
      </c>
      <c r="Y82" s="2">
        <v>37255</v>
      </c>
      <c r="Z82" s="1">
        <v>8.1789737171464303</v>
      </c>
      <c r="AA82" s="1">
        <v>22</v>
      </c>
      <c r="AB82" s="1">
        <v>184000</v>
      </c>
      <c r="AC82" s="1">
        <f t="shared" si="1"/>
        <v>214000</v>
      </c>
    </row>
    <row r="83" spans="1:29" x14ac:dyDescent="0.25">
      <c r="A83" s="1" t="s">
        <v>1560</v>
      </c>
      <c r="B83" s="1" t="s">
        <v>1561</v>
      </c>
      <c r="C83" s="1" t="s">
        <v>1562</v>
      </c>
      <c r="D83" s="1">
        <v>2018</v>
      </c>
      <c r="E83" s="1" t="s">
        <v>45</v>
      </c>
      <c r="F83" s="1">
        <v>2</v>
      </c>
      <c r="G83" s="1" t="s">
        <v>46</v>
      </c>
      <c r="H83" s="1" t="s">
        <v>62</v>
      </c>
      <c r="I83" s="1">
        <v>92000</v>
      </c>
      <c r="J83" s="1">
        <v>77000</v>
      </c>
      <c r="K83" s="1">
        <v>15000</v>
      </c>
      <c r="L83" s="1">
        <v>0</v>
      </c>
      <c r="M83" s="1" t="s">
        <v>34</v>
      </c>
      <c r="N83" s="1" t="s">
        <v>35</v>
      </c>
      <c r="O83" s="1" t="s">
        <v>57</v>
      </c>
      <c r="P83" s="1" t="s">
        <v>57</v>
      </c>
      <c r="Q83" s="1" t="s">
        <v>38</v>
      </c>
      <c r="R83" s="1" t="s">
        <v>1563</v>
      </c>
      <c r="S83" s="3">
        <v>919360000000</v>
      </c>
      <c r="T83" s="1" t="s">
        <v>51</v>
      </c>
      <c r="U83" s="1">
        <v>83</v>
      </c>
      <c r="V83" s="1">
        <v>75</v>
      </c>
      <c r="W83" s="1" t="s">
        <v>52</v>
      </c>
      <c r="X83" s="1">
        <v>697208</v>
      </c>
      <c r="Y83" s="2">
        <v>35299</v>
      </c>
      <c r="Z83" s="1">
        <v>8.1789737171464303</v>
      </c>
      <c r="AA83" s="1">
        <v>27</v>
      </c>
      <c r="AB83" s="1">
        <v>184000</v>
      </c>
      <c r="AC83" s="1">
        <f t="shared" si="1"/>
        <v>214000</v>
      </c>
    </row>
    <row r="84" spans="1:29" x14ac:dyDescent="0.25">
      <c r="A84" s="1" t="s">
        <v>1580</v>
      </c>
      <c r="B84" s="1" t="s">
        <v>1581</v>
      </c>
      <c r="C84" s="1" t="s">
        <v>1582</v>
      </c>
      <c r="D84" s="1">
        <v>2018</v>
      </c>
      <c r="E84" s="1" t="s">
        <v>31</v>
      </c>
      <c r="F84" s="1">
        <v>4</v>
      </c>
      <c r="G84" s="1" t="s">
        <v>32</v>
      </c>
      <c r="H84" s="1" t="s">
        <v>113</v>
      </c>
      <c r="I84" s="1">
        <v>169000</v>
      </c>
      <c r="J84" s="1">
        <v>154000</v>
      </c>
      <c r="K84" s="1">
        <v>15000</v>
      </c>
      <c r="L84" s="1">
        <v>0</v>
      </c>
      <c r="M84" s="1" t="s">
        <v>34</v>
      </c>
      <c r="N84" s="1" t="s">
        <v>63</v>
      </c>
      <c r="O84" s="1" t="s">
        <v>48</v>
      </c>
      <c r="P84" s="1" t="s">
        <v>49</v>
      </c>
      <c r="Q84" s="1" t="s">
        <v>38</v>
      </c>
      <c r="R84" s="1" t="s">
        <v>1583</v>
      </c>
      <c r="S84" s="3">
        <v>918328000000</v>
      </c>
      <c r="T84" s="1" t="s">
        <v>98</v>
      </c>
      <c r="U84" s="1">
        <v>83</v>
      </c>
      <c r="V84" s="1">
        <v>78</v>
      </c>
      <c r="W84" s="1" t="s">
        <v>41</v>
      </c>
      <c r="X84" s="1">
        <v>274142</v>
      </c>
      <c r="Y84" s="2">
        <v>37721</v>
      </c>
      <c r="Z84" s="1">
        <v>8.1789737171464303</v>
      </c>
      <c r="AA84" s="1">
        <v>21</v>
      </c>
      <c r="AB84" s="1">
        <v>676000</v>
      </c>
      <c r="AC84" s="1">
        <f t="shared" si="1"/>
        <v>736000</v>
      </c>
    </row>
    <row r="85" spans="1:29" x14ac:dyDescent="0.25">
      <c r="A85" s="1" t="s">
        <v>1596</v>
      </c>
      <c r="B85" s="1" t="s">
        <v>1597</v>
      </c>
      <c r="C85" s="1" t="s">
        <v>1598</v>
      </c>
      <c r="D85" s="1">
        <v>2018</v>
      </c>
      <c r="E85" s="1" t="s">
        <v>45</v>
      </c>
      <c r="F85" s="1">
        <v>2</v>
      </c>
      <c r="G85" s="1" t="s">
        <v>46</v>
      </c>
      <c r="H85" s="1" t="s">
        <v>113</v>
      </c>
      <c r="I85" s="1">
        <v>92000</v>
      </c>
      <c r="J85" s="1">
        <v>77000</v>
      </c>
      <c r="K85" s="1">
        <v>15000</v>
      </c>
      <c r="L85" s="1">
        <v>0</v>
      </c>
      <c r="M85" s="1" t="s">
        <v>34</v>
      </c>
      <c r="N85" s="1" t="s">
        <v>63</v>
      </c>
      <c r="O85" s="1" t="s">
        <v>36</v>
      </c>
      <c r="P85" s="1" t="s">
        <v>37</v>
      </c>
      <c r="Q85" s="1" t="s">
        <v>38</v>
      </c>
      <c r="R85" s="1" t="s">
        <v>1599</v>
      </c>
      <c r="S85" s="3">
        <v>918548000000</v>
      </c>
      <c r="T85" s="1" t="s">
        <v>74</v>
      </c>
      <c r="U85" s="1">
        <v>83</v>
      </c>
      <c r="V85" s="1">
        <v>88</v>
      </c>
      <c r="W85" s="1" t="s">
        <v>52</v>
      </c>
      <c r="X85" s="1">
        <v>529136</v>
      </c>
      <c r="Y85" s="2">
        <v>37278</v>
      </c>
      <c r="Z85" s="1">
        <v>8.1789737171464303</v>
      </c>
      <c r="AA85" s="1">
        <v>22</v>
      </c>
      <c r="AB85" s="1">
        <v>184000</v>
      </c>
      <c r="AC85" s="1">
        <f t="shared" si="1"/>
        <v>214000</v>
      </c>
    </row>
    <row r="86" spans="1:29" x14ac:dyDescent="0.25">
      <c r="A86" s="1" t="s">
        <v>1636</v>
      </c>
      <c r="B86" s="1" t="s">
        <v>1637</v>
      </c>
      <c r="C86" s="1" t="s">
        <v>1638</v>
      </c>
      <c r="D86" s="1">
        <v>2018</v>
      </c>
      <c r="E86" s="1" t="s">
        <v>45</v>
      </c>
      <c r="F86" s="1">
        <v>2</v>
      </c>
      <c r="G86" s="1" t="s">
        <v>46</v>
      </c>
      <c r="H86" s="1" t="s">
        <v>62</v>
      </c>
      <c r="I86" s="1">
        <v>92000</v>
      </c>
      <c r="J86" s="1">
        <v>77000</v>
      </c>
      <c r="K86" s="1">
        <v>15000</v>
      </c>
      <c r="L86" s="1">
        <v>0</v>
      </c>
      <c r="M86" s="1" t="s">
        <v>34</v>
      </c>
      <c r="N86" s="1" t="s">
        <v>63</v>
      </c>
      <c r="O86" s="1" t="s">
        <v>64</v>
      </c>
      <c r="P86" s="1" t="s">
        <v>65</v>
      </c>
      <c r="Q86" s="1" t="s">
        <v>38</v>
      </c>
      <c r="R86" s="1" t="s">
        <v>1639</v>
      </c>
      <c r="S86" s="3">
        <v>919721000000</v>
      </c>
      <c r="T86" s="1" t="s">
        <v>74</v>
      </c>
      <c r="U86" s="1">
        <v>82</v>
      </c>
      <c r="V86" s="1">
        <v>73</v>
      </c>
      <c r="W86" s="1" t="s">
        <v>52</v>
      </c>
      <c r="X86" s="1">
        <v>667527</v>
      </c>
      <c r="Y86" s="2">
        <v>35790</v>
      </c>
      <c r="Z86" s="1">
        <v>7.1789737171464303</v>
      </c>
      <c r="AA86" s="1">
        <v>26</v>
      </c>
      <c r="AB86" s="1">
        <v>184000</v>
      </c>
      <c r="AC86" s="1">
        <f t="shared" si="1"/>
        <v>214000</v>
      </c>
    </row>
    <row r="87" spans="1:29" x14ac:dyDescent="0.25">
      <c r="A87" s="1" t="s">
        <v>1646</v>
      </c>
      <c r="B87" s="1" t="s">
        <v>1647</v>
      </c>
      <c r="C87" s="1" t="s">
        <v>1648</v>
      </c>
      <c r="D87" s="1">
        <v>2018</v>
      </c>
      <c r="E87" s="1" t="s">
        <v>45</v>
      </c>
      <c r="F87" s="1">
        <v>2</v>
      </c>
      <c r="G87" s="1" t="s">
        <v>46</v>
      </c>
      <c r="H87" s="1" t="s">
        <v>33</v>
      </c>
      <c r="I87" s="1">
        <v>92000</v>
      </c>
      <c r="J87" s="1">
        <v>77000</v>
      </c>
      <c r="K87" s="1">
        <v>15000</v>
      </c>
      <c r="L87" s="1">
        <v>0</v>
      </c>
      <c r="M87" s="1" t="s">
        <v>34</v>
      </c>
      <c r="N87" s="1" t="s">
        <v>35</v>
      </c>
      <c r="O87" s="1" t="s">
        <v>57</v>
      </c>
      <c r="P87" s="1" t="s">
        <v>57</v>
      </c>
      <c r="Q87" s="1" t="s">
        <v>38</v>
      </c>
      <c r="R87" s="1" t="s">
        <v>1649</v>
      </c>
      <c r="S87" s="3">
        <v>919448000000</v>
      </c>
      <c r="T87" s="1" t="s">
        <v>98</v>
      </c>
      <c r="U87" s="1">
        <v>82</v>
      </c>
      <c r="V87" s="1">
        <v>74</v>
      </c>
      <c r="W87" s="1" t="s">
        <v>41</v>
      </c>
      <c r="X87" s="1">
        <v>267508</v>
      </c>
      <c r="Y87" s="2">
        <v>35678</v>
      </c>
      <c r="Z87" s="1">
        <v>7.1789737171464303</v>
      </c>
      <c r="AA87" s="1">
        <v>26</v>
      </c>
      <c r="AB87" s="1">
        <v>184000</v>
      </c>
      <c r="AC87" s="1">
        <f t="shared" si="1"/>
        <v>214000</v>
      </c>
    </row>
    <row r="88" spans="1:29" x14ac:dyDescent="0.25">
      <c r="A88" s="1" t="s">
        <v>1650</v>
      </c>
      <c r="B88" s="1" t="s">
        <v>1651</v>
      </c>
      <c r="C88" s="1" t="s">
        <v>1652</v>
      </c>
      <c r="D88" s="1">
        <v>2018</v>
      </c>
      <c r="E88" s="1" t="s">
        <v>31</v>
      </c>
      <c r="F88" s="1">
        <v>4</v>
      </c>
      <c r="G88" s="1" t="s">
        <v>32</v>
      </c>
      <c r="H88" s="1" t="s">
        <v>33</v>
      </c>
      <c r="I88" s="1">
        <v>169000</v>
      </c>
      <c r="J88" s="1">
        <v>154000</v>
      </c>
      <c r="K88" s="1">
        <v>15000</v>
      </c>
      <c r="L88" s="1">
        <v>0</v>
      </c>
      <c r="M88" s="1" t="s">
        <v>34</v>
      </c>
      <c r="N88" s="1" t="s">
        <v>63</v>
      </c>
      <c r="O88" s="1" t="s">
        <v>91</v>
      </c>
      <c r="P88" s="1" t="s">
        <v>92</v>
      </c>
      <c r="Q88" s="1" t="s">
        <v>38</v>
      </c>
      <c r="R88" s="1" t="s">
        <v>1653</v>
      </c>
      <c r="S88" s="3">
        <v>919234000000</v>
      </c>
      <c r="T88" s="1" t="s">
        <v>40</v>
      </c>
      <c r="U88" s="1">
        <v>82</v>
      </c>
      <c r="V88" s="1">
        <v>92</v>
      </c>
      <c r="W88" s="1" t="s">
        <v>52</v>
      </c>
      <c r="X88" s="1">
        <v>752446</v>
      </c>
      <c r="Y88" s="2">
        <v>38656</v>
      </c>
      <c r="Z88" s="1">
        <v>7.1789737171464303</v>
      </c>
      <c r="AA88" s="1">
        <v>18</v>
      </c>
      <c r="AB88" s="1">
        <v>676000</v>
      </c>
      <c r="AC88" s="1">
        <f t="shared" si="1"/>
        <v>736000</v>
      </c>
    </row>
    <row r="89" spans="1:29" x14ac:dyDescent="0.25">
      <c r="A89" s="1" t="s">
        <v>1668</v>
      </c>
      <c r="B89" s="1" t="s">
        <v>1669</v>
      </c>
      <c r="C89" s="1" t="s">
        <v>1670</v>
      </c>
      <c r="D89" s="1">
        <v>2018</v>
      </c>
      <c r="E89" s="1" t="s">
        <v>31</v>
      </c>
      <c r="F89" s="1">
        <v>4</v>
      </c>
      <c r="G89" s="1" t="s">
        <v>32</v>
      </c>
      <c r="H89" s="1" t="s">
        <v>210</v>
      </c>
      <c r="I89" s="1">
        <v>169000</v>
      </c>
      <c r="J89" s="1">
        <v>154000</v>
      </c>
      <c r="K89" s="1">
        <v>15000</v>
      </c>
      <c r="L89" s="1">
        <v>0</v>
      </c>
      <c r="M89" s="1" t="s">
        <v>34</v>
      </c>
      <c r="N89" s="1" t="s">
        <v>70</v>
      </c>
      <c r="O89" s="1" t="s">
        <v>188</v>
      </c>
      <c r="P89" s="1" t="s">
        <v>189</v>
      </c>
      <c r="Q89" s="1" t="s">
        <v>38</v>
      </c>
      <c r="R89" s="1" t="s">
        <v>1671</v>
      </c>
      <c r="S89" s="3">
        <v>919759000000</v>
      </c>
      <c r="T89" s="1" t="s">
        <v>86</v>
      </c>
      <c r="U89" s="1">
        <v>82</v>
      </c>
      <c r="V89" s="1">
        <v>85</v>
      </c>
      <c r="W89" s="1" t="s">
        <v>52</v>
      </c>
      <c r="X89" s="1">
        <v>554630</v>
      </c>
      <c r="Y89" s="2">
        <v>37203</v>
      </c>
      <c r="Z89" s="1">
        <v>7.1789737171464303</v>
      </c>
      <c r="AA89" s="1">
        <v>22</v>
      </c>
      <c r="AB89" s="1">
        <v>676000</v>
      </c>
      <c r="AC89" s="1">
        <f t="shared" si="1"/>
        <v>736000</v>
      </c>
    </row>
    <row r="90" spans="1:29" x14ac:dyDescent="0.25">
      <c r="A90" s="1" t="s">
        <v>1672</v>
      </c>
      <c r="B90" s="1" t="s">
        <v>1673</v>
      </c>
      <c r="C90" s="1" t="s">
        <v>1674</v>
      </c>
      <c r="D90" s="1">
        <v>2018</v>
      </c>
      <c r="E90" s="1" t="s">
        <v>31</v>
      </c>
      <c r="F90" s="1">
        <v>4</v>
      </c>
      <c r="G90" s="1" t="s">
        <v>32</v>
      </c>
      <c r="H90" s="1" t="s">
        <v>122</v>
      </c>
      <c r="I90" s="1">
        <v>169000</v>
      </c>
      <c r="J90" s="1">
        <v>154000</v>
      </c>
      <c r="K90" s="1">
        <v>15000</v>
      </c>
      <c r="L90" s="1">
        <v>0</v>
      </c>
      <c r="M90" s="1" t="s">
        <v>34</v>
      </c>
      <c r="N90" s="1" t="s">
        <v>70</v>
      </c>
      <c r="O90" s="1" t="s">
        <v>36</v>
      </c>
      <c r="P90" s="1" t="s">
        <v>37</v>
      </c>
      <c r="Q90" s="1" t="s">
        <v>38</v>
      </c>
      <c r="R90" s="1" t="s">
        <v>1675</v>
      </c>
      <c r="S90" s="3">
        <v>918056000000</v>
      </c>
      <c r="T90" s="1" t="s">
        <v>40</v>
      </c>
      <c r="U90" s="1">
        <v>82</v>
      </c>
      <c r="V90" s="1">
        <v>69</v>
      </c>
      <c r="W90" s="1" t="s">
        <v>41</v>
      </c>
      <c r="X90" s="1">
        <v>120345</v>
      </c>
      <c r="Y90" s="2">
        <v>37640</v>
      </c>
      <c r="Z90" s="1">
        <v>7.1789737171464303</v>
      </c>
      <c r="AA90" s="1">
        <v>21</v>
      </c>
      <c r="AB90" s="1">
        <v>676000</v>
      </c>
      <c r="AC90" s="1">
        <f t="shared" si="1"/>
        <v>736000</v>
      </c>
    </row>
    <row r="91" spans="1:29" x14ac:dyDescent="0.25">
      <c r="A91" s="1" t="s">
        <v>1712</v>
      </c>
      <c r="B91" s="1" t="s">
        <v>1713</v>
      </c>
      <c r="C91" s="1" t="s">
        <v>1714</v>
      </c>
      <c r="D91" s="1">
        <v>2018</v>
      </c>
      <c r="E91" s="1" t="s">
        <v>31</v>
      </c>
      <c r="F91" s="1">
        <v>4</v>
      </c>
      <c r="G91" s="1" t="s">
        <v>32</v>
      </c>
      <c r="H91" s="1" t="s">
        <v>56</v>
      </c>
      <c r="I91" s="1">
        <v>169000</v>
      </c>
      <c r="J91" s="1">
        <v>154000</v>
      </c>
      <c r="K91" s="1">
        <v>15000</v>
      </c>
      <c r="L91" s="1">
        <v>0</v>
      </c>
      <c r="M91" s="1" t="s">
        <v>34</v>
      </c>
      <c r="N91" s="1" t="s">
        <v>35</v>
      </c>
      <c r="O91" s="1" t="s">
        <v>84</v>
      </c>
      <c r="P91" s="1" t="s">
        <v>65</v>
      </c>
      <c r="Q91" s="1" t="s">
        <v>38</v>
      </c>
      <c r="R91" s="1" t="s">
        <v>1715</v>
      </c>
      <c r="S91" s="3">
        <v>919276000000</v>
      </c>
      <c r="T91" s="1" t="s">
        <v>98</v>
      </c>
      <c r="U91" s="1">
        <v>82</v>
      </c>
      <c r="V91" s="1">
        <v>84</v>
      </c>
      <c r="W91" s="1" t="s">
        <v>52</v>
      </c>
      <c r="X91" s="1">
        <v>481410</v>
      </c>
      <c r="Y91" s="2">
        <v>38518</v>
      </c>
      <c r="Z91" s="1">
        <v>7.1789737171464303</v>
      </c>
      <c r="AA91" s="1">
        <v>19</v>
      </c>
      <c r="AB91" s="1">
        <v>676000</v>
      </c>
      <c r="AC91" s="1">
        <f t="shared" si="1"/>
        <v>736000</v>
      </c>
    </row>
    <row r="92" spans="1:29" x14ac:dyDescent="0.25">
      <c r="A92" s="1" t="s">
        <v>1748</v>
      </c>
      <c r="B92" s="1" t="s">
        <v>859</v>
      </c>
      <c r="C92" s="1" t="s">
        <v>860</v>
      </c>
      <c r="D92" s="1">
        <v>2018</v>
      </c>
      <c r="E92" s="1" t="s">
        <v>31</v>
      </c>
      <c r="F92" s="1">
        <v>4</v>
      </c>
      <c r="G92" s="1" t="s">
        <v>32</v>
      </c>
      <c r="H92" s="1" t="s">
        <v>90</v>
      </c>
      <c r="I92" s="1">
        <v>169000</v>
      </c>
      <c r="J92" s="1">
        <v>154000</v>
      </c>
      <c r="K92" s="1">
        <v>15000</v>
      </c>
      <c r="L92" s="1">
        <v>0</v>
      </c>
      <c r="M92" s="1" t="s">
        <v>34</v>
      </c>
      <c r="N92" s="1" t="s">
        <v>70</v>
      </c>
      <c r="O92" s="1" t="s">
        <v>48</v>
      </c>
      <c r="P92" s="1" t="s">
        <v>49</v>
      </c>
      <c r="Q92" s="1" t="s">
        <v>38</v>
      </c>
      <c r="R92" s="1" t="s">
        <v>1749</v>
      </c>
      <c r="S92" s="3">
        <v>917539000000</v>
      </c>
      <c r="T92" s="1" t="s">
        <v>51</v>
      </c>
      <c r="U92" s="1">
        <v>82</v>
      </c>
      <c r="V92" s="1">
        <v>65</v>
      </c>
      <c r="W92" s="1" t="s">
        <v>52</v>
      </c>
      <c r="X92" s="1">
        <v>678635</v>
      </c>
      <c r="Y92" s="2">
        <v>37477</v>
      </c>
      <c r="Z92" s="1">
        <v>7.1789737171464303</v>
      </c>
      <c r="AA92" s="1">
        <v>21</v>
      </c>
      <c r="AB92" s="1">
        <v>676000</v>
      </c>
      <c r="AC92" s="1">
        <f t="shared" si="1"/>
        <v>736000</v>
      </c>
    </row>
    <row r="93" spans="1:29" x14ac:dyDescent="0.25">
      <c r="A93" s="1" t="s">
        <v>1754</v>
      </c>
      <c r="B93" s="1" t="s">
        <v>1755</v>
      </c>
      <c r="C93" s="1" t="s">
        <v>1756</v>
      </c>
      <c r="D93" s="1">
        <v>2018</v>
      </c>
      <c r="E93" s="1" t="s">
        <v>45</v>
      </c>
      <c r="F93" s="1">
        <v>2</v>
      </c>
      <c r="G93" s="1" t="s">
        <v>46</v>
      </c>
      <c r="H93" s="1" t="s">
        <v>62</v>
      </c>
      <c r="I93" s="1">
        <v>92000</v>
      </c>
      <c r="J93" s="1">
        <v>77000</v>
      </c>
      <c r="K93" s="1">
        <v>15000</v>
      </c>
      <c r="L93" s="1">
        <v>0</v>
      </c>
      <c r="M93" s="1" t="s">
        <v>34</v>
      </c>
      <c r="N93" s="1" t="s">
        <v>35</v>
      </c>
      <c r="O93" s="1" t="s">
        <v>188</v>
      </c>
      <c r="P93" s="1" t="s">
        <v>189</v>
      </c>
      <c r="Q93" s="1" t="s">
        <v>38</v>
      </c>
      <c r="R93" s="1" t="s">
        <v>1757</v>
      </c>
      <c r="S93" s="3">
        <v>919953000000</v>
      </c>
      <c r="T93" s="1" t="s">
        <v>98</v>
      </c>
      <c r="U93" s="1">
        <v>82</v>
      </c>
      <c r="V93" s="1">
        <v>92</v>
      </c>
      <c r="W93" s="1" t="s">
        <v>52</v>
      </c>
      <c r="X93" s="1">
        <v>695264</v>
      </c>
      <c r="Y93" s="2">
        <v>35306</v>
      </c>
      <c r="Z93" s="1">
        <v>7.1789737171464303</v>
      </c>
      <c r="AA93" s="1">
        <v>27</v>
      </c>
      <c r="AB93" s="1">
        <v>184000</v>
      </c>
      <c r="AC93" s="1">
        <f t="shared" si="1"/>
        <v>214000</v>
      </c>
    </row>
    <row r="94" spans="1:29" x14ac:dyDescent="0.25">
      <c r="A94" s="1" t="s">
        <v>1762</v>
      </c>
      <c r="B94" s="1" t="s">
        <v>1763</v>
      </c>
      <c r="C94" s="1" t="s">
        <v>1764</v>
      </c>
      <c r="D94" s="1">
        <v>2018</v>
      </c>
      <c r="E94" s="1" t="s">
        <v>31</v>
      </c>
      <c r="F94" s="1">
        <v>4</v>
      </c>
      <c r="G94" s="1" t="s">
        <v>32</v>
      </c>
      <c r="H94" s="1" t="s">
        <v>210</v>
      </c>
      <c r="I94" s="1">
        <v>169000</v>
      </c>
      <c r="J94" s="1">
        <v>154000</v>
      </c>
      <c r="K94" s="1">
        <v>15000</v>
      </c>
      <c r="L94" s="1">
        <v>0</v>
      </c>
      <c r="M94" s="1" t="s">
        <v>34</v>
      </c>
      <c r="N94" s="1" t="s">
        <v>35</v>
      </c>
      <c r="O94" s="1" t="s">
        <v>57</v>
      </c>
      <c r="P94" s="1" t="s">
        <v>57</v>
      </c>
      <c r="Q94" s="1" t="s">
        <v>38</v>
      </c>
      <c r="R94" s="1" t="s">
        <v>1765</v>
      </c>
      <c r="S94" s="3">
        <v>919683000000</v>
      </c>
      <c r="T94" s="1" t="s">
        <v>51</v>
      </c>
      <c r="U94" s="1">
        <v>82</v>
      </c>
      <c r="V94" s="1">
        <v>82</v>
      </c>
      <c r="W94" s="1" t="s">
        <v>52</v>
      </c>
      <c r="X94" s="1">
        <v>786512</v>
      </c>
      <c r="Y94" s="2">
        <v>38706</v>
      </c>
      <c r="Z94" s="1">
        <v>7.1789737171464303</v>
      </c>
      <c r="AA94" s="1">
        <v>18</v>
      </c>
      <c r="AB94" s="1">
        <v>676000</v>
      </c>
      <c r="AC94" s="1">
        <f t="shared" si="1"/>
        <v>736000</v>
      </c>
    </row>
    <row r="95" spans="1:29" x14ac:dyDescent="0.25">
      <c r="A95" s="1" t="s">
        <v>1774</v>
      </c>
      <c r="B95" s="1" t="s">
        <v>1775</v>
      </c>
      <c r="C95" s="1" t="s">
        <v>1776</v>
      </c>
      <c r="D95" s="1">
        <v>2018</v>
      </c>
      <c r="E95" s="1" t="s">
        <v>31</v>
      </c>
      <c r="F95" s="1">
        <v>4</v>
      </c>
      <c r="G95" s="1" t="s">
        <v>32</v>
      </c>
      <c r="H95" s="1" t="s">
        <v>210</v>
      </c>
      <c r="I95" s="1">
        <v>169000</v>
      </c>
      <c r="J95" s="1">
        <v>154000</v>
      </c>
      <c r="K95" s="1">
        <v>15000</v>
      </c>
      <c r="L95" s="1">
        <v>0</v>
      </c>
      <c r="M95" s="1" t="s">
        <v>34</v>
      </c>
      <c r="N95" s="1" t="s">
        <v>35</v>
      </c>
      <c r="O95" s="1" t="s">
        <v>71</v>
      </c>
      <c r="P95" s="1" t="s">
        <v>72</v>
      </c>
      <c r="Q95" s="1" t="s">
        <v>38</v>
      </c>
      <c r="R95" s="1" t="s">
        <v>1777</v>
      </c>
      <c r="S95" s="3">
        <v>917985000000</v>
      </c>
      <c r="T95" s="1" t="s">
        <v>40</v>
      </c>
      <c r="U95" s="1">
        <v>82</v>
      </c>
      <c r="V95" s="1">
        <v>92</v>
      </c>
      <c r="W95" s="1" t="s">
        <v>52</v>
      </c>
      <c r="X95" s="1">
        <v>342041</v>
      </c>
      <c r="Y95" s="2">
        <v>37108</v>
      </c>
      <c r="Z95" s="1">
        <v>7.1789737171464303</v>
      </c>
      <c r="AA95" s="1">
        <v>22</v>
      </c>
      <c r="AB95" s="1">
        <v>676000</v>
      </c>
      <c r="AC95" s="1">
        <f t="shared" si="1"/>
        <v>736000</v>
      </c>
    </row>
    <row r="96" spans="1:29" x14ac:dyDescent="0.25">
      <c r="A96" s="1" t="s">
        <v>1782</v>
      </c>
      <c r="B96" s="1" t="s">
        <v>1783</v>
      </c>
      <c r="C96" s="1" t="s">
        <v>1784</v>
      </c>
      <c r="D96" s="1">
        <v>2018</v>
      </c>
      <c r="E96" s="1" t="s">
        <v>45</v>
      </c>
      <c r="F96" s="1">
        <v>2</v>
      </c>
      <c r="G96" s="1" t="s">
        <v>46</v>
      </c>
      <c r="H96" s="1" t="s">
        <v>62</v>
      </c>
      <c r="I96" s="1">
        <v>92000</v>
      </c>
      <c r="J96" s="1">
        <v>77000</v>
      </c>
      <c r="K96" s="1">
        <v>15000</v>
      </c>
      <c r="L96" s="1">
        <v>0</v>
      </c>
      <c r="M96" s="1" t="s">
        <v>34</v>
      </c>
      <c r="N96" s="1" t="s">
        <v>70</v>
      </c>
      <c r="O96" s="1" t="s">
        <v>78</v>
      </c>
      <c r="P96" s="1" t="s">
        <v>79</v>
      </c>
      <c r="Q96" s="1" t="s">
        <v>38</v>
      </c>
      <c r="R96" s="1" t="s">
        <v>1785</v>
      </c>
      <c r="S96" s="3">
        <v>917478000000</v>
      </c>
      <c r="T96" s="1" t="s">
        <v>51</v>
      </c>
      <c r="U96" s="1">
        <v>82</v>
      </c>
      <c r="V96" s="1">
        <v>60</v>
      </c>
      <c r="W96" s="1" t="s">
        <v>41</v>
      </c>
      <c r="X96" s="1">
        <v>772773</v>
      </c>
      <c r="Y96" s="2">
        <v>36611</v>
      </c>
      <c r="Z96" s="1">
        <v>7.1789737171464303</v>
      </c>
      <c r="AA96" s="1">
        <v>24</v>
      </c>
      <c r="AB96" s="1">
        <v>184000</v>
      </c>
      <c r="AC96" s="1">
        <f t="shared" si="1"/>
        <v>214000</v>
      </c>
    </row>
    <row r="97" spans="1:29" x14ac:dyDescent="0.25">
      <c r="A97" s="1" t="s">
        <v>1827</v>
      </c>
      <c r="B97" s="1" t="s">
        <v>1828</v>
      </c>
      <c r="C97" s="1" t="s">
        <v>1829</v>
      </c>
      <c r="D97" s="1">
        <v>2018</v>
      </c>
      <c r="E97" s="1" t="s">
        <v>31</v>
      </c>
      <c r="F97" s="1">
        <v>4</v>
      </c>
      <c r="G97" s="1" t="s">
        <v>32</v>
      </c>
      <c r="H97" s="1" t="s">
        <v>62</v>
      </c>
      <c r="I97" s="1">
        <v>169000</v>
      </c>
      <c r="J97" s="1">
        <v>154000</v>
      </c>
      <c r="K97" s="1">
        <v>15000</v>
      </c>
      <c r="L97" s="1">
        <v>0</v>
      </c>
      <c r="M97" s="1" t="s">
        <v>34</v>
      </c>
      <c r="N97" s="1" t="s">
        <v>35</v>
      </c>
      <c r="O97" s="1" t="s">
        <v>91</v>
      </c>
      <c r="P97" s="1" t="s">
        <v>92</v>
      </c>
      <c r="Q97" s="1" t="s">
        <v>38</v>
      </c>
      <c r="R97" s="1" t="s">
        <v>1830</v>
      </c>
      <c r="S97" s="3">
        <v>920000000000</v>
      </c>
      <c r="T97" s="1" t="s">
        <v>51</v>
      </c>
      <c r="U97" s="1">
        <v>81</v>
      </c>
      <c r="V97" s="1">
        <v>68</v>
      </c>
      <c r="W97" s="1" t="s">
        <v>52</v>
      </c>
      <c r="X97" s="1">
        <v>218246</v>
      </c>
      <c r="Y97" s="2">
        <v>38662</v>
      </c>
      <c r="Z97" s="1">
        <v>6.1789737171464303</v>
      </c>
      <c r="AA97" s="1">
        <v>18</v>
      </c>
      <c r="AB97" s="1">
        <v>676000</v>
      </c>
      <c r="AC97" s="1">
        <f t="shared" si="1"/>
        <v>736000</v>
      </c>
    </row>
    <row r="98" spans="1:29" x14ac:dyDescent="0.25">
      <c r="A98" s="1" t="s">
        <v>1847</v>
      </c>
      <c r="B98" s="1" t="s">
        <v>1848</v>
      </c>
      <c r="C98" s="1" t="s">
        <v>1849</v>
      </c>
      <c r="D98" s="1">
        <v>2018</v>
      </c>
      <c r="E98" s="1" t="s">
        <v>45</v>
      </c>
      <c r="F98" s="1">
        <v>2</v>
      </c>
      <c r="G98" s="1" t="s">
        <v>46</v>
      </c>
      <c r="H98" s="1" t="s">
        <v>102</v>
      </c>
      <c r="I98" s="1">
        <v>92000</v>
      </c>
      <c r="J98" s="1">
        <v>77000</v>
      </c>
      <c r="K98" s="1">
        <v>15000</v>
      </c>
      <c r="L98" s="1">
        <v>0</v>
      </c>
      <c r="M98" s="1" t="s">
        <v>34</v>
      </c>
      <c r="N98" s="1" t="s">
        <v>63</v>
      </c>
      <c r="O98" s="1" t="s">
        <v>64</v>
      </c>
      <c r="P98" s="1" t="s">
        <v>65</v>
      </c>
      <c r="Q98" s="1" t="s">
        <v>38</v>
      </c>
      <c r="R98" s="1" t="s">
        <v>1850</v>
      </c>
      <c r="S98" s="3">
        <v>918147000000</v>
      </c>
      <c r="T98" s="1" t="s">
        <v>51</v>
      </c>
      <c r="U98" s="1">
        <v>81</v>
      </c>
      <c r="V98" s="1">
        <v>74</v>
      </c>
      <c r="W98" s="1" t="s">
        <v>41</v>
      </c>
      <c r="X98" s="1">
        <v>570054</v>
      </c>
      <c r="Y98" s="2">
        <v>35939</v>
      </c>
      <c r="Z98" s="1">
        <v>6.1789737171464303</v>
      </c>
      <c r="AA98" s="1">
        <v>26</v>
      </c>
      <c r="AB98" s="1">
        <v>184000</v>
      </c>
      <c r="AC98" s="1">
        <f t="shared" si="1"/>
        <v>214000</v>
      </c>
    </row>
    <row r="99" spans="1:29" x14ac:dyDescent="0.25">
      <c r="A99" s="1" t="s">
        <v>1867</v>
      </c>
      <c r="B99" s="1" t="s">
        <v>1868</v>
      </c>
      <c r="C99" s="1" t="s">
        <v>1869</v>
      </c>
      <c r="D99" s="1">
        <v>2018</v>
      </c>
      <c r="E99" s="1" t="s">
        <v>31</v>
      </c>
      <c r="F99" s="1">
        <v>4</v>
      </c>
      <c r="G99" s="1" t="s">
        <v>32</v>
      </c>
      <c r="H99" s="1" t="s">
        <v>122</v>
      </c>
      <c r="I99" s="1">
        <v>169000</v>
      </c>
      <c r="J99" s="1">
        <v>154000</v>
      </c>
      <c r="K99" s="1">
        <v>15000</v>
      </c>
      <c r="L99" s="1">
        <v>0</v>
      </c>
      <c r="M99" s="1" t="s">
        <v>34</v>
      </c>
      <c r="N99" s="1" t="s">
        <v>70</v>
      </c>
      <c r="O99" s="1" t="s">
        <v>36</v>
      </c>
      <c r="P99" s="1" t="s">
        <v>37</v>
      </c>
      <c r="Q99" s="1" t="s">
        <v>38</v>
      </c>
      <c r="R99" s="1" t="s">
        <v>1870</v>
      </c>
      <c r="S99" s="3">
        <v>917357000000</v>
      </c>
      <c r="T99" s="1" t="s">
        <v>40</v>
      </c>
      <c r="U99" s="1">
        <v>81</v>
      </c>
      <c r="V99" s="1">
        <v>73</v>
      </c>
      <c r="W99" s="1" t="s">
        <v>41</v>
      </c>
      <c r="X99" s="1">
        <v>636638</v>
      </c>
      <c r="Y99" s="2">
        <v>38400</v>
      </c>
      <c r="Z99" s="1">
        <v>6.1789737171464303</v>
      </c>
      <c r="AA99" s="1">
        <v>19</v>
      </c>
      <c r="AB99" s="1">
        <v>676000</v>
      </c>
      <c r="AC99" s="1">
        <f t="shared" si="1"/>
        <v>736000</v>
      </c>
    </row>
    <row r="100" spans="1:29" x14ac:dyDescent="0.25">
      <c r="A100" s="1" t="s">
        <v>1885</v>
      </c>
      <c r="B100" s="1" t="s">
        <v>1848</v>
      </c>
      <c r="C100" s="1" t="s">
        <v>1849</v>
      </c>
      <c r="D100" s="1">
        <v>2018</v>
      </c>
      <c r="E100" s="1" t="s">
        <v>31</v>
      </c>
      <c r="F100" s="1">
        <v>4</v>
      </c>
      <c r="G100" s="1" t="s">
        <v>32</v>
      </c>
      <c r="H100" s="1" t="s">
        <v>90</v>
      </c>
      <c r="I100" s="1">
        <v>169000</v>
      </c>
      <c r="J100" s="1">
        <v>154000</v>
      </c>
      <c r="K100" s="1">
        <v>15000</v>
      </c>
      <c r="L100" s="1">
        <v>0</v>
      </c>
      <c r="M100" s="1" t="s">
        <v>34</v>
      </c>
      <c r="N100" s="1" t="s">
        <v>70</v>
      </c>
      <c r="O100" s="1" t="s">
        <v>78</v>
      </c>
      <c r="P100" s="1" t="s">
        <v>79</v>
      </c>
      <c r="Q100" s="1" t="s">
        <v>38</v>
      </c>
      <c r="R100" s="1" t="s">
        <v>1886</v>
      </c>
      <c r="S100" s="3">
        <v>918531000000</v>
      </c>
      <c r="T100" s="1" t="s">
        <v>86</v>
      </c>
      <c r="U100" s="1">
        <v>81</v>
      </c>
      <c r="V100" s="1">
        <v>88</v>
      </c>
      <c r="W100" s="1" t="s">
        <v>52</v>
      </c>
      <c r="X100" s="1">
        <v>733633</v>
      </c>
      <c r="Y100" s="2">
        <v>38667</v>
      </c>
      <c r="Z100" s="1">
        <v>6.1789737171464303</v>
      </c>
      <c r="AA100" s="1">
        <v>18</v>
      </c>
      <c r="AB100" s="1">
        <v>676000</v>
      </c>
      <c r="AC100" s="1">
        <f t="shared" si="1"/>
        <v>736000</v>
      </c>
    </row>
    <row r="101" spans="1:29" x14ac:dyDescent="0.25">
      <c r="A101" s="1" t="s">
        <v>1927</v>
      </c>
      <c r="B101" s="1" t="s">
        <v>1455</v>
      </c>
      <c r="C101" s="1" t="s">
        <v>1456</v>
      </c>
      <c r="D101" s="1">
        <v>2018</v>
      </c>
      <c r="E101" s="1" t="s">
        <v>31</v>
      </c>
      <c r="F101" s="1">
        <v>4</v>
      </c>
      <c r="G101" s="1" t="s">
        <v>32</v>
      </c>
      <c r="H101" s="1" t="s">
        <v>122</v>
      </c>
      <c r="I101" s="1">
        <v>169000</v>
      </c>
      <c r="J101" s="1">
        <v>154000</v>
      </c>
      <c r="K101" s="1">
        <v>15000</v>
      </c>
      <c r="L101" s="1">
        <v>0</v>
      </c>
      <c r="M101" s="1" t="s">
        <v>34</v>
      </c>
      <c r="N101" s="1" t="s">
        <v>63</v>
      </c>
      <c r="O101" s="1" t="s">
        <v>84</v>
      </c>
      <c r="P101" s="1" t="s">
        <v>65</v>
      </c>
      <c r="Q101" s="1" t="s">
        <v>38</v>
      </c>
      <c r="R101" s="1" t="s">
        <v>1928</v>
      </c>
      <c r="S101" s="3">
        <v>919174000000</v>
      </c>
      <c r="T101" s="1" t="s">
        <v>40</v>
      </c>
      <c r="U101" s="1">
        <v>81</v>
      </c>
      <c r="V101" s="1">
        <v>72</v>
      </c>
      <c r="W101" s="1" t="s">
        <v>52</v>
      </c>
      <c r="X101" s="1">
        <v>121242</v>
      </c>
      <c r="Y101" s="2">
        <v>38884</v>
      </c>
      <c r="Z101" s="1">
        <v>6.1789737171464303</v>
      </c>
      <c r="AA101" s="1">
        <v>18</v>
      </c>
      <c r="AB101" s="1">
        <v>676000</v>
      </c>
      <c r="AC101" s="1">
        <f t="shared" si="1"/>
        <v>736000</v>
      </c>
    </row>
    <row r="102" spans="1:29" x14ac:dyDescent="0.25">
      <c r="A102" s="1" t="s">
        <v>1979</v>
      </c>
      <c r="B102" s="1" t="s">
        <v>1980</v>
      </c>
      <c r="C102" s="1" t="s">
        <v>1981</v>
      </c>
      <c r="D102" s="1">
        <v>2018</v>
      </c>
      <c r="E102" s="1" t="s">
        <v>45</v>
      </c>
      <c r="F102" s="1">
        <v>2</v>
      </c>
      <c r="G102" s="1" t="s">
        <v>46</v>
      </c>
      <c r="H102" s="1" t="s">
        <v>33</v>
      </c>
      <c r="I102" s="1">
        <v>92000</v>
      </c>
      <c r="J102" s="1">
        <v>77000</v>
      </c>
      <c r="K102" s="1">
        <v>15000</v>
      </c>
      <c r="L102" s="1">
        <v>0</v>
      </c>
      <c r="M102" s="1" t="s">
        <v>34</v>
      </c>
      <c r="N102" s="1" t="s">
        <v>70</v>
      </c>
      <c r="O102" s="1" t="s">
        <v>48</v>
      </c>
      <c r="P102" s="1" t="s">
        <v>49</v>
      </c>
      <c r="Q102" s="1" t="s">
        <v>38</v>
      </c>
      <c r="R102" s="1" t="s">
        <v>1982</v>
      </c>
      <c r="S102" s="3">
        <v>919076000000</v>
      </c>
      <c r="T102" s="1" t="s">
        <v>86</v>
      </c>
      <c r="U102" s="1">
        <v>80</v>
      </c>
      <c r="V102" s="1">
        <v>77</v>
      </c>
      <c r="W102" s="1" t="s">
        <v>41</v>
      </c>
      <c r="X102" s="1">
        <v>557946</v>
      </c>
      <c r="Y102" s="2">
        <v>37014</v>
      </c>
      <c r="Z102" s="1">
        <v>5.1789737171464303</v>
      </c>
      <c r="AA102" s="1">
        <v>23</v>
      </c>
      <c r="AB102" s="1">
        <v>184000</v>
      </c>
      <c r="AC102" s="1">
        <f t="shared" si="1"/>
        <v>214000</v>
      </c>
    </row>
    <row r="103" spans="1:29" x14ac:dyDescent="0.25">
      <c r="A103" s="1" t="s">
        <v>1987</v>
      </c>
      <c r="B103" s="1" t="s">
        <v>1988</v>
      </c>
      <c r="C103" s="1" t="s">
        <v>1989</v>
      </c>
      <c r="D103" s="1">
        <v>2018</v>
      </c>
      <c r="E103" s="1" t="s">
        <v>45</v>
      </c>
      <c r="F103" s="1">
        <v>2</v>
      </c>
      <c r="G103" s="1" t="s">
        <v>46</v>
      </c>
      <c r="H103" s="1" t="s">
        <v>113</v>
      </c>
      <c r="I103" s="1">
        <v>92000</v>
      </c>
      <c r="J103" s="1">
        <v>77000</v>
      </c>
      <c r="K103" s="1">
        <v>15000</v>
      </c>
      <c r="L103" s="1">
        <v>0</v>
      </c>
      <c r="M103" s="1" t="s">
        <v>34</v>
      </c>
      <c r="N103" s="1" t="s">
        <v>35</v>
      </c>
      <c r="O103" s="1" t="s">
        <v>78</v>
      </c>
      <c r="P103" s="1" t="s">
        <v>79</v>
      </c>
      <c r="Q103" s="1" t="s">
        <v>38</v>
      </c>
      <c r="R103" s="1" t="s">
        <v>1990</v>
      </c>
      <c r="S103" s="3">
        <v>918969000000</v>
      </c>
      <c r="T103" s="1" t="s">
        <v>40</v>
      </c>
      <c r="U103" s="1">
        <v>80</v>
      </c>
      <c r="V103" s="1">
        <v>92</v>
      </c>
      <c r="W103" s="1" t="s">
        <v>52</v>
      </c>
      <c r="X103" s="1">
        <v>298098</v>
      </c>
      <c r="Y103" s="2">
        <v>37404</v>
      </c>
      <c r="Z103" s="1">
        <v>5.1789737171464303</v>
      </c>
      <c r="AA103" s="1">
        <v>22</v>
      </c>
      <c r="AB103" s="1">
        <v>184000</v>
      </c>
      <c r="AC103" s="1">
        <f t="shared" si="1"/>
        <v>214000</v>
      </c>
    </row>
    <row r="104" spans="1:29" x14ac:dyDescent="0.25">
      <c r="A104" s="1" t="s">
        <v>2025</v>
      </c>
      <c r="B104" s="1" t="s">
        <v>493</v>
      </c>
      <c r="C104" s="1" t="s">
        <v>494</v>
      </c>
      <c r="D104" s="1">
        <v>2018</v>
      </c>
      <c r="E104" s="1" t="s">
        <v>31</v>
      </c>
      <c r="F104" s="1">
        <v>4</v>
      </c>
      <c r="G104" s="1" t="s">
        <v>32</v>
      </c>
      <c r="H104" s="1" t="s">
        <v>151</v>
      </c>
      <c r="I104" s="1">
        <v>169000</v>
      </c>
      <c r="J104" s="1">
        <v>154000</v>
      </c>
      <c r="K104" s="1">
        <v>15000</v>
      </c>
      <c r="L104" s="1">
        <v>0</v>
      </c>
      <c r="M104" s="1" t="s">
        <v>34</v>
      </c>
      <c r="N104" s="1" t="s">
        <v>35</v>
      </c>
      <c r="O104" s="1" t="s">
        <v>103</v>
      </c>
      <c r="P104" s="1" t="s">
        <v>104</v>
      </c>
      <c r="Q104" s="1" t="s">
        <v>38</v>
      </c>
      <c r="R104" s="1" t="s">
        <v>2026</v>
      </c>
      <c r="S104" s="3">
        <v>919417000000</v>
      </c>
      <c r="T104" s="1" t="s">
        <v>74</v>
      </c>
      <c r="U104" s="1">
        <v>80</v>
      </c>
      <c r="V104" s="1">
        <v>62</v>
      </c>
      <c r="W104" s="1" t="s">
        <v>41</v>
      </c>
      <c r="X104" s="1">
        <v>221080</v>
      </c>
      <c r="Y104" s="2">
        <v>37599</v>
      </c>
      <c r="Z104" s="1">
        <v>5.1789737171464303</v>
      </c>
      <c r="AA104" s="1">
        <v>21</v>
      </c>
      <c r="AB104" s="1">
        <v>676000</v>
      </c>
      <c r="AC104" s="1">
        <f t="shared" si="1"/>
        <v>736000</v>
      </c>
    </row>
    <row r="105" spans="1:29" x14ac:dyDescent="0.25">
      <c r="A105" s="1" t="s">
        <v>2039</v>
      </c>
      <c r="B105" s="1" t="s">
        <v>2040</v>
      </c>
      <c r="C105" s="1" t="s">
        <v>2041</v>
      </c>
      <c r="D105" s="1">
        <v>2018</v>
      </c>
      <c r="E105" s="1" t="s">
        <v>31</v>
      </c>
      <c r="F105" s="1">
        <v>4</v>
      </c>
      <c r="G105" s="1" t="s">
        <v>32</v>
      </c>
      <c r="H105" s="1" t="s">
        <v>56</v>
      </c>
      <c r="I105" s="1">
        <v>169000</v>
      </c>
      <c r="J105" s="1">
        <v>154000</v>
      </c>
      <c r="K105" s="1">
        <v>15000</v>
      </c>
      <c r="L105" s="1">
        <v>0</v>
      </c>
      <c r="M105" s="1" t="s">
        <v>34</v>
      </c>
      <c r="N105" s="1" t="s">
        <v>70</v>
      </c>
      <c r="O105" s="1" t="s">
        <v>71</v>
      </c>
      <c r="P105" s="1" t="s">
        <v>72</v>
      </c>
      <c r="Q105" s="1" t="s">
        <v>38</v>
      </c>
      <c r="R105" s="1" t="s">
        <v>2042</v>
      </c>
      <c r="S105" s="3">
        <v>918364000000</v>
      </c>
      <c r="T105" s="1" t="s">
        <v>40</v>
      </c>
      <c r="U105" s="1">
        <v>80</v>
      </c>
      <c r="V105" s="1">
        <v>75</v>
      </c>
      <c r="W105" s="1" t="s">
        <v>52</v>
      </c>
      <c r="X105" s="1">
        <v>524718</v>
      </c>
      <c r="Y105" s="2">
        <v>37078</v>
      </c>
      <c r="Z105" s="1">
        <v>5.1789737171464303</v>
      </c>
      <c r="AA105" s="1">
        <v>23</v>
      </c>
      <c r="AB105" s="1">
        <v>676000</v>
      </c>
      <c r="AC105" s="1">
        <f t="shared" si="1"/>
        <v>736000</v>
      </c>
    </row>
    <row r="106" spans="1:29" x14ac:dyDescent="0.25">
      <c r="A106" s="1" t="s">
        <v>2053</v>
      </c>
      <c r="B106" s="1" t="s">
        <v>2054</v>
      </c>
      <c r="C106" s="1" t="s">
        <v>2055</v>
      </c>
      <c r="D106" s="1">
        <v>2018</v>
      </c>
      <c r="E106" s="1" t="s">
        <v>45</v>
      </c>
      <c r="F106" s="1">
        <v>2</v>
      </c>
      <c r="G106" s="1" t="s">
        <v>46</v>
      </c>
      <c r="H106" s="1" t="s">
        <v>47</v>
      </c>
      <c r="I106" s="1">
        <v>92000</v>
      </c>
      <c r="J106" s="1">
        <v>77000</v>
      </c>
      <c r="K106" s="1">
        <v>15000</v>
      </c>
      <c r="L106" s="1">
        <v>0</v>
      </c>
      <c r="M106" s="1" t="s">
        <v>34</v>
      </c>
      <c r="N106" s="1" t="s">
        <v>70</v>
      </c>
      <c r="O106" s="1" t="s">
        <v>91</v>
      </c>
      <c r="P106" s="1" t="s">
        <v>92</v>
      </c>
      <c r="Q106" s="1" t="s">
        <v>38</v>
      </c>
      <c r="R106" s="1" t="s">
        <v>2056</v>
      </c>
      <c r="S106" s="3">
        <v>919774000000</v>
      </c>
      <c r="T106" s="1" t="s">
        <v>74</v>
      </c>
      <c r="U106" s="1">
        <v>80</v>
      </c>
      <c r="V106" s="1">
        <v>77</v>
      </c>
      <c r="W106" s="1" t="s">
        <v>52</v>
      </c>
      <c r="X106" s="1">
        <v>453531</v>
      </c>
      <c r="Y106" s="2">
        <v>35384</v>
      </c>
      <c r="Z106" s="1">
        <v>5.1789737171464303</v>
      </c>
      <c r="AA106" s="1">
        <v>27</v>
      </c>
      <c r="AB106" s="1">
        <v>184000</v>
      </c>
      <c r="AC106" s="1">
        <f t="shared" si="1"/>
        <v>214000</v>
      </c>
    </row>
    <row r="107" spans="1:29" x14ac:dyDescent="0.25">
      <c r="A107" s="1" t="s">
        <v>2057</v>
      </c>
      <c r="B107" s="1" t="s">
        <v>204</v>
      </c>
      <c r="C107" s="1" t="s">
        <v>205</v>
      </c>
      <c r="D107" s="1">
        <v>2018</v>
      </c>
      <c r="E107" s="1" t="s">
        <v>45</v>
      </c>
      <c r="F107" s="1">
        <v>2</v>
      </c>
      <c r="G107" s="1" t="s">
        <v>46</v>
      </c>
      <c r="H107" s="1" t="s">
        <v>62</v>
      </c>
      <c r="I107" s="1">
        <v>92000</v>
      </c>
      <c r="J107" s="1">
        <v>77000</v>
      </c>
      <c r="K107" s="1">
        <v>15000</v>
      </c>
      <c r="L107" s="1">
        <v>0</v>
      </c>
      <c r="M107" s="1" t="s">
        <v>34</v>
      </c>
      <c r="N107" s="1" t="s">
        <v>70</v>
      </c>
      <c r="O107" s="1" t="s">
        <v>48</v>
      </c>
      <c r="P107" s="1" t="s">
        <v>49</v>
      </c>
      <c r="Q107" s="1" t="s">
        <v>38</v>
      </c>
      <c r="R107" s="1" t="s">
        <v>2058</v>
      </c>
      <c r="S107" s="3">
        <v>917103000000</v>
      </c>
      <c r="T107" s="1" t="s">
        <v>51</v>
      </c>
      <c r="U107" s="1">
        <v>80</v>
      </c>
      <c r="V107" s="1">
        <v>85</v>
      </c>
      <c r="W107" s="1" t="s">
        <v>52</v>
      </c>
      <c r="X107" s="1">
        <v>770540</v>
      </c>
      <c r="Y107" s="2">
        <v>36793</v>
      </c>
      <c r="Z107" s="1">
        <v>5.1789737171464303</v>
      </c>
      <c r="AA107" s="1">
        <v>23</v>
      </c>
      <c r="AB107" s="1">
        <v>184000</v>
      </c>
      <c r="AC107" s="1">
        <f t="shared" si="1"/>
        <v>214000</v>
      </c>
    </row>
    <row r="108" spans="1:29" x14ac:dyDescent="0.25">
      <c r="A108" s="1" t="s">
        <v>2091</v>
      </c>
      <c r="B108" s="1" t="s">
        <v>2092</v>
      </c>
      <c r="C108" s="1" t="s">
        <v>2093</v>
      </c>
      <c r="D108" s="1">
        <v>2018</v>
      </c>
      <c r="E108" s="1" t="s">
        <v>31</v>
      </c>
      <c r="F108" s="1">
        <v>4</v>
      </c>
      <c r="G108" s="1" t="s">
        <v>32</v>
      </c>
      <c r="H108" s="1" t="s">
        <v>210</v>
      </c>
      <c r="I108" s="1">
        <v>169000</v>
      </c>
      <c r="J108" s="1">
        <v>154000</v>
      </c>
      <c r="K108" s="1">
        <v>15000</v>
      </c>
      <c r="L108" s="1">
        <v>0</v>
      </c>
      <c r="M108" s="1" t="s">
        <v>34</v>
      </c>
      <c r="N108" s="1" t="s">
        <v>35</v>
      </c>
      <c r="O108" s="1" t="s">
        <v>78</v>
      </c>
      <c r="P108" s="1" t="s">
        <v>79</v>
      </c>
      <c r="Q108" s="1" t="s">
        <v>38</v>
      </c>
      <c r="R108" s="1" t="s">
        <v>2094</v>
      </c>
      <c r="S108" s="3">
        <v>917147000000</v>
      </c>
      <c r="T108" s="1" t="s">
        <v>51</v>
      </c>
      <c r="U108" s="1">
        <v>80</v>
      </c>
      <c r="V108" s="1">
        <v>61</v>
      </c>
      <c r="W108" s="1" t="s">
        <v>41</v>
      </c>
      <c r="X108" s="1">
        <v>663187</v>
      </c>
      <c r="Y108" s="2">
        <v>38839</v>
      </c>
      <c r="Z108" s="1">
        <v>5.1789737171464303</v>
      </c>
      <c r="AA108" s="1">
        <v>18</v>
      </c>
      <c r="AB108" s="1">
        <v>676000</v>
      </c>
      <c r="AC108" s="1">
        <f t="shared" si="1"/>
        <v>736000</v>
      </c>
    </row>
    <row r="109" spans="1:29" x14ac:dyDescent="0.25">
      <c r="A109" s="1" t="s">
        <v>2103</v>
      </c>
      <c r="B109" s="1" t="s">
        <v>2104</v>
      </c>
      <c r="C109" s="1" t="s">
        <v>2105</v>
      </c>
      <c r="D109" s="1">
        <v>2018</v>
      </c>
      <c r="E109" s="1" t="s">
        <v>31</v>
      </c>
      <c r="F109" s="1">
        <v>4</v>
      </c>
      <c r="G109" s="1" t="s">
        <v>32</v>
      </c>
      <c r="H109" s="1" t="s">
        <v>90</v>
      </c>
      <c r="I109" s="1">
        <v>169000</v>
      </c>
      <c r="J109" s="1">
        <v>154000</v>
      </c>
      <c r="K109" s="1">
        <v>15000</v>
      </c>
      <c r="L109" s="1">
        <v>0</v>
      </c>
      <c r="M109" s="1" t="s">
        <v>34</v>
      </c>
      <c r="N109" s="1" t="s">
        <v>35</v>
      </c>
      <c r="O109" s="1" t="s">
        <v>84</v>
      </c>
      <c r="P109" s="1" t="s">
        <v>65</v>
      </c>
      <c r="Q109" s="1" t="s">
        <v>38</v>
      </c>
      <c r="R109" s="1" t="s">
        <v>2106</v>
      </c>
      <c r="S109" s="3">
        <v>917318000000</v>
      </c>
      <c r="T109" s="1" t="s">
        <v>86</v>
      </c>
      <c r="U109" s="1">
        <v>80</v>
      </c>
      <c r="V109" s="1">
        <v>81</v>
      </c>
      <c r="W109" s="1" t="s">
        <v>41</v>
      </c>
      <c r="X109" s="1">
        <v>120569</v>
      </c>
      <c r="Y109" s="2">
        <v>38560</v>
      </c>
      <c r="Z109" s="1">
        <v>5.1789737171464303</v>
      </c>
      <c r="AA109" s="1">
        <v>18</v>
      </c>
      <c r="AB109" s="1">
        <v>676000</v>
      </c>
      <c r="AC109" s="1">
        <f t="shared" si="1"/>
        <v>736000</v>
      </c>
    </row>
    <row r="110" spans="1:29" x14ac:dyDescent="0.25">
      <c r="A110" s="1" t="s">
        <v>2119</v>
      </c>
      <c r="B110" s="1" t="s">
        <v>2120</v>
      </c>
      <c r="C110" s="1" t="s">
        <v>2121</v>
      </c>
      <c r="D110" s="1">
        <v>2018</v>
      </c>
      <c r="E110" s="1" t="s">
        <v>31</v>
      </c>
      <c r="F110" s="1">
        <v>4</v>
      </c>
      <c r="G110" s="1" t="s">
        <v>32</v>
      </c>
      <c r="H110" s="1" t="s">
        <v>62</v>
      </c>
      <c r="I110" s="1">
        <v>169000</v>
      </c>
      <c r="J110" s="1">
        <v>154000</v>
      </c>
      <c r="K110" s="1">
        <v>15000</v>
      </c>
      <c r="L110" s="1">
        <v>0</v>
      </c>
      <c r="M110" s="1" t="s">
        <v>34</v>
      </c>
      <c r="N110" s="1" t="s">
        <v>70</v>
      </c>
      <c r="O110" s="1" t="s">
        <v>78</v>
      </c>
      <c r="P110" s="1" t="s">
        <v>79</v>
      </c>
      <c r="Q110" s="1" t="s">
        <v>38</v>
      </c>
      <c r="R110" s="1" t="s">
        <v>2122</v>
      </c>
      <c r="S110" s="3">
        <v>919156000000</v>
      </c>
      <c r="T110" s="1" t="s">
        <v>98</v>
      </c>
      <c r="U110" s="1">
        <v>80</v>
      </c>
      <c r="V110" s="1">
        <v>82</v>
      </c>
      <c r="W110" s="1" t="s">
        <v>41</v>
      </c>
      <c r="X110" s="1">
        <v>620394</v>
      </c>
      <c r="Y110" s="2">
        <v>38443</v>
      </c>
      <c r="Z110" s="1">
        <v>5.1789737171464303</v>
      </c>
      <c r="AA110" s="1">
        <v>19</v>
      </c>
      <c r="AB110" s="1">
        <v>676000</v>
      </c>
      <c r="AC110" s="1">
        <f t="shared" si="1"/>
        <v>736000</v>
      </c>
    </row>
    <row r="111" spans="1:29" x14ac:dyDescent="0.25">
      <c r="A111" s="1" t="s">
        <v>2157</v>
      </c>
      <c r="B111" s="1" t="s">
        <v>2158</v>
      </c>
      <c r="C111" s="1" t="s">
        <v>2159</v>
      </c>
      <c r="D111" s="1">
        <v>2018</v>
      </c>
      <c r="E111" s="1" t="s">
        <v>31</v>
      </c>
      <c r="F111" s="1">
        <v>4</v>
      </c>
      <c r="G111" s="1" t="s">
        <v>32</v>
      </c>
      <c r="H111" s="1" t="s">
        <v>151</v>
      </c>
      <c r="I111" s="1">
        <v>169000</v>
      </c>
      <c r="J111" s="1">
        <v>154000</v>
      </c>
      <c r="K111" s="1">
        <v>15000</v>
      </c>
      <c r="L111" s="1">
        <v>0</v>
      </c>
      <c r="M111" s="1" t="s">
        <v>34</v>
      </c>
      <c r="N111" s="1" t="s">
        <v>35</v>
      </c>
      <c r="O111" s="1" t="s">
        <v>48</v>
      </c>
      <c r="P111" s="1" t="s">
        <v>49</v>
      </c>
      <c r="Q111" s="1" t="s">
        <v>38</v>
      </c>
      <c r="R111" s="1" t="s">
        <v>2160</v>
      </c>
      <c r="S111" s="3">
        <v>918972000000</v>
      </c>
      <c r="T111" s="1" t="s">
        <v>74</v>
      </c>
      <c r="U111" s="1">
        <v>79</v>
      </c>
      <c r="V111" s="1">
        <v>80</v>
      </c>
      <c r="W111" s="1" t="s">
        <v>41</v>
      </c>
      <c r="X111" s="1">
        <v>307620</v>
      </c>
      <c r="Y111" s="2">
        <v>38590</v>
      </c>
      <c r="Z111" s="1">
        <v>4.1789737171464303</v>
      </c>
      <c r="AA111" s="1">
        <v>18</v>
      </c>
      <c r="AB111" s="1">
        <v>676000</v>
      </c>
      <c r="AC111" s="1">
        <f t="shared" si="1"/>
        <v>736000</v>
      </c>
    </row>
    <row r="112" spans="1:29" x14ac:dyDescent="0.25">
      <c r="A112" s="1" t="s">
        <v>2217</v>
      </c>
      <c r="B112" s="1" t="s">
        <v>2218</v>
      </c>
      <c r="C112" s="1" t="s">
        <v>2219</v>
      </c>
      <c r="D112" s="1">
        <v>2018</v>
      </c>
      <c r="E112" s="1" t="s">
        <v>31</v>
      </c>
      <c r="F112" s="1">
        <v>4</v>
      </c>
      <c r="G112" s="1" t="s">
        <v>32</v>
      </c>
      <c r="H112" s="1" t="s">
        <v>33</v>
      </c>
      <c r="I112" s="1">
        <v>169000</v>
      </c>
      <c r="J112" s="1">
        <v>154000</v>
      </c>
      <c r="K112" s="1">
        <v>15000</v>
      </c>
      <c r="L112" s="1">
        <v>0</v>
      </c>
      <c r="M112" s="1" t="s">
        <v>34</v>
      </c>
      <c r="N112" s="1" t="s">
        <v>35</v>
      </c>
      <c r="O112" s="1" t="s">
        <v>57</v>
      </c>
      <c r="P112" s="1" t="s">
        <v>57</v>
      </c>
      <c r="Q112" s="1" t="s">
        <v>38</v>
      </c>
      <c r="R112" s="1" t="s">
        <v>2220</v>
      </c>
      <c r="S112" s="3">
        <v>918747000000</v>
      </c>
      <c r="T112" s="1" t="s">
        <v>51</v>
      </c>
      <c r="U112" s="1">
        <v>79</v>
      </c>
      <c r="V112" s="1">
        <v>80</v>
      </c>
      <c r="W112" s="1" t="s">
        <v>41</v>
      </c>
      <c r="X112" s="1">
        <v>295220</v>
      </c>
      <c r="Y112" s="2">
        <v>36920</v>
      </c>
      <c r="Z112" s="1">
        <v>4.1789737171464303</v>
      </c>
      <c r="AA112" s="1">
        <v>23</v>
      </c>
      <c r="AB112" s="1">
        <v>676000</v>
      </c>
      <c r="AC112" s="1">
        <f t="shared" si="1"/>
        <v>736000</v>
      </c>
    </row>
    <row r="113" spans="1:29" x14ac:dyDescent="0.25">
      <c r="A113" s="1" t="s">
        <v>2221</v>
      </c>
      <c r="B113" s="1" t="s">
        <v>485</v>
      </c>
      <c r="C113" s="1" t="s">
        <v>486</v>
      </c>
      <c r="D113" s="1">
        <v>2018</v>
      </c>
      <c r="E113" s="1" t="s">
        <v>45</v>
      </c>
      <c r="F113" s="1">
        <v>2</v>
      </c>
      <c r="G113" s="1" t="s">
        <v>46</v>
      </c>
      <c r="H113" s="1" t="s">
        <v>113</v>
      </c>
      <c r="I113" s="1">
        <v>92000</v>
      </c>
      <c r="J113" s="1">
        <v>77000</v>
      </c>
      <c r="K113" s="1">
        <v>15000</v>
      </c>
      <c r="L113" s="1">
        <v>0</v>
      </c>
      <c r="M113" s="1" t="s">
        <v>34</v>
      </c>
      <c r="N113" s="1" t="s">
        <v>35</v>
      </c>
      <c r="O113" s="1" t="s">
        <v>48</v>
      </c>
      <c r="P113" s="1" t="s">
        <v>49</v>
      </c>
      <c r="Q113" s="1" t="s">
        <v>38</v>
      </c>
      <c r="R113" s="1" t="s">
        <v>2222</v>
      </c>
      <c r="S113" s="3">
        <v>918345000000</v>
      </c>
      <c r="T113" s="1" t="s">
        <v>74</v>
      </c>
      <c r="U113" s="1">
        <v>79</v>
      </c>
      <c r="V113" s="1">
        <v>77</v>
      </c>
      <c r="W113" s="1" t="s">
        <v>52</v>
      </c>
      <c r="X113" s="1">
        <v>333065</v>
      </c>
      <c r="Y113" s="2">
        <v>36109</v>
      </c>
      <c r="Z113" s="1">
        <v>4.1789737171464303</v>
      </c>
      <c r="AA113" s="1">
        <v>25</v>
      </c>
      <c r="AB113" s="1">
        <v>184000</v>
      </c>
      <c r="AC113" s="1">
        <f t="shared" si="1"/>
        <v>214000</v>
      </c>
    </row>
    <row r="114" spans="1:29" x14ac:dyDescent="0.25">
      <c r="A114" s="1" t="s">
        <v>2223</v>
      </c>
      <c r="B114" s="1" t="s">
        <v>2224</v>
      </c>
      <c r="C114" s="1" t="s">
        <v>2225</v>
      </c>
      <c r="D114" s="1">
        <v>2018</v>
      </c>
      <c r="E114" s="1" t="s">
        <v>31</v>
      </c>
      <c r="F114" s="1">
        <v>4</v>
      </c>
      <c r="G114" s="1" t="s">
        <v>32</v>
      </c>
      <c r="H114" s="1" t="s">
        <v>151</v>
      </c>
      <c r="I114" s="1">
        <v>169000</v>
      </c>
      <c r="J114" s="1">
        <v>154000</v>
      </c>
      <c r="K114" s="1">
        <v>15000</v>
      </c>
      <c r="L114" s="1">
        <v>0</v>
      </c>
      <c r="M114" s="1" t="s">
        <v>34</v>
      </c>
      <c r="N114" s="1" t="s">
        <v>70</v>
      </c>
      <c r="O114" s="1" t="s">
        <v>84</v>
      </c>
      <c r="P114" s="1" t="s">
        <v>65</v>
      </c>
      <c r="Q114" s="1" t="s">
        <v>38</v>
      </c>
      <c r="R114" s="1" t="s">
        <v>2226</v>
      </c>
      <c r="S114" s="3">
        <v>918964000000</v>
      </c>
      <c r="T114" s="1" t="s">
        <v>51</v>
      </c>
      <c r="U114" s="1">
        <v>79</v>
      </c>
      <c r="V114" s="1">
        <v>80</v>
      </c>
      <c r="W114" s="1" t="s">
        <v>41</v>
      </c>
      <c r="X114" s="1">
        <v>670104</v>
      </c>
      <c r="Y114" s="2">
        <v>36911</v>
      </c>
      <c r="Z114" s="1">
        <v>4.1789737171464303</v>
      </c>
      <c r="AA114" s="1">
        <v>23</v>
      </c>
      <c r="AB114" s="1">
        <v>676000</v>
      </c>
      <c r="AC114" s="1">
        <f t="shared" si="1"/>
        <v>736000</v>
      </c>
    </row>
    <row r="115" spans="1:29" x14ac:dyDescent="0.25">
      <c r="A115" s="1" t="s">
        <v>2227</v>
      </c>
      <c r="B115" s="1" t="s">
        <v>1387</v>
      </c>
      <c r="C115" s="1" t="s">
        <v>1388</v>
      </c>
      <c r="D115" s="1">
        <v>2018</v>
      </c>
      <c r="E115" s="1" t="s">
        <v>31</v>
      </c>
      <c r="F115" s="1">
        <v>4</v>
      </c>
      <c r="G115" s="1" t="s">
        <v>32</v>
      </c>
      <c r="H115" s="1" t="s">
        <v>62</v>
      </c>
      <c r="I115" s="1">
        <v>169000</v>
      </c>
      <c r="J115" s="1">
        <v>154000</v>
      </c>
      <c r="K115" s="1">
        <v>15000</v>
      </c>
      <c r="L115" s="1">
        <v>0</v>
      </c>
      <c r="M115" s="1" t="s">
        <v>34</v>
      </c>
      <c r="N115" s="1" t="s">
        <v>63</v>
      </c>
      <c r="O115" s="1" t="s">
        <v>57</v>
      </c>
      <c r="P115" s="1" t="s">
        <v>57</v>
      </c>
      <c r="Q115" s="1" t="s">
        <v>38</v>
      </c>
      <c r="R115" s="1" t="s">
        <v>2228</v>
      </c>
      <c r="S115" s="3">
        <v>919777000000</v>
      </c>
      <c r="T115" s="1" t="s">
        <v>98</v>
      </c>
      <c r="U115" s="1">
        <v>79</v>
      </c>
      <c r="V115" s="1">
        <v>75</v>
      </c>
      <c r="W115" s="1" t="s">
        <v>41</v>
      </c>
      <c r="X115" s="1">
        <v>521123</v>
      </c>
      <c r="Y115" s="2">
        <v>38398</v>
      </c>
      <c r="Z115" s="1">
        <v>4.1789737171464303</v>
      </c>
      <c r="AA115" s="1">
        <v>19</v>
      </c>
      <c r="AB115" s="1">
        <v>676000</v>
      </c>
      <c r="AC115" s="1">
        <f t="shared" si="1"/>
        <v>736000</v>
      </c>
    </row>
    <row r="116" spans="1:29" x14ac:dyDescent="0.25">
      <c r="A116" s="1" t="s">
        <v>2241</v>
      </c>
      <c r="B116" s="1" t="s">
        <v>2242</v>
      </c>
      <c r="C116" s="1" t="s">
        <v>2243</v>
      </c>
      <c r="D116" s="1">
        <v>2018</v>
      </c>
      <c r="E116" s="1" t="s">
        <v>31</v>
      </c>
      <c r="F116" s="1">
        <v>4</v>
      </c>
      <c r="G116" s="1" t="s">
        <v>32</v>
      </c>
      <c r="H116" s="1" t="s">
        <v>113</v>
      </c>
      <c r="I116" s="1">
        <v>169000</v>
      </c>
      <c r="J116" s="1">
        <v>154000</v>
      </c>
      <c r="K116" s="1">
        <v>15000</v>
      </c>
      <c r="L116" s="1">
        <v>0</v>
      </c>
      <c r="M116" s="1" t="s">
        <v>34</v>
      </c>
      <c r="N116" s="1" t="s">
        <v>35</v>
      </c>
      <c r="O116" s="1" t="s">
        <v>84</v>
      </c>
      <c r="P116" s="1" t="s">
        <v>65</v>
      </c>
      <c r="Q116" s="1" t="s">
        <v>38</v>
      </c>
      <c r="R116" s="1" t="s">
        <v>2244</v>
      </c>
      <c r="S116" s="3">
        <v>917069000000</v>
      </c>
      <c r="T116" s="1" t="s">
        <v>51</v>
      </c>
      <c r="U116" s="1">
        <v>79</v>
      </c>
      <c r="V116" s="1">
        <v>90</v>
      </c>
      <c r="W116" s="1" t="s">
        <v>52</v>
      </c>
      <c r="X116" s="1">
        <v>201895</v>
      </c>
      <c r="Y116" s="2">
        <v>37898</v>
      </c>
      <c r="Z116" s="1">
        <v>4.1789737171464303</v>
      </c>
      <c r="AA116" s="1">
        <v>20</v>
      </c>
      <c r="AB116" s="1">
        <v>676000</v>
      </c>
      <c r="AC116" s="1">
        <f t="shared" si="1"/>
        <v>736000</v>
      </c>
    </row>
    <row r="117" spans="1:29" x14ac:dyDescent="0.25">
      <c r="A117" s="1" t="s">
        <v>2267</v>
      </c>
      <c r="B117" s="1" t="s">
        <v>2268</v>
      </c>
      <c r="C117" s="1" t="s">
        <v>2269</v>
      </c>
      <c r="D117" s="1">
        <v>2018</v>
      </c>
      <c r="E117" s="1" t="s">
        <v>31</v>
      </c>
      <c r="F117" s="1">
        <v>4</v>
      </c>
      <c r="G117" s="1" t="s">
        <v>32</v>
      </c>
      <c r="H117" s="1" t="s">
        <v>33</v>
      </c>
      <c r="I117" s="1">
        <v>169000</v>
      </c>
      <c r="J117" s="1">
        <v>154000</v>
      </c>
      <c r="K117" s="1">
        <v>15000</v>
      </c>
      <c r="L117" s="1">
        <v>0</v>
      </c>
      <c r="M117" s="1" t="s">
        <v>34</v>
      </c>
      <c r="N117" s="1" t="s">
        <v>63</v>
      </c>
      <c r="O117" s="1" t="s">
        <v>48</v>
      </c>
      <c r="P117" s="1" t="s">
        <v>49</v>
      </c>
      <c r="Q117" s="1" t="s">
        <v>38</v>
      </c>
      <c r="R117" s="1" t="s">
        <v>2270</v>
      </c>
      <c r="S117" s="3">
        <v>919768000000</v>
      </c>
      <c r="T117" s="1" t="s">
        <v>74</v>
      </c>
      <c r="U117" s="1">
        <v>79</v>
      </c>
      <c r="V117" s="1">
        <v>66</v>
      </c>
      <c r="W117" s="1" t="s">
        <v>52</v>
      </c>
      <c r="X117" s="1">
        <v>338299</v>
      </c>
      <c r="Y117" s="2">
        <v>37779</v>
      </c>
      <c r="Z117" s="1">
        <v>4.1789737171464303</v>
      </c>
      <c r="AA117" s="1">
        <v>21</v>
      </c>
      <c r="AB117" s="1">
        <v>676000</v>
      </c>
      <c r="AC117" s="1">
        <f t="shared" si="1"/>
        <v>736000</v>
      </c>
    </row>
    <row r="118" spans="1:29" x14ac:dyDescent="0.25">
      <c r="A118" s="1" t="s">
        <v>2337</v>
      </c>
      <c r="B118" s="1" t="s">
        <v>2338</v>
      </c>
      <c r="C118" s="1" t="s">
        <v>2339</v>
      </c>
      <c r="D118" s="1">
        <v>2018</v>
      </c>
      <c r="E118" s="1" t="s">
        <v>31</v>
      </c>
      <c r="F118" s="1">
        <v>4</v>
      </c>
      <c r="G118" s="1" t="s">
        <v>32</v>
      </c>
      <c r="H118" s="1" t="s">
        <v>62</v>
      </c>
      <c r="I118" s="1">
        <v>169000</v>
      </c>
      <c r="J118" s="1">
        <v>154000</v>
      </c>
      <c r="K118" s="1">
        <v>15000</v>
      </c>
      <c r="L118" s="1">
        <v>0</v>
      </c>
      <c r="M118" s="1" t="s">
        <v>34</v>
      </c>
      <c r="N118" s="1" t="s">
        <v>35</v>
      </c>
      <c r="O118" s="1" t="s">
        <v>57</v>
      </c>
      <c r="P118" s="1" t="s">
        <v>57</v>
      </c>
      <c r="Q118" s="1" t="s">
        <v>38</v>
      </c>
      <c r="R118" s="1" t="s">
        <v>2340</v>
      </c>
      <c r="S118" s="3">
        <v>919079000000</v>
      </c>
      <c r="T118" s="1" t="s">
        <v>51</v>
      </c>
      <c r="U118" s="1">
        <v>79</v>
      </c>
      <c r="V118" s="1">
        <v>71</v>
      </c>
      <c r="W118" s="1" t="s">
        <v>41</v>
      </c>
      <c r="X118" s="1">
        <v>684012</v>
      </c>
      <c r="Y118" s="2">
        <v>36808</v>
      </c>
      <c r="Z118" s="1">
        <v>4.1789737171464303</v>
      </c>
      <c r="AA118" s="1">
        <v>23</v>
      </c>
      <c r="AB118" s="1">
        <v>676000</v>
      </c>
      <c r="AC118" s="1">
        <f t="shared" si="1"/>
        <v>736000</v>
      </c>
    </row>
    <row r="119" spans="1:29" x14ac:dyDescent="0.25">
      <c r="A119" s="1" t="s">
        <v>2341</v>
      </c>
      <c r="B119" s="1" t="s">
        <v>2342</v>
      </c>
      <c r="C119" s="1" t="s">
        <v>2343</v>
      </c>
      <c r="D119" s="1">
        <v>2018</v>
      </c>
      <c r="E119" s="1" t="s">
        <v>31</v>
      </c>
      <c r="F119" s="1">
        <v>4</v>
      </c>
      <c r="G119" s="1" t="s">
        <v>32</v>
      </c>
      <c r="H119" s="1" t="s">
        <v>210</v>
      </c>
      <c r="I119" s="1">
        <v>169000</v>
      </c>
      <c r="J119" s="1">
        <v>154000</v>
      </c>
      <c r="K119" s="1">
        <v>15000</v>
      </c>
      <c r="L119" s="1">
        <v>0</v>
      </c>
      <c r="M119" s="1" t="s">
        <v>34</v>
      </c>
      <c r="N119" s="1" t="s">
        <v>35</v>
      </c>
      <c r="O119" s="1" t="s">
        <v>36</v>
      </c>
      <c r="P119" s="1" t="s">
        <v>37</v>
      </c>
      <c r="Q119" s="1" t="s">
        <v>38</v>
      </c>
      <c r="R119" s="1" t="s">
        <v>2344</v>
      </c>
      <c r="S119" s="3">
        <v>919868000000</v>
      </c>
      <c r="T119" s="1" t="s">
        <v>51</v>
      </c>
      <c r="U119" s="1">
        <v>79</v>
      </c>
      <c r="V119" s="1">
        <v>70</v>
      </c>
      <c r="W119" s="1" t="s">
        <v>52</v>
      </c>
      <c r="X119" s="1">
        <v>677804</v>
      </c>
      <c r="Y119" s="2">
        <v>38758</v>
      </c>
      <c r="Z119" s="1">
        <v>4.1789737171464303</v>
      </c>
      <c r="AA119" s="1">
        <v>18</v>
      </c>
      <c r="AB119" s="1">
        <v>676000</v>
      </c>
      <c r="AC119" s="1">
        <f t="shared" si="1"/>
        <v>736000</v>
      </c>
    </row>
    <row r="120" spans="1:29" x14ac:dyDescent="0.25">
      <c r="A120" s="1" t="s">
        <v>2451</v>
      </c>
      <c r="B120" s="1" t="s">
        <v>2268</v>
      </c>
      <c r="C120" s="1" t="s">
        <v>2269</v>
      </c>
      <c r="D120" s="1">
        <v>2018</v>
      </c>
      <c r="E120" s="1" t="s">
        <v>45</v>
      </c>
      <c r="F120" s="1">
        <v>2</v>
      </c>
      <c r="G120" s="1" t="s">
        <v>46</v>
      </c>
      <c r="H120" s="1" t="s">
        <v>47</v>
      </c>
      <c r="I120" s="1">
        <v>92000</v>
      </c>
      <c r="J120" s="1">
        <v>77000</v>
      </c>
      <c r="K120" s="1">
        <v>15000</v>
      </c>
      <c r="L120" s="1">
        <v>0</v>
      </c>
      <c r="M120" s="1" t="s">
        <v>34</v>
      </c>
      <c r="N120" s="1" t="s">
        <v>70</v>
      </c>
      <c r="O120" s="1" t="s">
        <v>64</v>
      </c>
      <c r="P120" s="1" t="s">
        <v>65</v>
      </c>
      <c r="Q120" s="1" t="s">
        <v>38</v>
      </c>
      <c r="R120" s="1" t="s">
        <v>2452</v>
      </c>
      <c r="S120" s="3">
        <v>919698000000</v>
      </c>
      <c r="T120" s="1" t="s">
        <v>86</v>
      </c>
      <c r="U120" s="1">
        <v>78</v>
      </c>
      <c r="V120" s="1">
        <v>60</v>
      </c>
      <c r="W120" s="1" t="s">
        <v>52</v>
      </c>
      <c r="X120" s="1">
        <v>490995</v>
      </c>
      <c r="Y120" s="2">
        <v>35948</v>
      </c>
      <c r="Z120" s="1">
        <v>3.1789737171464298</v>
      </c>
      <c r="AA120" s="1">
        <v>26</v>
      </c>
      <c r="AB120" s="1">
        <v>184000</v>
      </c>
      <c r="AC120" s="1">
        <f t="shared" si="1"/>
        <v>214000</v>
      </c>
    </row>
    <row r="121" spans="1:29" x14ac:dyDescent="0.25">
      <c r="A121" s="1" t="s">
        <v>2467</v>
      </c>
      <c r="B121" s="1" t="s">
        <v>389</v>
      </c>
      <c r="C121" s="1" t="s">
        <v>390</v>
      </c>
      <c r="D121" s="1">
        <v>2018</v>
      </c>
      <c r="E121" s="1" t="s">
        <v>45</v>
      </c>
      <c r="F121" s="1">
        <v>2</v>
      </c>
      <c r="G121" s="1" t="s">
        <v>46</v>
      </c>
      <c r="H121" s="1" t="s">
        <v>90</v>
      </c>
      <c r="I121" s="1">
        <v>92000</v>
      </c>
      <c r="J121" s="1">
        <v>77000</v>
      </c>
      <c r="K121" s="1">
        <v>15000</v>
      </c>
      <c r="L121" s="1">
        <v>0</v>
      </c>
      <c r="M121" s="1" t="s">
        <v>34</v>
      </c>
      <c r="N121" s="1" t="s">
        <v>35</v>
      </c>
      <c r="O121" s="1" t="s">
        <v>103</v>
      </c>
      <c r="P121" s="1" t="s">
        <v>104</v>
      </c>
      <c r="Q121" s="1" t="s">
        <v>38</v>
      </c>
      <c r="R121" s="1" t="s">
        <v>2468</v>
      </c>
      <c r="S121" s="3">
        <v>917110000000</v>
      </c>
      <c r="T121" s="1" t="s">
        <v>86</v>
      </c>
      <c r="U121" s="1">
        <v>78</v>
      </c>
      <c r="V121" s="1">
        <v>62</v>
      </c>
      <c r="W121" s="1" t="s">
        <v>52</v>
      </c>
      <c r="X121" s="1">
        <v>538433</v>
      </c>
      <c r="Y121" s="2">
        <v>36324</v>
      </c>
      <c r="Z121" s="1">
        <v>3.1789737171464298</v>
      </c>
      <c r="AA121" s="1">
        <v>25</v>
      </c>
      <c r="AB121" s="1">
        <v>184000</v>
      </c>
      <c r="AC121" s="1">
        <f t="shared" si="1"/>
        <v>214000</v>
      </c>
    </row>
    <row r="122" spans="1:29" x14ac:dyDescent="0.25">
      <c r="A122" s="1" t="s">
        <v>2485</v>
      </c>
      <c r="B122" s="1" t="s">
        <v>505</v>
      </c>
      <c r="C122" s="1" t="s">
        <v>506</v>
      </c>
      <c r="D122" s="1">
        <v>2018</v>
      </c>
      <c r="E122" s="1" t="s">
        <v>45</v>
      </c>
      <c r="F122" s="1">
        <v>2</v>
      </c>
      <c r="G122" s="1" t="s">
        <v>46</v>
      </c>
      <c r="H122" s="1" t="s">
        <v>102</v>
      </c>
      <c r="I122" s="1">
        <v>92000</v>
      </c>
      <c r="J122" s="1">
        <v>77000</v>
      </c>
      <c r="K122" s="1">
        <v>15000</v>
      </c>
      <c r="L122" s="1">
        <v>0</v>
      </c>
      <c r="M122" s="1" t="s">
        <v>34</v>
      </c>
      <c r="N122" s="1" t="s">
        <v>35</v>
      </c>
      <c r="O122" s="1" t="s">
        <v>188</v>
      </c>
      <c r="P122" s="1" t="s">
        <v>189</v>
      </c>
      <c r="Q122" s="1" t="s">
        <v>38</v>
      </c>
      <c r="R122" s="1" t="s">
        <v>2486</v>
      </c>
      <c r="S122" s="3">
        <v>919211000000</v>
      </c>
      <c r="T122" s="1" t="s">
        <v>51</v>
      </c>
      <c r="U122" s="1">
        <v>78</v>
      </c>
      <c r="V122" s="1">
        <v>83</v>
      </c>
      <c r="W122" s="1" t="s">
        <v>52</v>
      </c>
      <c r="X122" s="1">
        <v>554122</v>
      </c>
      <c r="Y122" s="2">
        <v>35343</v>
      </c>
      <c r="Z122" s="1">
        <v>3.1789737171464298</v>
      </c>
      <c r="AA122" s="1">
        <v>27</v>
      </c>
      <c r="AB122" s="1">
        <v>184000</v>
      </c>
      <c r="AC122" s="1">
        <f t="shared" si="1"/>
        <v>214000</v>
      </c>
    </row>
    <row r="123" spans="1:29" x14ac:dyDescent="0.25">
      <c r="A123" s="1" t="s">
        <v>2491</v>
      </c>
      <c r="B123" s="1" t="s">
        <v>2492</v>
      </c>
      <c r="C123" s="1" t="s">
        <v>2493</v>
      </c>
      <c r="D123" s="1">
        <v>2018</v>
      </c>
      <c r="E123" s="1" t="s">
        <v>45</v>
      </c>
      <c r="F123" s="1">
        <v>2</v>
      </c>
      <c r="G123" s="1" t="s">
        <v>46</v>
      </c>
      <c r="H123" s="1" t="s">
        <v>33</v>
      </c>
      <c r="I123" s="1">
        <v>92000</v>
      </c>
      <c r="J123" s="1">
        <v>77000</v>
      </c>
      <c r="K123" s="1">
        <v>15000</v>
      </c>
      <c r="L123" s="1">
        <v>0</v>
      </c>
      <c r="M123" s="1" t="s">
        <v>34</v>
      </c>
      <c r="N123" s="1" t="s">
        <v>35</v>
      </c>
      <c r="O123" s="1" t="s">
        <v>188</v>
      </c>
      <c r="P123" s="1" t="s">
        <v>189</v>
      </c>
      <c r="Q123" s="1" t="s">
        <v>38</v>
      </c>
      <c r="R123" s="1" t="s">
        <v>2494</v>
      </c>
      <c r="S123" s="3">
        <v>917050000000</v>
      </c>
      <c r="T123" s="1" t="s">
        <v>51</v>
      </c>
      <c r="U123" s="1">
        <v>78</v>
      </c>
      <c r="V123" s="1">
        <v>60</v>
      </c>
      <c r="W123" s="1" t="s">
        <v>41</v>
      </c>
      <c r="X123" s="1">
        <v>702147</v>
      </c>
      <c r="Y123" s="2">
        <v>37245</v>
      </c>
      <c r="Z123" s="1">
        <v>3.1789737171464298</v>
      </c>
      <c r="AA123" s="1">
        <v>22</v>
      </c>
      <c r="AB123" s="1">
        <v>184000</v>
      </c>
      <c r="AC123" s="1">
        <f t="shared" si="1"/>
        <v>214000</v>
      </c>
    </row>
    <row r="124" spans="1:29" x14ac:dyDescent="0.25">
      <c r="A124" s="1" t="s">
        <v>2481</v>
      </c>
      <c r="B124" s="1" t="s">
        <v>2513</v>
      </c>
      <c r="C124" s="1" t="s">
        <v>2514</v>
      </c>
      <c r="D124" s="1">
        <v>2018</v>
      </c>
      <c r="E124" s="1" t="s">
        <v>31</v>
      </c>
      <c r="F124" s="1">
        <v>4</v>
      </c>
      <c r="G124" s="1" t="s">
        <v>32</v>
      </c>
      <c r="H124" s="1" t="s">
        <v>62</v>
      </c>
      <c r="I124" s="1">
        <v>169000</v>
      </c>
      <c r="J124" s="1">
        <v>154000</v>
      </c>
      <c r="K124" s="1">
        <v>15000</v>
      </c>
      <c r="L124" s="1">
        <v>0</v>
      </c>
      <c r="M124" s="1" t="s">
        <v>34</v>
      </c>
      <c r="N124" s="1" t="s">
        <v>35</v>
      </c>
      <c r="O124" s="1" t="s">
        <v>71</v>
      </c>
      <c r="P124" s="1" t="s">
        <v>72</v>
      </c>
      <c r="Q124" s="1" t="s">
        <v>38</v>
      </c>
      <c r="R124" s="1" t="s">
        <v>2515</v>
      </c>
      <c r="S124" s="3">
        <v>917764000000</v>
      </c>
      <c r="T124" s="1" t="s">
        <v>98</v>
      </c>
      <c r="U124" s="1">
        <v>78</v>
      </c>
      <c r="V124" s="1">
        <v>67</v>
      </c>
      <c r="W124" s="1" t="s">
        <v>41</v>
      </c>
      <c r="X124" s="1">
        <v>571088</v>
      </c>
      <c r="Y124" s="2">
        <v>37998</v>
      </c>
      <c r="Z124" s="1">
        <v>3.1789737171464298</v>
      </c>
      <c r="AA124" s="1">
        <v>20</v>
      </c>
      <c r="AB124" s="1">
        <v>676000</v>
      </c>
      <c r="AC124" s="1">
        <f t="shared" si="1"/>
        <v>736000</v>
      </c>
    </row>
    <row r="125" spans="1:29" x14ac:dyDescent="0.25">
      <c r="A125" s="1" t="s">
        <v>2546</v>
      </c>
      <c r="B125" s="1" t="s">
        <v>2547</v>
      </c>
      <c r="C125" s="1" t="s">
        <v>2548</v>
      </c>
      <c r="D125" s="1">
        <v>2018</v>
      </c>
      <c r="E125" s="1" t="s">
        <v>31</v>
      </c>
      <c r="F125" s="1">
        <v>4</v>
      </c>
      <c r="G125" s="1" t="s">
        <v>32</v>
      </c>
      <c r="H125" s="1" t="s">
        <v>151</v>
      </c>
      <c r="I125" s="1">
        <v>169000</v>
      </c>
      <c r="J125" s="1">
        <v>154000</v>
      </c>
      <c r="K125" s="1">
        <v>15000</v>
      </c>
      <c r="L125" s="1">
        <v>0</v>
      </c>
      <c r="M125" s="1" t="s">
        <v>34</v>
      </c>
      <c r="N125" s="1" t="s">
        <v>70</v>
      </c>
      <c r="O125" s="1" t="s">
        <v>71</v>
      </c>
      <c r="P125" s="1" t="s">
        <v>72</v>
      </c>
      <c r="Q125" s="1" t="s">
        <v>38</v>
      </c>
      <c r="R125" s="1" t="s">
        <v>2549</v>
      </c>
      <c r="S125" s="3">
        <v>917969000000</v>
      </c>
      <c r="T125" s="1" t="s">
        <v>74</v>
      </c>
      <c r="U125" s="1">
        <v>77</v>
      </c>
      <c r="V125" s="1">
        <v>89</v>
      </c>
      <c r="W125" s="1" t="s">
        <v>52</v>
      </c>
      <c r="X125" s="1">
        <v>779794</v>
      </c>
      <c r="Y125" s="2">
        <v>37298</v>
      </c>
      <c r="Z125" s="1">
        <v>2.1789737171464298</v>
      </c>
      <c r="AA125" s="1">
        <v>22</v>
      </c>
      <c r="AB125" s="1">
        <v>676000</v>
      </c>
      <c r="AC125" s="1">
        <f t="shared" si="1"/>
        <v>736000</v>
      </c>
    </row>
    <row r="126" spans="1:29" x14ac:dyDescent="0.25">
      <c r="A126" s="1" t="s">
        <v>2560</v>
      </c>
      <c r="B126" s="1" t="s">
        <v>68</v>
      </c>
      <c r="C126" s="1" t="s">
        <v>69</v>
      </c>
      <c r="D126" s="1">
        <v>2018</v>
      </c>
      <c r="E126" s="1" t="s">
        <v>45</v>
      </c>
      <c r="F126" s="1">
        <v>2</v>
      </c>
      <c r="G126" s="1" t="s">
        <v>46</v>
      </c>
      <c r="H126" s="1" t="s">
        <v>33</v>
      </c>
      <c r="I126" s="1">
        <v>92000</v>
      </c>
      <c r="J126" s="1">
        <v>77000</v>
      </c>
      <c r="K126" s="1">
        <v>15000</v>
      </c>
      <c r="L126" s="1">
        <v>0</v>
      </c>
      <c r="M126" s="1" t="s">
        <v>34</v>
      </c>
      <c r="N126" s="1" t="s">
        <v>63</v>
      </c>
      <c r="O126" s="1" t="s">
        <v>84</v>
      </c>
      <c r="P126" s="1" t="s">
        <v>65</v>
      </c>
      <c r="Q126" s="1" t="s">
        <v>38</v>
      </c>
      <c r="R126" s="1" t="s">
        <v>2561</v>
      </c>
      <c r="S126" s="3">
        <v>918053000000</v>
      </c>
      <c r="T126" s="1" t="s">
        <v>74</v>
      </c>
      <c r="U126" s="1">
        <v>77</v>
      </c>
      <c r="V126" s="1">
        <v>75</v>
      </c>
      <c r="W126" s="1" t="s">
        <v>41</v>
      </c>
      <c r="X126" s="1">
        <v>457377</v>
      </c>
      <c r="Y126" s="2">
        <v>36633</v>
      </c>
      <c r="Z126" s="1">
        <v>2.1789737171464298</v>
      </c>
      <c r="AA126" s="1">
        <v>24</v>
      </c>
      <c r="AB126" s="1">
        <v>184000</v>
      </c>
      <c r="AC126" s="1">
        <f t="shared" si="1"/>
        <v>214000</v>
      </c>
    </row>
    <row r="127" spans="1:29" x14ac:dyDescent="0.25">
      <c r="A127" s="1" t="s">
        <v>2610</v>
      </c>
      <c r="B127" s="1" t="s">
        <v>2611</v>
      </c>
      <c r="C127" s="1" t="s">
        <v>2612</v>
      </c>
      <c r="D127" s="1">
        <v>2018</v>
      </c>
      <c r="E127" s="1" t="s">
        <v>31</v>
      </c>
      <c r="F127" s="1">
        <v>4</v>
      </c>
      <c r="G127" s="1" t="s">
        <v>32</v>
      </c>
      <c r="H127" s="1" t="s">
        <v>56</v>
      </c>
      <c r="I127" s="1">
        <v>169000</v>
      </c>
      <c r="J127" s="1">
        <v>154000</v>
      </c>
      <c r="K127" s="1">
        <v>15000</v>
      </c>
      <c r="L127" s="1">
        <v>0</v>
      </c>
      <c r="M127" s="1" t="s">
        <v>34</v>
      </c>
      <c r="N127" s="1" t="s">
        <v>70</v>
      </c>
      <c r="O127" s="1" t="s">
        <v>48</v>
      </c>
      <c r="P127" s="1" t="s">
        <v>49</v>
      </c>
      <c r="Q127" s="1" t="s">
        <v>38</v>
      </c>
      <c r="R127" s="1" t="s">
        <v>2613</v>
      </c>
      <c r="S127" s="3">
        <v>918316000000</v>
      </c>
      <c r="T127" s="1" t="s">
        <v>51</v>
      </c>
      <c r="U127" s="1">
        <v>77</v>
      </c>
      <c r="V127" s="1">
        <v>89</v>
      </c>
      <c r="W127" s="1" t="s">
        <v>52</v>
      </c>
      <c r="X127" s="1">
        <v>608209</v>
      </c>
      <c r="Y127" s="2">
        <v>38636</v>
      </c>
      <c r="Z127" s="1">
        <v>2.1789737171464298</v>
      </c>
      <c r="AA127" s="1">
        <v>18</v>
      </c>
      <c r="AB127" s="1">
        <v>676000</v>
      </c>
      <c r="AC127" s="1">
        <f t="shared" si="1"/>
        <v>736000</v>
      </c>
    </row>
    <row r="128" spans="1:29" x14ac:dyDescent="0.25">
      <c r="A128" s="1" t="s">
        <v>2624</v>
      </c>
      <c r="B128" s="1" t="s">
        <v>2625</v>
      </c>
      <c r="C128" s="1" t="s">
        <v>2626</v>
      </c>
      <c r="D128" s="1">
        <v>2018</v>
      </c>
      <c r="E128" s="1" t="s">
        <v>31</v>
      </c>
      <c r="F128" s="1">
        <v>4</v>
      </c>
      <c r="G128" s="1" t="s">
        <v>32</v>
      </c>
      <c r="H128" s="1" t="s">
        <v>113</v>
      </c>
      <c r="I128" s="1">
        <v>169000</v>
      </c>
      <c r="J128" s="1">
        <v>154000</v>
      </c>
      <c r="K128" s="1">
        <v>15000</v>
      </c>
      <c r="L128" s="1">
        <v>0</v>
      </c>
      <c r="M128" s="1" t="s">
        <v>34</v>
      </c>
      <c r="N128" s="1" t="s">
        <v>70</v>
      </c>
      <c r="O128" s="1" t="s">
        <v>78</v>
      </c>
      <c r="P128" s="1" t="s">
        <v>79</v>
      </c>
      <c r="Q128" s="1" t="s">
        <v>38</v>
      </c>
      <c r="R128" s="1" t="s">
        <v>2627</v>
      </c>
      <c r="S128" s="3">
        <v>917081000000</v>
      </c>
      <c r="T128" s="1" t="s">
        <v>40</v>
      </c>
      <c r="U128" s="1">
        <v>77</v>
      </c>
      <c r="V128" s="1">
        <v>90</v>
      </c>
      <c r="W128" s="1" t="s">
        <v>41</v>
      </c>
      <c r="X128" s="1">
        <v>284272</v>
      </c>
      <c r="Y128" s="2">
        <v>38661</v>
      </c>
      <c r="Z128" s="1">
        <v>2.1789737171464298</v>
      </c>
      <c r="AA128" s="1">
        <v>18</v>
      </c>
      <c r="AB128" s="1">
        <v>676000</v>
      </c>
      <c r="AC128" s="1">
        <f t="shared" si="1"/>
        <v>736000</v>
      </c>
    </row>
    <row r="129" spans="1:29" x14ac:dyDescent="0.25">
      <c r="A129" s="1" t="s">
        <v>2638</v>
      </c>
      <c r="B129" s="1" t="s">
        <v>2639</v>
      </c>
      <c r="C129" s="1" t="s">
        <v>2640</v>
      </c>
      <c r="D129" s="1">
        <v>2018</v>
      </c>
      <c r="E129" s="1" t="s">
        <v>31</v>
      </c>
      <c r="F129" s="1">
        <v>4</v>
      </c>
      <c r="G129" s="1" t="s">
        <v>32</v>
      </c>
      <c r="H129" s="1" t="s">
        <v>56</v>
      </c>
      <c r="I129" s="1">
        <v>169000</v>
      </c>
      <c r="J129" s="1">
        <v>154000</v>
      </c>
      <c r="K129" s="1">
        <v>15000</v>
      </c>
      <c r="L129" s="1">
        <v>0</v>
      </c>
      <c r="M129" s="1" t="s">
        <v>34</v>
      </c>
      <c r="N129" s="1" t="s">
        <v>63</v>
      </c>
      <c r="O129" s="1" t="s">
        <v>188</v>
      </c>
      <c r="P129" s="1" t="s">
        <v>189</v>
      </c>
      <c r="Q129" s="1" t="s">
        <v>38</v>
      </c>
      <c r="R129" s="1" t="s">
        <v>2641</v>
      </c>
      <c r="S129" s="3">
        <v>919209000000</v>
      </c>
      <c r="T129" s="1" t="s">
        <v>51</v>
      </c>
      <c r="U129" s="1">
        <v>77</v>
      </c>
      <c r="V129" s="1">
        <v>71</v>
      </c>
      <c r="W129" s="1" t="s">
        <v>41</v>
      </c>
      <c r="X129" s="1">
        <v>694371</v>
      </c>
      <c r="Y129" s="2">
        <v>37567</v>
      </c>
      <c r="Z129" s="1">
        <v>2.1789737171464298</v>
      </c>
      <c r="AA129" s="1">
        <v>21</v>
      </c>
      <c r="AB129" s="1">
        <v>676000</v>
      </c>
      <c r="AC129" s="1">
        <f t="shared" si="1"/>
        <v>736000</v>
      </c>
    </row>
    <row r="130" spans="1:29" x14ac:dyDescent="0.25">
      <c r="A130" s="1" t="s">
        <v>2703</v>
      </c>
      <c r="B130" s="1" t="s">
        <v>2704</v>
      </c>
      <c r="C130" s="1" t="s">
        <v>2705</v>
      </c>
      <c r="D130" s="1">
        <v>2018</v>
      </c>
      <c r="E130" s="1" t="s">
        <v>31</v>
      </c>
      <c r="F130" s="1">
        <v>4</v>
      </c>
      <c r="G130" s="1" t="s">
        <v>32</v>
      </c>
      <c r="H130" s="1" t="s">
        <v>90</v>
      </c>
      <c r="I130" s="1">
        <v>169000</v>
      </c>
      <c r="J130" s="1">
        <v>154000</v>
      </c>
      <c r="K130" s="1">
        <v>15000</v>
      </c>
      <c r="L130" s="1">
        <v>0</v>
      </c>
      <c r="M130" s="1" t="s">
        <v>34</v>
      </c>
      <c r="N130" s="1" t="s">
        <v>63</v>
      </c>
      <c r="O130" s="1" t="s">
        <v>84</v>
      </c>
      <c r="P130" s="1" t="s">
        <v>65</v>
      </c>
      <c r="Q130" s="1" t="s">
        <v>38</v>
      </c>
      <c r="R130" s="1" t="s">
        <v>2706</v>
      </c>
      <c r="S130" s="3">
        <v>919460000000</v>
      </c>
      <c r="T130" s="1" t="s">
        <v>74</v>
      </c>
      <c r="U130" s="1">
        <v>77</v>
      </c>
      <c r="V130" s="1">
        <v>63</v>
      </c>
      <c r="W130" s="1" t="s">
        <v>52</v>
      </c>
      <c r="X130" s="1">
        <v>427811</v>
      </c>
      <c r="Y130" s="2">
        <v>37311</v>
      </c>
      <c r="Z130" s="1">
        <v>2.1789737171464298</v>
      </c>
      <c r="AA130" s="1">
        <v>22</v>
      </c>
      <c r="AB130" s="1">
        <v>676000</v>
      </c>
      <c r="AC130" s="1">
        <f t="shared" si="1"/>
        <v>736000</v>
      </c>
    </row>
    <row r="131" spans="1:29" x14ac:dyDescent="0.25">
      <c r="A131" s="1" t="s">
        <v>2747</v>
      </c>
      <c r="B131" s="1" t="s">
        <v>2748</v>
      </c>
      <c r="C131" s="1" t="s">
        <v>2749</v>
      </c>
      <c r="D131" s="1">
        <v>2018</v>
      </c>
      <c r="E131" s="1" t="s">
        <v>45</v>
      </c>
      <c r="F131" s="1">
        <v>2</v>
      </c>
      <c r="G131" s="1" t="s">
        <v>46</v>
      </c>
      <c r="H131" s="1" t="s">
        <v>33</v>
      </c>
      <c r="I131" s="1">
        <v>92000</v>
      </c>
      <c r="J131" s="1">
        <v>77000</v>
      </c>
      <c r="K131" s="1">
        <v>15000</v>
      </c>
      <c r="L131" s="1">
        <v>0</v>
      </c>
      <c r="M131" s="1" t="s">
        <v>34</v>
      </c>
      <c r="N131" s="1" t="s">
        <v>70</v>
      </c>
      <c r="O131" s="1" t="s">
        <v>84</v>
      </c>
      <c r="P131" s="1" t="s">
        <v>65</v>
      </c>
      <c r="Q131" s="1" t="s">
        <v>38</v>
      </c>
      <c r="R131" s="1" t="s">
        <v>2750</v>
      </c>
      <c r="S131" s="3">
        <v>918477000000</v>
      </c>
      <c r="T131" s="1" t="s">
        <v>98</v>
      </c>
      <c r="U131" s="1">
        <v>76</v>
      </c>
      <c r="V131" s="1">
        <v>62</v>
      </c>
      <c r="W131" s="1" t="s">
        <v>52</v>
      </c>
      <c r="X131" s="1">
        <v>467766</v>
      </c>
      <c r="Y131" s="2">
        <v>35431</v>
      </c>
      <c r="Z131" s="1">
        <v>1.1789737171464301</v>
      </c>
      <c r="AA131" s="1">
        <v>27</v>
      </c>
      <c r="AB131" s="1">
        <v>184000</v>
      </c>
      <c r="AC131" s="1">
        <f t="shared" si="1"/>
        <v>214000</v>
      </c>
    </row>
    <row r="132" spans="1:29" x14ac:dyDescent="0.25">
      <c r="A132" s="1" t="s">
        <v>2755</v>
      </c>
      <c r="B132" s="1" t="s">
        <v>1902</v>
      </c>
      <c r="C132" s="1" t="s">
        <v>1903</v>
      </c>
      <c r="D132" s="1">
        <v>2018</v>
      </c>
      <c r="E132" s="1" t="s">
        <v>31</v>
      </c>
      <c r="F132" s="1">
        <v>4</v>
      </c>
      <c r="G132" s="1" t="s">
        <v>32</v>
      </c>
      <c r="H132" s="1" t="s">
        <v>90</v>
      </c>
      <c r="I132" s="1">
        <v>169000</v>
      </c>
      <c r="J132" s="1">
        <v>154000</v>
      </c>
      <c r="K132" s="1">
        <v>15000</v>
      </c>
      <c r="L132" s="1">
        <v>0</v>
      </c>
      <c r="M132" s="1" t="s">
        <v>34</v>
      </c>
      <c r="N132" s="1" t="s">
        <v>70</v>
      </c>
      <c r="O132" s="1" t="s">
        <v>91</v>
      </c>
      <c r="P132" s="1" t="s">
        <v>92</v>
      </c>
      <c r="Q132" s="1" t="s">
        <v>38</v>
      </c>
      <c r="R132" s="1" t="s">
        <v>2756</v>
      </c>
      <c r="S132" s="3">
        <v>919389000000</v>
      </c>
      <c r="T132" s="1" t="s">
        <v>40</v>
      </c>
      <c r="U132" s="1">
        <v>76</v>
      </c>
      <c r="V132" s="1">
        <v>84</v>
      </c>
      <c r="W132" s="1" t="s">
        <v>41</v>
      </c>
      <c r="X132" s="1">
        <v>140720</v>
      </c>
      <c r="Y132" s="2">
        <v>38397</v>
      </c>
      <c r="Z132" s="1">
        <v>1.1789737171464301</v>
      </c>
      <c r="AA132" s="1">
        <v>19</v>
      </c>
      <c r="AB132" s="1">
        <v>676000</v>
      </c>
      <c r="AC132" s="1">
        <f t="shared" si="1"/>
        <v>736000</v>
      </c>
    </row>
    <row r="133" spans="1:29" x14ac:dyDescent="0.25">
      <c r="A133" s="1" t="s">
        <v>2766</v>
      </c>
      <c r="B133" s="1" t="s">
        <v>2767</v>
      </c>
      <c r="C133" s="1" t="s">
        <v>2768</v>
      </c>
      <c r="D133" s="1">
        <v>2018</v>
      </c>
      <c r="E133" s="1" t="s">
        <v>31</v>
      </c>
      <c r="F133" s="1">
        <v>4</v>
      </c>
      <c r="G133" s="1" t="s">
        <v>32</v>
      </c>
      <c r="H133" s="1" t="s">
        <v>33</v>
      </c>
      <c r="I133" s="1">
        <v>169000</v>
      </c>
      <c r="J133" s="1">
        <v>154000</v>
      </c>
      <c r="K133" s="1">
        <v>15000</v>
      </c>
      <c r="L133" s="1">
        <v>0</v>
      </c>
      <c r="M133" s="1" t="s">
        <v>34</v>
      </c>
      <c r="N133" s="1" t="s">
        <v>70</v>
      </c>
      <c r="O133" s="1" t="s">
        <v>71</v>
      </c>
      <c r="P133" s="1" t="s">
        <v>72</v>
      </c>
      <c r="Q133" s="1" t="s">
        <v>38</v>
      </c>
      <c r="R133" s="1" t="s">
        <v>2769</v>
      </c>
      <c r="S133" s="3">
        <v>917820000000</v>
      </c>
      <c r="T133" s="1" t="s">
        <v>98</v>
      </c>
      <c r="U133" s="1">
        <v>76</v>
      </c>
      <c r="V133" s="1">
        <v>73</v>
      </c>
      <c r="W133" s="1" t="s">
        <v>41</v>
      </c>
      <c r="X133" s="1">
        <v>292795</v>
      </c>
      <c r="Y133" s="2">
        <v>37119</v>
      </c>
      <c r="Z133" s="1">
        <v>1.1789737171464301</v>
      </c>
      <c r="AA133" s="1">
        <v>22</v>
      </c>
      <c r="AB133" s="1">
        <v>676000</v>
      </c>
      <c r="AC133" s="1">
        <f t="shared" si="1"/>
        <v>736000</v>
      </c>
    </row>
    <row r="134" spans="1:29" x14ac:dyDescent="0.25">
      <c r="A134" s="1" t="s">
        <v>2772</v>
      </c>
      <c r="B134" s="1" t="s">
        <v>2773</v>
      </c>
      <c r="C134" s="1" t="s">
        <v>2774</v>
      </c>
      <c r="D134" s="1">
        <v>2018</v>
      </c>
      <c r="E134" s="1" t="s">
        <v>45</v>
      </c>
      <c r="F134" s="1">
        <v>2</v>
      </c>
      <c r="G134" s="1" t="s">
        <v>46</v>
      </c>
      <c r="H134" s="1" t="s">
        <v>47</v>
      </c>
      <c r="I134" s="1">
        <v>92000</v>
      </c>
      <c r="J134" s="1">
        <v>77000</v>
      </c>
      <c r="K134" s="1">
        <v>15000</v>
      </c>
      <c r="L134" s="1">
        <v>0</v>
      </c>
      <c r="M134" s="1" t="s">
        <v>34</v>
      </c>
      <c r="N134" s="1" t="s">
        <v>35</v>
      </c>
      <c r="O134" s="1" t="s">
        <v>91</v>
      </c>
      <c r="P134" s="1" t="s">
        <v>92</v>
      </c>
      <c r="Q134" s="1" t="s">
        <v>38</v>
      </c>
      <c r="R134" s="1" t="s">
        <v>2775</v>
      </c>
      <c r="S134" s="3">
        <v>919347000000</v>
      </c>
      <c r="T134" s="1" t="s">
        <v>74</v>
      </c>
      <c r="U134" s="1">
        <v>76</v>
      </c>
      <c r="V134" s="1">
        <v>67</v>
      </c>
      <c r="W134" s="1" t="s">
        <v>52</v>
      </c>
      <c r="X134" s="1">
        <v>196390</v>
      </c>
      <c r="Y134" s="2">
        <v>36331</v>
      </c>
      <c r="Z134" s="1">
        <v>1.1789737171464301</v>
      </c>
      <c r="AA134" s="1">
        <v>25</v>
      </c>
      <c r="AB134" s="1">
        <v>184000</v>
      </c>
      <c r="AC134" s="1">
        <f t="shared" ref="AC134:AC197" si="2">IF(F134 = 2, AB134+30000,AB134+60000)</f>
        <v>214000</v>
      </c>
    </row>
    <row r="135" spans="1:29" x14ac:dyDescent="0.25">
      <c r="A135" s="1" t="s">
        <v>2790</v>
      </c>
      <c r="B135" s="1" t="s">
        <v>1601</v>
      </c>
      <c r="C135" s="1" t="s">
        <v>1602</v>
      </c>
      <c r="D135" s="1">
        <v>2018</v>
      </c>
      <c r="E135" s="1" t="s">
        <v>45</v>
      </c>
      <c r="F135" s="1">
        <v>2</v>
      </c>
      <c r="G135" s="1" t="s">
        <v>46</v>
      </c>
      <c r="H135" s="1" t="s">
        <v>113</v>
      </c>
      <c r="I135" s="1">
        <v>92000</v>
      </c>
      <c r="J135" s="1">
        <v>77000</v>
      </c>
      <c r="K135" s="1">
        <v>15000</v>
      </c>
      <c r="L135" s="1">
        <v>0</v>
      </c>
      <c r="M135" s="1" t="s">
        <v>34</v>
      </c>
      <c r="N135" s="1" t="s">
        <v>63</v>
      </c>
      <c r="O135" s="1" t="s">
        <v>64</v>
      </c>
      <c r="P135" s="1" t="s">
        <v>65</v>
      </c>
      <c r="Q135" s="1" t="s">
        <v>38</v>
      </c>
      <c r="R135" s="1" t="s">
        <v>2791</v>
      </c>
      <c r="S135" s="3">
        <v>917015000000</v>
      </c>
      <c r="T135" s="1" t="s">
        <v>40</v>
      </c>
      <c r="U135" s="1">
        <v>76</v>
      </c>
      <c r="V135" s="1">
        <v>80</v>
      </c>
      <c r="W135" s="1" t="s">
        <v>52</v>
      </c>
      <c r="X135" s="1">
        <v>702434</v>
      </c>
      <c r="Y135" s="2">
        <v>35500</v>
      </c>
      <c r="Z135" s="1">
        <v>1.1789737171464301</v>
      </c>
      <c r="AA135" s="1">
        <v>27</v>
      </c>
      <c r="AB135" s="1">
        <v>184000</v>
      </c>
      <c r="AC135" s="1">
        <f t="shared" si="2"/>
        <v>214000</v>
      </c>
    </row>
    <row r="136" spans="1:29" x14ac:dyDescent="0.25">
      <c r="A136" s="1" t="s">
        <v>2802</v>
      </c>
      <c r="B136" s="1" t="s">
        <v>1211</v>
      </c>
      <c r="C136" s="1" t="s">
        <v>1212</v>
      </c>
      <c r="D136" s="1">
        <v>2018</v>
      </c>
      <c r="E136" s="1" t="s">
        <v>45</v>
      </c>
      <c r="F136" s="1">
        <v>2</v>
      </c>
      <c r="G136" s="1" t="s">
        <v>46</v>
      </c>
      <c r="H136" s="1" t="s">
        <v>47</v>
      </c>
      <c r="I136" s="1">
        <v>92000</v>
      </c>
      <c r="J136" s="1">
        <v>77000</v>
      </c>
      <c r="K136" s="1">
        <v>15000</v>
      </c>
      <c r="L136" s="1">
        <v>0</v>
      </c>
      <c r="M136" s="1" t="s">
        <v>34</v>
      </c>
      <c r="N136" s="1" t="s">
        <v>63</v>
      </c>
      <c r="O136" s="1" t="s">
        <v>84</v>
      </c>
      <c r="P136" s="1" t="s">
        <v>65</v>
      </c>
      <c r="Q136" s="1" t="s">
        <v>38</v>
      </c>
      <c r="R136" s="1" t="s">
        <v>2803</v>
      </c>
      <c r="S136" s="3">
        <v>919390000000</v>
      </c>
      <c r="T136" s="1" t="s">
        <v>74</v>
      </c>
      <c r="U136" s="1">
        <v>76</v>
      </c>
      <c r="V136" s="1">
        <v>91</v>
      </c>
      <c r="W136" s="1" t="s">
        <v>52</v>
      </c>
      <c r="X136" s="1">
        <v>472716</v>
      </c>
      <c r="Y136" s="2">
        <v>35316</v>
      </c>
      <c r="Z136" s="1">
        <v>1.1789737171464301</v>
      </c>
      <c r="AA136" s="1">
        <v>27</v>
      </c>
      <c r="AB136" s="1">
        <v>184000</v>
      </c>
      <c r="AC136" s="1">
        <f t="shared" si="2"/>
        <v>214000</v>
      </c>
    </row>
    <row r="137" spans="1:29" x14ac:dyDescent="0.25">
      <c r="A137" s="1" t="s">
        <v>2810</v>
      </c>
      <c r="B137" s="1" t="s">
        <v>1625</v>
      </c>
      <c r="C137" s="1" t="s">
        <v>1626</v>
      </c>
      <c r="D137" s="1">
        <v>2018</v>
      </c>
      <c r="E137" s="1" t="s">
        <v>31</v>
      </c>
      <c r="F137" s="1">
        <v>4</v>
      </c>
      <c r="G137" s="1" t="s">
        <v>32</v>
      </c>
      <c r="H137" s="1" t="s">
        <v>122</v>
      </c>
      <c r="I137" s="1">
        <v>169000</v>
      </c>
      <c r="J137" s="1">
        <v>154000</v>
      </c>
      <c r="K137" s="1">
        <v>15000</v>
      </c>
      <c r="L137" s="1">
        <v>0</v>
      </c>
      <c r="M137" s="1" t="s">
        <v>34</v>
      </c>
      <c r="N137" s="1" t="s">
        <v>35</v>
      </c>
      <c r="O137" s="1" t="s">
        <v>48</v>
      </c>
      <c r="P137" s="1" t="s">
        <v>49</v>
      </c>
      <c r="Q137" s="1" t="s">
        <v>38</v>
      </c>
      <c r="R137" s="1" t="s">
        <v>2811</v>
      </c>
      <c r="S137" s="3">
        <v>918447000000</v>
      </c>
      <c r="T137" s="1" t="s">
        <v>98</v>
      </c>
      <c r="U137" s="1">
        <v>76</v>
      </c>
      <c r="V137" s="1">
        <v>86</v>
      </c>
      <c r="W137" s="1" t="s">
        <v>41</v>
      </c>
      <c r="X137" s="1">
        <v>292582</v>
      </c>
      <c r="Y137" s="2">
        <v>38512</v>
      </c>
      <c r="Z137" s="1">
        <v>1.1789737171464301</v>
      </c>
      <c r="AA137" s="1">
        <v>19</v>
      </c>
      <c r="AB137" s="1">
        <v>676000</v>
      </c>
      <c r="AC137" s="1">
        <f t="shared" si="2"/>
        <v>736000</v>
      </c>
    </row>
    <row r="138" spans="1:29" x14ac:dyDescent="0.25">
      <c r="A138" s="1" t="s">
        <v>2820</v>
      </c>
      <c r="B138" s="1" t="s">
        <v>2284</v>
      </c>
      <c r="C138" s="1" t="s">
        <v>2285</v>
      </c>
      <c r="D138" s="1">
        <v>2018</v>
      </c>
      <c r="E138" s="1" t="s">
        <v>31</v>
      </c>
      <c r="F138" s="1">
        <v>4</v>
      </c>
      <c r="G138" s="1" t="s">
        <v>32</v>
      </c>
      <c r="H138" s="1" t="s">
        <v>90</v>
      </c>
      <c r="I138" s="1">
        <v>169000</v>
      </c>
      <c r="J138" s="1">
        <v>154000</v>
      </c>
      <c r="K138" s="1">
        <v>15000</v>
      </c>
      <c r="L138" s="1">
        <v>0</v>
      </c>
      <c r="M138" s="1" t="s">
        <v>34</v>
      </c>
      <c r="N138" s="1" t="s">
        <v>63</v>
      </c>
      <c r="O138" s="1" t="s">
        <v>36</v>
      </c>
      <c r="P138" s="1" t="s">
        <v>37</v>
      </c>
      <c r="Q138" s="1" t="s">
        <v>38</v>
      </c>
      <c r="R138" s="1" t="s">
        <v>2821</v>
      </c>
      <c r="S138" s="3">
        <v>917798000000</v>
      </c>
      <c r="T138" s="1" t="s">
        <v>74</v>
      </c>
      <c r="U138" s="1">
        <v>76</v>
      </c>
      <c r="V138" s="1">
        <v>78</v>
      </c>
      <c r="W138" s="1" t="s">
        <v>41</v>
      </c>
      <c r="X138" s="1">
        <v>438078</v>
      </c>
      <c r="Y138" s="2">
        <v>38092</v>
      </c>
      <c r="Z138" s="1">
        <v>1.1789737171464301</v>
      </c>
      <c r="AA138" s="1">
        <v>20</v>
      </c>
      <c r="AB138" s="1">
        <v>676000</v>
      </c>
      <c r="AC138" s="1">
        <f t="shared" si="2"/>
        <v>736000</v>
      </c>
    </row>
    <row r="139" spans="1:29" x14ac:dyDescent="0.25">
      <c r="A139" s="1" t="s">
        <v>2830</v>
      </c>
      <c r="B139" s="1" t="s">
        <v>677</v>
      </c>
      <c r="C139" s="1" t="s">
        <v>678</v>
      </c>
      <c r="D139" s="1">
        <v>2018</v>
      </c>
      <c r="E139" s="1" t="s">
        <v>45</v>
      </c>
      <c r="F139" s="1">
        <v>2</v>
      </c>
      <c r="G139" s="1" t="s">
        <v>46</v>
      </c>
      <c r="H139" s="1" t="s">
        <v>33</v>
      </c>
      <c r="I139" s="1">
        <v>92000</v>
      </c>
      <c r="J139" s="1">
        <v>77000</v>
      </c>
      <c r="K139" s="1">
        <v>15000</v>
      </c>
      <c r="L139" s="1">
        <v>0</v>
      </c>
      <c r="M139" s="1" t="s">
        <v>34</v>
      </c>
      <c r="N139" s="1" t="s">
        <v>35</v>
      </c>
      <c r="O139" s="1" t="s">
        <v>84</v>
      </c>
      <c r="P139" s="1" t="s">
        <v>65</v>
      </c>
      <c r="Q139" s="1" t="s">
        <v>38</v>
      </c>
      <c r="R139" s="1" t="s">
        <v>2831</v>
      </c>
      <c r="S139" s="3">
        <v>917512000000</v>
      </c>
      <c r="T139" s="1" t="s">
        <v>40</v>
      </c>
      <c r="U139" s="1">
        <v>76</v>
      </c>
      <c r="V139" s="1">
        <v>75</v>
      </c>
      <c r="W139" s="1" t="s">
        <v>52</v>
      </c>
      <c r="X139" s="1">
        <v>266687</v>
      </c>
      <c r="Y139" s="2">
        <v>37300</v>
      </c>
      <c r="Z139" s="1">
        <v>1.1789737171464301</v>
      </c>
      <c r="AA139" s="1">
        <v>22</v>
      </c>
      <c r="AB139" s="1">
        <v>184000</v>
      </c>
      <c r="AC139" s="1">
        <f t="shared" si="2"/>
        <v>214000</v>
      </c>
    </row>
    <row r="140" spans="1:29" x14ac:dyDescent="0.25">
      <c r="A140" s="1" t="s">
        <v>2854</v>
      </c>
      <c r="B140" s="1" t="s">
        <v>2855</v>
      </c>
      <c r="C140" s="1" t="s">
        <v>2856</v>
      </c>
      <c r="D140" s="1">
        <v>2018</v>
      </c>
      <c r="E140" s="1" t="s">
        <v>45</v>
      </c>
      <c r="F140" s="1">
        <v>2</v>
      </c>
      <c r="G140" s="1" t="s">
        <v>46</v>
      </c>
      <c r="H140" s="1" t="s">
        <v>47</v>
      </c>
      <c r="I140" s="1">
        <v>92000</v>
      </c>
      <c r="J140" s="1">
        <v>77000</v>
      </c>
      <c r="K140" s="1">
        <v>15000</v>
      </c>
      <c r="L140" s="1">
        <v>0</v>
      </c>
      <c r="M140" s="1" t="s">
        <v>34</v>
      </c>
      <c r="N140" s="1" t="s">
        <v>70</v>
      </c>
      <c r="O140" s="1" t="s">
        <v>188</v>
      </c>
      <c r="P140" s="1" t="s">
        <v>189</v>
      </c>
      <c r="Q140" s="1" t="s">
        <v>38</v>
      </c>
      <c r="R140" s="1" t="s">
        <v>2857</v>
      </c>
      <c r="S140" s="3">
        <v>919935000000</v>
      </c>
      <c r="T140" s="1" t="s">
        <v>51</v>
      </c>
      <c r="U140" s="1">
        <v>76</v>
      </c>
      <c r="V140" s="1">
        <v>91</v>
      </c>
      <c r="W140" s="1" t="s">
        <v>41</v>
      </c>
      <c r="X140" s="1">
        <v>591523</v>
      </c>
      <c r="Y140" s="2">
        <v>37200</v>
      </c>
      <c r="Z140" s="1">
        <v>1.1789737171464301</v>
      </c>
      <c r="AA140" s="1">
        <v>22</v>
      </c>
      <c r="AB140" s="1">
        <v>184000</v>
      </c>
      <c r="AC140" s="1">
        <f t="shared" si="2"/>
        <v>214000</v>
      </c>
    </row>
    <row r="141" spans="1:29" x14ac:dyDescent="0.25">
      <c r="A141" s="1" t="s">
        <v>2900</v>
      </c>
      <c r="B141" s="1" t="s">
        <v>2500</v>
      </c>
      <c r="C141" s="1" t="s">
        <v>2501</v>
      </c>
      <c r="D141" s="1">
        <v>2018</v>
      </c>
      <c r="E141" s="1" t="s">
        <v>45</v>
      </c>
      <c r="F141" s="1">
        <v>2</v>
      </c>
      <c r="G141" s="1" t="s">
        <v>46</v>
      </c>
      <c r="H141" s="1" t="s">
        <v>102</v>
      </c>
      <c r="I141" s="1">
        <v>92000</v>
      </c>
      <c r="J141" s="1">
        <v>77000</v>
      </c>
      <c r="K141" s="1">
        <v>15000</v>
      </c>
      <c r="L141" s="1">
        <v>0</v>
      </c>
      <c r="M141" s="1" t="s">
        <v>34</v>
      </c>
      <c r="N141" s="1" t="s">
        <v>35</v>
      </c>
      <c r="O141" s="1" t="s">
        <v>91</v>
      </c>
      <c r="P141" s="1" t="s">
        <v>92</v>
      </c>
      <c r="Q141" s="1" t="s">
        <v>38</v>
      </c>
      <c r="R141" s="1" t="s">
        <v>2901</v>
      </c>
      <c r="S141" s="3">
        <v>919707000000</v>
      </c>
      <c r="T141" s="1" t="s">
        <v>86</v>
      </c>
      <c r="U141" s="1">
        <v>76</v>
      </c>
      <c r="V141" s="1">
        <v>74</v>
      </c>
      <c r="W141" s="1" t="s">
        <v>41</v>
      </c>
      <c r="X141" s="1">
        <v>420977</v>
      </c>
      <c r="Y141" s="2">
        <v>35746</v>
      </c>
      <c r="Z141" s="1">
        <v>1.1789737171464301</v>
      </c>
      <c r="AA141" s="1">
        <v>26</v>
      </c>
      <c r="AB141" s="1">
        <v>184000</v>
      </c>
      <c r="AC141" s="1">
        <f t="shared" si="2"/>
        <v>214000</v>
      </c>
    </row>
    <row r="142" spans="1:29" x14ac:dyDescent="0.25">
      <c r="A142" s="1" t="s">
        <v>2934</v>
      </c>
      <c r="B142" s="1" t="s">
        <v>2935</v>
      </c>
      <c r="C142" s="1" t="s">
        <v>2936</v>
      </c>
      <c r="D142" s="1">
        <v>2018</v>
      </c>
      <c r="E142" s="1" t="s">
        <v>31</v>
      </c>
      <c r="F142" s="1">
        <v>4</v>
      </c>
      <c r="G142" s="1" t="s">
        <v>32</v>
      </c>
      <c r="H142" s="1" t="s">
        <v>56</v>
      </c>
      <c r="I142" s="1">
        <v>169000</v>
      </c>
      <c r="J142" s="1">
        <v>154000</v>
      </c>
      <c r="K142" s="1">
        <v>15000</v>
      </c>
      <c r="L142" s="1">
        <v>0</v>
      </c>
      <c r="M142" s="1" t="s">
        <v>34</v>
      </c>
      <c r="N142" s="1" t="s">
        <v>35</v>
      </c>
      <c r="O142" s="1" t="s">
        <v>36</v>
      </c>
      <c r="P142" s="1" t="s">
        <v>37</v>
      </c>
      <c r="Q142" s="1" t="s">
        <v>38</v>
      </c>
      <c r="R142" s="1" t="s">
        <v>2937</v>
      </c>
      <c r="S142" s="3">
        <v>918555000000</v>
      </c>
      <c r="T142" s="1" t="s">
        <v>74</v>
      </c>
      <c r="U142" s="1">
        <v>75</v>
      </c>
      <c r="V142" s="1">
        <v>75</v>
      </c>
      <c r="W142" s="1" t="s">
        <v>41</v>
      </c>
      <c r="X142" s="1">
        <v>171896</v>
      </c>
      <c r="Y142" s="2">
        <v>38665</v>
      </c>
      <c r="Z142" s="1">
        <v>0.17897371714643301</v>
      </c>
      <c r="AA142" s="1">
        <v>18</v>
      </c>
      <c r="AB142" s="1">
        <v>676000</v>
      </c>
      <c r="AC142" s="1">
        <f t="shared" si="2"/>
        <v>736000</v>
      </c>
    </row>
    <row r="143" spans="1:29" x14ac:dyDescent="0.25">
      <c r="A143" s="1" t="s">
        <v>2948</v>
      </c>
      <c r="B143" s="1" t="s">
        <v>701</v>
      </c>
      <c r="C143" s="1" t="s">
        <v>702</v>
      </c>
      <c r="D143" s="1">
        <v>2018</v>
      </c>
      <c r="E143" s="1" t="s">
        <v>45</v>
      </c>
      <c r="F143" s="1">
        <v>2</v>
      </c>
      <c r="G143" s="1" t="s">
        <v>46</v>
      </c>
      <c r="H143" s="1" t="s">
        <v>113</v>
      </c>
      <c r="I143" s="1">
        <v>92000</v>
      </c>
      <c r="J143" s="1">
        <v>77000</v>
      </c>
      <c r="K143" s="1">
        <v>15000</v>
      </c>
      <c r="L143" s="1">
        <v>0</v>
      </c>
      <c r="M143" s="1" t="s">
        <v>34</v>
      </c>
      <c r="N143" s="1" t="s">
        <v>63</v>
      </c>
      <c r="O143" s="1" t="s">
        <v>188</v>
      </c>
      <c r="P143" s="1" t="s">
        <v>189</v>
      </c>
      <c r="Q143" s="1" t="s">
        <v>38</v>
      </c>
      <c r="R143" s="1" t="s">
        <v>2949</v>
      </c>
      <c r="S143" s="3">
        <v>919156000000</v>
      </c>
      <c r="T143" s="1" t="s">
        <v>98</v>
      </c>
      <c r="U143" s="1">
        <v>75</v>
      </c>
      <c r="V143" s="1">
        <v>66</v>
      </c>
      <c r="W143" s="1" t="s">
        <v>41</v>
      </c>
      <c r="X143" s="1">
        <v>635162</v>
      </c>
      <c r="Y143" s="2">
        <v>37286</v>
      </c>
      <c r="Z143" s="1">
        <v>0.17897371714643301</v>
      </c>
      <c r="AA143" s="1">
        <v>22</v>
      </c>
      <c r="AB143" s="1">
        <v>184000</v>
      </c>
      <c r="AC143" s="1">
        <f t="shared" si="2"/>
        <v>214000</v>
      </c>
    </row>
    <row r="144" spans="1:29" x14ac:dyDescent="0.25">
      <c r="A144" s="1" t="s">
        <v>3066</v>
      </c>
      <c r="B144" s="1" t="s">
        <v>245</v>
      </c>
      <c r="C144" s="1" t="s">
        <v>246</v>
      </c>
      <c r="D144" s="1">
        <v>2018</v>
      </c>
      <c r="E144" s="1" t="s">
        <v>45</v>
      </c>
      <c r="F144" s="1">
        <v>2</v>
      </c>
      <c r="G144" s="1" t="s">
        <v>46</v>
      </c>
      <c r="H144" s="1" t="s">
        <v>102</v>
      </c>
      <c r="I144" s="1">
        <v>92000</v>
      </c>
      <c r="J144" s="1">
        <v>77000</v>
      </c>
      <c r="K144" s="1">
        <v>15000</v>
      </c>
      <c r="L144" s="1">
        <v>0</v>
      </c>
      <c r="M144" s="1" t="s">
        <v>34</v>
      </c>
      <c r="N144" s="1" t="s">
        <v>63</v>
      </c>
      <c r="O144" s="1" t="s">
        <v>36</v>
      </c>
      <c r="P144" s="1" t="s">
        <v>37</v>
      </c>
      <c r="Q144" s="1" t="s">
        <v>38</v>
      </c>
      <c r="R144" s="1" t="s">
        <v>3067</v>
      </c>
      <c r="S144" s="3">
        <v>919754000000</v>
      </c>
      <c r="T144" s="1" t="s">
        <v>40</v>
      </c>
      <c r="U144" s="1">
        <v>75</v>
      </c>
      <c r="V144" s="1">
        <v>62</v>
      </c>
      <c r="W144" s="1" t="s">
        <v>52</v>
      </c>
      <c r="X144" s="1">
        <v>685517</v>
      </c>
      <c r="Y144" s="2">
        <v>36520</v>
      </c>
      <c r="Z144" s="1">
        <v>0.17897371714643301</v>
      </c>
      <c r="AA144" s="1">
        <v>24</v>
      </c>
      <c r="AB144" s="1">
        <v>184000</v>
      </c>
      <c r="AC144" s="1">
        <f t="shared" si="2"/>
        <v>214000</v>
      </c>
    </row>
    <row r="145" spans="1:29" x14ac:dyDescent="0.25">
      <c r="A145" s="1" t="s">
        <v>3126</v>
      </c>
      <c r="B145" s="1" t="s">
        <v>3127</v>
      </c>
      <c r="C145" s="1" t="s">
        <v>3128</v>
      </c>
      <c r="D145" s="1">
        <v>2018</v>
      </c>
      <c r="E145" s="1" t="s">
        <v>31</v>
      </c>
      <c r="F145" s="1">
        <v>4</v>
      </c>
      <c r="G145" s="1" t="s">
        <v>32</v>
      </c>
      <c r="H145" s="1" t="s">
        <v>62</v>
      </c>
      <c r="I145" s="1">
        <v>169000</v>
      </c>
      <c r="J145" s="1">
        <v>154000</v>
      </c>
      <c r="K145" s="1">
        <v>15000</v>
      </c>
      <c r="L145" s="1">
        <v>0</v>
      </c>
      <c r="M145" s="1" t="s">
        <v>34</v>
      </c>
      <c r="N145" s="1" t="s">
        <v>70</v>
      </c>
      <c r="O145" s="1" t="s">
        <v>91</v>
      </c>
      <c r="P145" s="1" t="s">
        <v>92</v>
      </c>
      <c r="Q145" s="1" t="s">
        <v>38</v>
      </c>
      <c r="R145" s="1" t="s">
        <v>3129</v>
      </c>
      <c r="S145" s="3">
        <v>919247000000</v>
      </c>
      <c r="T145" s="1" t="s">
        <v>51</v>
      </c>
      <c r="U145" s="1">
        <v>74</v>
      </c>
      <c r="V145" s="1">
        <v>62</v>
      </c>
      <c r="W145" s="1" t="s">
        <v>52</v>
      </c>
      <c r="X145" s="1">
        <v>535371</v>
      </c>
      <c r="Y145" s="2">
        <v>37504</v>
      </c>
      <c r="Z145" s="1">
        <v>-0.82102628285356605</v>
      </c>
      <c r="AA145" s="1">
        <v>21</v>
      </c>
      <c r="AB145" s="1">
        <v>676000</v>
      </c>
      <c r="AC145" s="1">
        <f t="shared" si="2"/>
        <v>736000</v>
      </c>
    </row>
    <row r="146" spans="1:29" x14ac:dyDescent="0.25">
      <c r="A146" s="1" t="s">
        <v>3166</v>
      </c>
      <c r="B146" s="1" t="s">
        <v>3167</v>
      </c>
      <c r="C146" s="1" t="s">
        <v>3168</v>
      </c>
      <c r="D146" s="1">
        <v>2018</v>
      </c>
      <c r="E146" s="1" t="s">
        <v>31</v>
      </c>
      <c r="F146" s="1">
        <v>4</v>
      </c>
      <c r="G146" s="1" t="s">
        <v>32</v>
      </c>
      <c r="H146" s="1" t="s">
        <v>56</v>
      </c>
      <c r="I146" s="1">
        <v>169000</v>
      </c>
      <c r="J146" s="1">
        <v>154000</v>
      </c>
      <c r="K146" s="1">
        <v>15000</v>
      </c>
      <c r="L146" s="1">
        <v>0</v>
      </c>
      <c r="M146" s="1" t="s">
        <v>34</v>
      </c>
      <c r="N146" s="1" t="s">
        <v>63</v>
      </c>
      <c r="O146" s="1" t="s">
        <v>91</v>
      </c>
      <c r="P146" s="1" t="s">
        <v>92</v>
      </c>
      <c r="Q146" s="1" t="s">
        <v>38</v>
      </c>
      <c r="R146" s="1" t="s">
        <v>3169</v>
      </c>
      <c r="S146" s="3">
        <v>918693000000</v>
      </c>
      <c r="T146" s="1" t="s">
        <v>51</v>
      </c>
      <c r="U146" s="1">
        <v>74</v>
      </c>
      <c r="V146" s="1">
        <v>70</v>
      </c>
      <c r="W146" s="1" t="s">
        <v>41</v>
      </c>
      <c r="X146" s="1">
        <v>280033</v>
      </c>
      <c r="Y146" s="2">
        <v>37491</v>
      </c>
      <c r="Z146" s="1">
        <v>-0.82102628285356605</v>
      </c>
      <c r="AA146" s="1">
        <v>21</v>
      </c>
      <c r="AB146" s="1">
        <v>676000</v>
      </c>
      <c r="AC146" s="1">
        <f t="shared" si="2"/>
        <v>736000</v>
      </c>
    </row>
    <row r="147" spans="1:29" x14ac:dyDescent="0.25">
      <c r="A147" s="1" t="s">
        <v>3180</v>
      </c>
      <c r="B147" s="1" t="s">
        <v>3181</v>
      </c>
      <c r="C147" s="1" t="s">
        <v>3182</v>
      </c>
      <c r="D147" s="1">
        <v>2018</v>
      </c>
      <c r="E147" s="1" t="s">
        <v>45</v>
      </c>
      <c r="F147" s="1">
        <v>2</v>
      </c>
      <c r="G147" s="1" t="s">
        <v>46</v>
      </c>
      <c r="H147" s="1" t="s">
        <v>62</v>
      </c>
      <c r="I147" s="1">
        <v>92000</v>
      </c>
      <c r="J147" s="1">
        <v>77000</v>
      </c>
      <c r="K147" s="1">
        <v>15000</v>
      </c>
      <c r="L147" s="1">
        <v>0</v>
      </c>
      <c r="M147" s="1" t="s">
        <v>34</v>
      </c>
      <c r="N147" s="1" t="s">
        <v>63</v>
      </c>
      <c r="O147" s="1" t="s">
        <v>64</v>
      </c>
      <c r="P147" s="1" t="s">
        <v>65</v>
      </c>
      <c r="Q147" s="1" t="s">
        <v>38</v>
      </c>
      <c r="R147" s="1" t="s">
        <v>3183</v>
      </c>
      <c r="S147" s="3">
        <v>917096000000</v>
      </c>
      <c r="T147" s="1" t="s">
        <v>51</v>
      </c>
      <c r="U147" s="1">
        <v>74</v>
      </c>
      <c r="V147" s="1">
        <v>76</v>
      </c>
      <c r="W147" s="1" t="s">
        <v>41</v>
      </c>
      <c r="X147" s="1">
        <v>596500</v>
      </c>
      <c r="Y147" s="2">
        <v>37056</v>
      </c>
      <c r="Z147" s="1">
        <v>-0.82102628285356605</v>
      </c>
      <c r="AA147" s="1">
        <v>23</v>
      </c>
      <c r="AB147" s="1">
        <v>184000</v>
      </c>
      <c r="AC147" s="1">
        <f t="shared" si="2"/>
        <v>214000</v>
      </c>
    </row>
    <row r="148" spans="1:29" x14ac:dyDescent="0.25">
      <c r="A148" s="1" t="s">
        <v>3206</v>
      </c>
      <c r="B148" s="1" t="s">
        <v>3207</v>
      </c>
      <c r="C148" s="1" t="s">
        <v>3208</v>
      </c>
      <c r="D148" s="1">
        <v>2018</v>
      </c>
      <c r="E148" s="1" t="s">
        <v>31</v>
      </c>
      <c r="F148" s="1">
        <v>4</v>
      </c>
      <c r="G148" s="1" t="s">
        <v>32</v>
      </c>
      <c r="H148" s="1" t="s">
        <v>56</v>
      </c>
      <c r="I148" s="1">
        <v>169000</v>
      </c>
      <c r="J148" s="1">
        <v>154000</v>
      </c>
      <c r="K148" s="1">
        <v>15000</v>
      </c>
      <c r="L148" s="1">
        <v>0</v>
      </c>
      <c r="M148" s="1" t="s">
        <v>34</v>
      </c>
      <c r="N148" s="1" t="s">
        <v>70</v>
      </c>
      <c r="O148" s="1" t="s">
        <v>48</v>
      </c>
      <c r="P148" s="1" t="s">
        <v>49</v>
      </c>
      <c r="Q148" s="1" t="s">
        <v>38</v>
      </c>
      <c r="R148" s="1" t="s">
        <v>3209</v>
      </c>
      <c r="S148" s="3">
        <v>917171000000</v>
      </c>
      <c r="T148" s="1" t="s">
        <v>86</v>
      </c>
      <c r="U148" s="1">
        <v>74</v>
      </c>
      <c r="V148" s="1">
        <v>62</v>
      </c>
      <c r="W148" s="1" t="s">
        <v>52</v>
      </c>
      <c r="X148" s="1">
        <v>566109</v>
      </c>
      <c r="Y148" s="2">
        <v>37145</v>
      </c>
      <c r="Z148" s="1">
        <v>-0.82102628285356605</v>
      </c>
      <c r="AA148" s="1">
        <v>22</v>
      </c>
      <c r="AB148" s="1">
        <v>676000</v>
      </c>
      <c r="AC148" s="1">
        <f t="shared" si="2"/>
        <v>736000</v>
      </c>
    </row>
    <row r="149" spans="1:29" x14ac:dyDescent="0.25">
      <c r="A149" s="1" t="s">
        <v>3222</v>
      </c>
      <c r="B149" s="1" t="s">
        <v>3223</v>
      </c>
      <c r="C149" s="1" t="s">
        <v>3224</v>
      </c>
      <c r="D149" s="1">
        <v>2018</v>
      </c>
      <c r="E149" s="1" t="s">
        <v>31</v>
      </c>
      <c r="F149" s="1">
        <v>4</v>
      </c>
      <c r="G149" s="1" t="s">
        <v>32</v>
      </c>
      <c r="H149" s="1" t="s">
        <v>210</v>
      </c>
      <c r="I149" s="1">
        <v>169000</v>
      </c>
      <c r="J149" s="1">
        <v>154000</v>
      </c>
      <c r="K149" s="1">
        <v>15000</v>
      </c>
      <c r="L149" s="1">
        <v>0</v>
      </c>
      <c r="M149" s="1" t="s">
        <v>34</v>
      </c>
      <c r="N149" s="1" t="s">
        <v>35</v>
      </c>
      <c r="O149" s="1" t="s">
        <v>48</v>
      </c>
      <c r="P149" s="1" t="s">
        <v>49</v>
      </c>
      <c r="Q149" s="1" t="s">
        <v>38</v>
      </c>
      <c r="R149" s="1" t="s">
        <v>3225</v>
      </c>
      <c r="S149" s="3">
        <v>917087000000</v>
      </c>
      <c r="T149" s="1" t="s">
        <v>98</v>
      </c>
      <c r="U149" s="1">
        <v>74</v>
      </c>
      <c r="V149" s="1">
        <v>60</v>
      </c>
      <c r="W149" s="1" t="s">
        <v>52</v>
      </c>
      <c r="X149" s="1">
        <v>282815</v>
      </c>
      <c r="Y149" s="2">
        <v>37947</v>
      </c>
      <c r="Z149" s="1">
        <v>-0.82102628285356605</v>
      </c>
      <c r="AA149" s="1">
        <v>20</v>
      </c>
      <c r="AB149" s="1">
        <v>676000</v>
      </c>
      <c r="AC149" s="1">
        <f t="shared" si="2"/>
        <v>736000</v>
      </c>
    </row>
    <row r="150" spans="1:29" x14ac:dyDescent="0.25">
      <c r="A150" s="1" t="s">
        <v>3253</v>
      </c>
      <c r="B150" s="1" t="s">
        <v>2553</v>
      </c>
      <c r="C150" s="1" t="s">
        <v>2554</v>
      </c>
      <c r="D150" s="1">
        <v>2018</v>
      </c>
      <c r="E150" s="1" t="s">
        <v>31</v>
      </c>
      <c r="F150" s="1">
        <v>4</v>
      </c>
      <c r="G150" s="1" t="s">
        <v>32</v>
      </c>
      <c r="H150" s="1" t="s">
        <v>56</v>
      </c>
      <c r="I150" s="1">
        <v>169000</v>
      </c>
      <c r="J150" s="1">
        <v>154000</v>
      </c>
      <c r="K150" s="1">
        <v>15000</v>
      </c>
      <c r="L150" s="1">
        <v>0</v>
      </c>
      <c r="M150" s="1" t="s">
        <v>34</v>
      </c>
      <c r="N150" s="1" t="s">
        <v>35</v>
      </c>
      <c r="O150" s="1" t="s">
        <v>188</v>
      </c>
      <c r="P150" s="1" t="s">
        <v>189</v>
      </c>
      <c r="Q150" s="1" t="s">
        <v>38</v>
      </c>
      <c r="R150" s="1" t="s">
        <v>3254</v>
      </c>
      <c r="S150" s="3">
        <v>918987000000</v>
      </c>
      <c r="T150" s="1" t="s">
        <v>40</v>
      </c>
      <c r="U150" s="1">
        <v>74</v>
      </c>
      <c r="V150" s="1">
        <v>67</v>
      </c>
      <c r="W150" s="1" t="s">
        <v>52</v>
      </c>
      <c r="X150" s="1">
        <v>538975</v>
      </c>
      <c r="Y150" s="2">
        <v>38367</v>
      </c>
      <c r="Z150" s="1">
        <v>-0.82102628285356605</v>
      </c>
      <c r="AA150" s="1">
        <v>19</v>
      </c>
      <c r="AB150" s="1">
        <v>676000</v>
      </c>
      <c r="AC150" s="1">
        <f t="shared" si="2"/>
        <v>736000</v>
      </c>
    </row>
    <row r="151" spans="1:29" x14ac:dyDescent="0.25">
      <c r="A151" s="1" t="s">
        <v>3255</v>
      </c>
      <c r="B151" s="1" t="s">
        <v>3256</v>
      </c>
      <c r="C151" s="1" t="s">
        <v>3257</v>
      </c>
      <c r="D151" s="1">
        <v>2018</v>
      </c>
      <c r="E151" s="1" t="s">
        <v>31</v>
      </c>
      <c r="F151" s="1">
        <v>4</v>
      </c>
      <c r="G151" s="1" t="s">
        <v>32</v>
      </c>
      <c r="H151" s="1" t="s">
        <v>151</v>
      </c>
      <c r="I151" s="1">
        <v>169000</v>
      </c>
      <c r="J151" s="1">
        <v>154000</v>
      </c>
      <c r="K151" s="1">
        <v>15000</v>
      </c>
      <c r="L151" s="1">
        <v>0</v>
      </c>
      <c r="M151" s="1" t="s">
        <v>34</v>
      </c>
      <c r="N151" s="1" t="s">
        <v>63</v>
      </c>
      <c r="O151" s="1" t="s">
        <v>48</v>
      </c>
      <c r="P151" s="1" t="s">
        <v>49</v>
      </c>
      <c r="Q151" s="1" t="s">
        <v>38</v>
      </c>
      <c r="R151" s="1" t="s">
        <v>3258</v>
      </c>
      <c r="S151" s="3">
        <v>918368000000</v>
      </c>
      <c r="T151" s="1" t="s">
        <v>51</v>
      </c>
      <c r="U151" s="1">
        <v>74</v>
      </c>
      <c r="V151" s="1">
        <v>85</v>
      </c>
      <c r="W151" s="1" t="s">
        <v>41</v>
      </c>
      <c r="X151" s="1">
        <v>412813</v>
      </c>
      <c r="Y151" s="2">
        <v>38812</v>
      </c>
      <c r="Z151" s="1">
        <v>-0.82102628285356605</v>
      </c>
      <c r="AA151" s="1">
        <v>18</v>
      </c>
      <c r="AB151" s="1">
        <v>676000</v>
      </c>
      <c r="AC151" s="1">
        <f t="shared" si="2"/>
        <v>736000</v>
      </c>
    </row>
    <row r="152" spans="1:29" x14ac:dyDescent="0.25">
      <c r="A152" s="1" t="s">
        <v>3259</v>
      </c>
      <c r="B152" s="1" t="s">
        <v>3260</v>
      </c>
      <c r="C152" s="1" t="s">
        <v>3261</v>
      </c>
      <c r="D152" s="1">
        <v>2018</v>
      </c>
      <c r="E152" s="1" t="s">
        <v>45</v>
      </c>
      <c r="F152" s="1">
        <v>2</v>
      </c>
      <c r="G152" s="1" t="s">
        <v>46</v>
      </c>
      <c r="H152" s="1" t="s">
        <v>90</v>
      </c>
      <c r="I152" s="1">
        <v>92000</v>
      </c>
      <c r="J152" s="1">
        <v>77000</v>
      </c>
      <c r="K152" s="1">
        <v>15000</v>
      </c>
      <c r="L152" s="1">
        <v>0</v>
      </c>
      <c r="M152" s="1" t="s">
        <v>34</v>
      </c>
      <c r="N152" s="1" t="s">
        <v>35</v>
      </c>
      <c r="O152" s="1" t="s">
        <v>188</v>
      </c>
      <c r="P152" s="1" t="s">
        <v>189</v>
      </c>
      <c r="Q152" s="1" t="s">
        <v>38</v>
      </c>
      <c r="R152" s="1" t="s">
        <v>3262</v>
      </c>
      <c r="S152" s="3">
        <v>917454000000</v>
      </c>
      <c r="T152" s="1" t="s">
        <v>40</v>
      </c>
      <c r="U152" s="1">
        <v>74</v>
      </c>
      <c r="V152" s="1">
        <v>60</v>
      </c>
      <c r="W152" s="1" t="s">
        <v>41</v>
      </c>
      <c r="X152" s="1">
        <v>281463</v>
      </c>
      <c r="Y152" s="2">
        <v>36651</v>
      </c>
      <c r="Z152" s="1">
        <v>-0.82102628285356605</v>
      </c>
      <c r="AA152" s="1">
        <v>24</v>
      </c>
      <c r="AB152" s="1">
        <v>184000</v>
      </c>
      <c r="AC152" s="1">
        <f t="shared" si="2"/>
        <v>214000</v>
      </c>
    </row>
    <row r="153" spans="1:29" x14ac:dyDescent="0.25">
      <c r="A153" s="1" t="s">
        <v>3299</v>
      </c>
      <c r="B153" s="1" t="s">
        <v>2470</v>
      </c>
      <c r="C153" s="1" t="s">
        <v>2471</v>
      </c>
      <c r="D153" s="1">
        <v>2018</v>
      </c>
      <c r="E153" s="1" t="s">
        <v>45</v>
      </c>
      <c r="F153" s="1">
        <v>2</v>
      </c>
      <c r="G153" s="1" t="s">
        <v>46</v>
      </c>
      <c r="H153" s="1" t="s">
        <v>62</v>
      </c>
      <c r="I153" s="1">
        <v>92000</v>
      </c>
      <c r="J153" s="1">
        <v>77000</v>
      </c>
      <c r="K153" s="1">
        <v>15000</v>
      </c>
      <c r="L153" s="1">
        <v>0</v>
      </c>
      <c r="M153" s="1" t="s">
        <v>34</v>
      </c>
      <c r="N153" s="1" t="s">
        <v>70</v>
      </c>
      <c r="O153" s="1" t="s">
        <v>91</v>
      </c>
      <c r="P153" s="1" t="s">
        <v>92</v>
      </c>
      <c r="Q153" s="1" t="s">
        <v>38</v>
      </c>
      <c r="R153" s="1" t="s">
        <v>3300</v>
      </c>
      <c r="S153" s="3">
        <v>917172000000</v>
      </c>
      <c r="T153" s="1" t="s">
        <v>98</v>
      </c>
      <c r="U153" s="1">
        <v>73</v>
      </c>
      <c r="V153" s="1">
        <v>81</v>
      </c>
      <c r="W153" s="1" t="s">
        <v>52</v>
      </c>
      <c r="X153" s="1">
        <v>149768</v>
      </c>
      <c r="Y153" s="2">
        <v>35518</v>
      </c>
      <c r="Z153" s="1">
        <v>-1.8210262828535599</v>
      </c>
      <c r="AA153" s="1">
        <v>27</v>
      </c>
      <c r="AB153" s="1">
        <v>184000</v>
      </c>
      <c r="AC153" s="1">
        <f t="shared" si="2"/>
        <v>214000</v>
      </c>
    </row>
    <row r="154" spans="1:29" x14ac:dyDescent="0.25">
      <c r="A154" s="1" t="s">
        <v>3301</v>
      </c>
      <c r="B154" s="1" t="s">
        <v>1317</v>
      </c>
      <c r="C154" s="1" t="s">
        <v>1318</v>
      </c>
      <c r="D154" s="1">
        <v>2018</v>
      </c>
      <c r="E154" s="1" t="s">
        <v>31</v>
      </c>
      <c r="F154" s="1">
        <v>4</v>
      </c>
      <c r="G154" s="1" t="s">
        <v>32</v>
      </c>
      <c r="H154" s="1" t="s">
        <v>33</v>
      </c>
      <c r="I154" s="1">
        <v>169000</v>
      </c>
      <c r="J154" s="1">
        <v>154000</v>
      </c>
      <c r="K154" s="1">
        <v>15000</v>
      </c>
      <c r="L154" s="1">
        <v>0</v>
      </c>
      <c r="M154" s="1" t="s">
        <v>34</v>
      </c>
      <c r="N154" s="1" t="s">
        <v>35</v>
      </c>
      <c r="O154" s="1" t="s">
        <v>91</v>
      </c>
      <c r="P154" s="1" t="s">
        <v>92</v>
      </c>
      <c r="Q154" s="1" t="s">
        <v>38</v>
      </c>
      <c r="R154" s="1" t="s">
        <v>3302</v>
      </c>
      <c r="S154" s="3">
        <v>918826000000</v>
      </c>
      <c r="T154" s="1" t="s">
        <v>86</v>
      </c>
      <c r="U154" s="1">
        <v>73</v>
      </c>
      <c r="V154" s="1">
        <v>76</v>
      </c>
      <c r="W154" s="1" t="s">
        <v>41</v>
      </c>
      <c r="X154" s="1">
        <v>480936</v>
      </c>
      <c r="Y154" s="2">
        <v>36903</v>
      </c>
      <c r="Z154" s="1">
        <v>-1.8210262828535599</v>
      </c>
      <c r="AA154" s="1">
        <v>23</v>
      </c>
      <c r="AB154" s="1">
        <v>676000</v>
      </c>
      <c r="AC154" s="1">
        <f t="shared" si="2"/>
        <v>736000</v>
      </c>
    </row>
    <row r="155" spans="1:29" x14ac:dyDescent="0.25">
      <c r="A155" s="1" t="s">
        <v>3365</v>
      </c>
      <c r="B155" s="1" t="s">
        <v>3366</v>
      </c>
      <c r="C155" s="1" t="s">
        <v>3367</v>
      </c>
      <c r="D155" s="1">
        <v>2018</v>
      </c>
      <c r="E155" s="1" t="s">
        <v>31</v>
      </c>
      <c r="F155" s="1">
        <v>4</v>
      </c>
      <c r="G155" s="1" t="s">
        <v>32</v>
      </c>
      <c r="H155" s="1" t="s">
        <v>210</v>
      </c>
      <c r="I155" s="1">
        <v>169000</v>
      </c>
      <c r="J155" s="1">
        <v>154000</v>
      </c>
      <c r="K155" s="1">
        <v>15000</v>
      </c>
      <c r="L155" s="1">
        <v>0</v>
      </c>
      <c r="M155" s="1" t="s">
        <v>34</v>
      </c>
      <c r="N155" s="1" t="s">
        <v>35</v>
      </c>
      <c r="O155" s="1" t="s">
        <v>78</v>
      </c>
      <c r="P155" s="1" t="s">
        <v>79</v>
      </c>
      <c r="Q155" s="1" t="s">
        <v>38</v>
      </c>
      <c r="R155" s="1" t="s">
        <v>3368</v>
      </c>
      <c r="S155" s="3">
        <v>917895000000</v>
      </c>
      <c r="T155" s="1" t="s">
        <v>51</v>
      </c>
      <c r="U155" s="1">
        <v>73</v>
      </c>
      <c r="V155" s="1">
        <v>81</v>
      </c>
      <c r="W155" s="1" t="s">
        <v>52</v>
      </c>
      <c r="X155" s="1">
        <v>147018</v>
      </c>
      <c r="Y155" s="2">
        <v>37378</v>
      </c>
      <c r="Z155" s="1">
        <v>-1.8210262828535599</v>
      </c>
      <c r="AA155" s="1">
        <v>22</v>
      </c>
      <c r="AB155" s="1">
        <v>676000</v>
      </c>
      <c r="AC155" s="1">
        <f t="shared" si="2"/>
        <v>736000</v>
      </c>
    </row>
    <row r="156" spans="1:29" x14ac:dyDescent="0.25">
      <c r="A156" s="1" t="s">
        <v>3369</v>
      </c>
      <c r="B156" s="1" t="s">
        <v>3370</v>
      </c>
      <c r="C156" s="1" t="s">
        <v>3371</v>
      </c>
      <c r="D156" s="1">
        <v>2018</v>
      </c>
      <c r="E156" s="1" t="s">
        <v>31</v>
      </c>
      <c r="F156" s="1">
        <v>4</v>
      </c>
      <c r="G156" s="1" t="s">
        <v>32</v>
      </c>
      <c r="H156" s="1" t="s">
        <v>210</v>
      </c>
      <c r="I156" s="1">
        <v>169000</v>
      </c>
      <c r="J156" s="1">
        <v>154000</v>
      </c>
      <c r="K156" s="1">
        <v>15000</v>
      </c>
      <c r="L156" s="1">
        <v>0</v>
      </c>
      <c r="M156" s="1" t="s">
        <v>34</v>
      </c>
      <c r="N156" s="1" t="s">
        <v>70</v>
      </c>
      <c r="O156" s="1" t="s">
        <v>78</v>
      </c>
      <c r="P156" s="1" t="s">
        <v>79</v>
      </c>
      <c r="Q156" s="1" t="s">
        <v>38</v>
      </c>
      <c r="R156" s="1" t="s">
        <v>3372</v>
      </c>
      <c r="S156" s="3">
        <v>918757000000</v>
      </c>
      <c r="T156" s="1" t="s">
        <v>51</v>
      </c>
      <c r="U156" s="1">
        <v>73</v>
      </c>
      <c r="V156" s="1">
        <v>72</v>
      </c>
      <c r="W156" s="1" t="s">
        <v>52</v>
      </c>
      <c r="X156" s="1">
        <v>443070</v>
      </c>
      <c r="Y156" s="2">
        <v>37438</v>
      </c>
      <c r="Z156" s="1">
        <v>-1.8210262828535599</v>
      </c>
      <c r="AA156" s="1">
        <v>22</v>
      </c>
      <c r="AB156" s="1">
        <v>676000</v>
      </c>
      <c r="AC156" s="1">
        <f t="shared" si="2"/>
        <v>736000</v>
      </c>
    </row>
    <row r="157" spans="1:29" x14ac:dyDescent="0.25">
      <c r="A157" s="1" t="s">
        <v>2229</v>
      </c>
      <c r="B157" s="1" t="s">
        <v>3416</v>
      </c>
      <c r="C157" s="1" t="s">
        <v>3417</v>
      </c>
      <c r="D157" s="1">
        <v>2018</v>
      </c>
      <c r="E157" s="1" t="s">
        <v>45</v>
      </c>
      <c r="F157" s="1">
        <v>2</v>
      </c>
      <c r="G157" s="1" t="s">
        <v>46</v>
      </c>
      <c r="H157" s="1" t="s">
        <v>47</v>
      </c>
      <c r="I157" s="1">
        <v>92000</v>
      </c>
      <c r="J157" s="1">
        <v>77000</v>
      </c>
      <c r="K157" s="1">
        <v>15000</v>
      </c>
      <c r="L157" s="1">
        <v>0</v>
      </c>
      <c r="M157" s="1" t="s">
        <v>34</v>
      </c>
      <c r="N157" s="1" t="s">
        <v>35</v>
      </c>
      <c r="O157" s="1" t="s">
        <v>57</v>
      </c>
      <c r="P157" s="1" t="s">
        <v>57</v>
      </c>
      <c r="Q157" s="1" t="s">
        <v>38</v>
      </c>
      <c r="R157" s="1" t="s">
        <v>3418</v>
      </c>
      <c r="S157" s="3">
        <v>918312000000</v>
      </c>
      <c r="T157" s="1" t="s">
        <v>51</v>
      </c>
      <c r="U157" s="1">
        <v>73</v>
      </c>
      <c r="V157" s="1">
        <v>81</v>
      </c>
      <c r="W157" s="1" t="s">
        <v>52</v>
      </c>
      <c r="X157" s="1">
        <v>429502</v>
      </c>
      <c r="Y157" s="2">
        <v>35631</v>
      </c>
      <c r="Z157" s="1">
        <v>-1.8210262828535599</v>
      </c>
      <c r="AA157" s="1">
        <v>26</v>
      </c>
      <c r="AB157" s="1">
        <v>184000</v>
      </c>
      <c r="AC157" s="1">
        <f t="shared" si="2"/>
        <v>214000</v>
      </c>
    </row>
    <row r="158" spans="1:29" x14ac:dyDescent="0.25">
      <c r="A158" s="1" t="s">
        <v>3423</v>
      </c>
      <c r="B158" s="1" t="s">
        <v>3424</v>
      </c>
      <c r="C158" s="1" t="s">
        <v>3425</v>
      </c>
      <c r="D158" s="1">
        <v>2018</v>
      </c>
      <c r="E158" s="1" t="s">
        <v>31</v>
      </c>
      <c r="F158" s="1">
        <v>4</v>
      </c>
      <c r="G158" s="1" t="s">
        <v>32</v>
      </c>
      <c r="H158" s="1" t="s">
        <v>122</v>
      </c>
      <c r="I158" s="1">
        <v>169000</v>
      </c>
      <c r="J158" s="1">
        <v>154000</v>
      </c>
      <c r="K158" s="1">
        <v>15000</v>
      </c>
      <c r="L158" s="1">
        <v>0</v>
      </c>
      <c r="M158" s="1" t="s">
        <v>34</v>
      </c>
      <c r="N158" s="1" t="s">
        <v>35</v>
      </c>
      <c r="O158" s="1" t="s">
        <v>64</v>
      </c>
      <c r="P158" s="1" t="s">
        <v>65</v>
      </c>
      <c r="Q158" s="1" t="s">
        <v>38</v>
      </c>
      <c r="R158" s="1" t="s">
        <v>3426</v>
      </c>
      <c r="S158" s="3">
        <v>918727000000</v>
      </c>
      <c r="T158" s="1" t="s">
        <v>74</v>
      </c>
      <c r="U158" s="1">
        <v>73</v>
      </c>
      <c r="V158" s="1">
        <v>77</v>
      </c>
      <c r="W158" s="1" t="s">
        <v>41</v>
      </c>
      <c r="X158" s="1">
        <v>373456</v>
      </c>
      <c r="Y158" s="2">
        <v>37148</v>
      </c>
      <c r="Z158" s="1">
        <v>-1.8210262828535599</v>
      </c>
      <c r="AA158" s="1">
        <v>22</v>
      </c>
      <c r="AB158" s="1">
        <v>676000</v>
      </c>
      <c r="AC158" s="1">
        <f t="shared" si="2"/>
        <v>736000</v>
      </c>
    </row>
    <row r="159" spans="1:29" x14ac:dyDescent="0.25">
      <c r="A159" s="1" t="s">
        <v>3459</v>
      </c>
      <c r="B159" s="1" t="s">
        <v>3460</v>
      </c>
      <c r="C159" s="1" t="s">
        <v>3461</v>
      </c>
      <c r="D159" s="1">
        <v>2018</v>
      </c>
      <c r="E159" s="1" t="s">
        <v>31</v>
      </c>
      <c r="F159" s="1">
        <v>4</v>
      </c>
      <c r="G159" s="1" t="s">
        <v>32</v>
      </c>
      <c r="H159" s="1" t="s">
        <v>56</v>
      </c>
      <c r="I159" s="1">
        <v>169000</v>
      </c>
      <c r="J159" s="1">
        <v>154000</v>
      </c>
      <c r="K159" s="1">
        <v>15000</v>
      </c>
      <c r="L159" s="1">
        <v>0</v>
      </c>
      <c r="M159" s="1" t="s">
        <v>34</v>
      </c>
      <c r="N159" s="1" t="s">
        <v>63</v>
      </c>
      <c r="O159" s="1" t="s">
        <v>188</v>
      </c>
      <c r="P159" s="1" t="s">
        <v>189</v>
      </c>
      <c r="Q159" s="1" t="s">
        <v>38</v>
      </c>
      <c r="R159" s="1" t="s">
        <v>3462</v>
      </c>
      <c r="S159" s="3">
        <v>917645000000</v>
      </c>
      <c r="T159" s="1" t="s">
        <v>51</v>
      </c>
      <c r="U159" s="1">
        <v>73</v>
      </c>
      <c r="V159" s="1">
        <v>71</v>
      </c>
      <c r="W159" s="1" t="s">
        <v>41</v>
      </c>
      <c r="X159" s="1">
        <v>668935</v>
      </c>
      <c r="Y159" s="2">
        <v>38843</v>
      </c>
      <c r="Z159" s="1">
        <v>-1.8210262828535599</v>
      </c>
      <c r="AA159" s="1">
        <v>18</v>
      </c>
      <c r="AB159" s="1">
        <v>676000</v>
      </c>
      <c r="AC159" s="1">
        <f t="shared" si="2"/>
        <v>736000</v>
      </c>
    </row>
    <row r="160" spans="1:29" x14ac:dyDescent="0.25">
      <c r="A160" s="1" t="s">
        <v>3513</v>
      </c>
      <c r="B160" s="1" t="s">
        <v>3514</v>
      </c>
      <c r="C160" s="1" t="s">
        <v>3515</v>
      </c>
      <c r="D160" s="1">
        <v>2018</v>
      </c>
      <c r="E160" s="1" t="s">
        <v>31</v>
      </c>
      <c r="F160" s="1">
        <v>4</v>
      </c>
      <c r="G160" s="1" t="s">
        <v>32</v>
      </c>
      <c r="H160" s="1" t="s">
        <v>47</v>
      </c>
      <c r="I160" s="1">
        <v>169000</v>
      </c>
      <c r="J160" s="1">
        <v>154000</v>
      </c>
      <c r="K160" s="1">
        <v>15000</v>
      </c>
      <c r="L160" s="1">
        <v>0</v>
      </c>
      <c r="M160" s="1" t="s">
        <v>34</v>
      </c>
      <c r="N160" s="1" t="s">
        <v>63</v>
      </c>
      <c r="O160" s="1" t="s">
        <v>91</v>
      </c>
      <c r="P160" s="1" t="s">
        <v>92</v>
      </c>
      <c r="Q160" s="1" t="s">
        <v>38</v>
      </c>
      <c r="R160" s="1" t="s">
        <v>3516</v>
      </c>
      <c r="S160" s="3">
        <v>919921000000</v>
      </c>
      <c r="T160" s="1" t="s">
        <v>98</v>
      </c>
      <c r="U160" s="1">
        <v>72</v>
      </c>
      <c r="V160" s="1">
        <v>71</v>
      </c>
      <c r="W160" s="1" t="s">
        <v>52</v>
      </c>
      <c r="X160" s="1">
        <v>408135</v>
      </c>
      <c r="Y160" s="2">
        <v>36965</v>
      </c>
      <c r="Z160" s="1">
        <v>-2.8210262828535599</v>
      </c>
      <c r="AA160" s="1">
        <v>23</v>
      </c>
      <c r="AB160" s="1">
        <v>676000</v>
      </c>
      <c r="AC160" s="1">
        <f t="shared" si="2"/>
        <v>736000</v>
      </c>
    </row>
    <row r="161" spans="1:29" x14ac:dyDescent="0.25">
      <c r="A161" s="1" t="s">
        <v>3608</v>
      </c>
      <c r="B161" s="1" t="s">
        <v>1787</v>
      </c>
      <c r="C161" s="1" t="s">
        <v>1788</v>
      </c>
      <c r="D161" s="1">
        <v>2018</v>
      </c>
      <c r="E161" s="1" t="s">
        <v>31</v>
      </c>
      <c r="F161" s="1">
        <v>4</v>
      </c>
      <c r="G161" s="1" t="s">
        <v>32</v>
      </c>
      <c r="H161" s="1" t="s">
        <v>33</v>
      </c>
      <c r="I161" s="1">
        <v>169000</v>
      </c>
      <c r="J161" s="1">
        <v>154000</v>
      </c>
      <c r="K161" s="1">
        <v>15000</v>
      </c>
      <c r="L161" s="1">
        <v>0</v>
      </c>
      <c r="M161" s="1" t="s">
        <v>34</v>
      </c>
      <c r="N161" s="1" t="s">
        <v>70</v>
      </c>
      <c r="O161" s="1" t="s">
        <v>91</v>
      </c>
      <c r="P161" s="1" t="s">
        <v>92</v>
      </c>
      <c r="Q161" s="1" t="s">
        <v>38</v>
      </c>
      <c r="R161" s="1" t="s">
        <v>3609</v>
      </c>
      <c r="S161" s="3">
        <v>917596000000</v>
      </c>
      <c r="T161" s="1" t="s">
        <v>40</v>
      </c>
      <c r="U161" s="1">
        <v>72</v>
      </c>
      <c r="V161" s="1">
        <v>61</v>
      </c>
      <c r="W161" s="1" t="s">
        <v>41</v>
      </c>
      <c r="X161" s="1">
        <v>158489</v>
      </c>
      <c r="Y161" s="2">
        <v>37209</v>
      </c>
      <c r="Z161" s="1">
        <v>-2.8210262828535599</v>
      </c>
      <c r="AA161" s="1">
        <v>22</v>
      </c>
      <c r="AB161" s="1">
        <v>676000</v>
      </c>
      <c r="AC161" s="1">
        <f t="shared" si="2"/>
        <v>736000</v>
      </c>
    </row>
    <row r="162" spans="1:29" x14ac:dyDescent="0.25">
      <c r="A162" s="1" t="s">
        <v>3618</v>
      </c>
      <c r="B162" s="1" t="s">
        <v>3619</v>
      </c>
      <c r="C162" s="1" t="s">
        <v>3620</v>
      </c>
      <c r="D162" s="1">
        <v>2018</v>
      </c>
      <c r="E162" s="1" t="s">
        <v>31</v>
      </c>
      <c r="F162" s="1">
        <v>4</v>
      </c>
      <c r="G162" s="1" t="s">
        <v>32</v>
      </c>
      <c r="H162" s="1" t="s">
        <v>33</v>
      </c>
      <c r="I162" s="1">
        <v>169000</v>
      </c>
      <c r="J162" s="1">
        <v>154000</v>
      </c>
      <c r="K162" s="1">
        <v>15000</v>
      </c>
      <c r="L162" s="1">
        <v>0</v>
      </c>
      <c r="M162" s="1" t="s">
        <v>34</v>
      </c>
      <c r="N162" s="1" t="s">
        <v>70</v>
      </c>
      <c r="O162" s="1" t="s">
        <v>71</v>
      </c>
      <c r="P162" s="1" t="s">
        <v>72</v>
      </c>
      <c r="Q162" s="1" t="s">
        <v>38</v>
      </c>
      <c r="R162" s="1" t="s">
        <v>3621</v>
      </c>
      <c r="S162" s="3">
        <v>917066000000</v>
      </c>
      <c r="T162" s="1" t="s">
        <v>98</v>
      </c>
      <c r="U162" s="1">
        <v>72</v>
      </c>
      <c r="V162" s="1">
        <v>60</v>
      </c>
      <c r="W162" s="1" t="s">
        <v>41</v>
      </c>
      <c r="X162" s="1">
        <v>792836</v>
      </c>
      <c r="Y162" s="2">
        <v>38163</v>
      </c>
      <c r="Z162" s="1">
        <v>-2.8210262828535599</v>
      </c>
      <c r="AA162" s="1">
        <v>20</v>
      </c>
      <c r="AB162" s="1">
        <v>676000</v>
      </c>
      <c r="AC162" s="1">
        <f t="shared" si="2"/>
        <v>736000</v>
      </c>
    </row>
    <row r="163" spans="1:29" x14ac:dyDescent="0.25">
      <c r="A163" s="1" t="s">
        <v>3709</v>
      </c>
      <c r="B163" s="1" t="s">
        <v>3710</v>
      </c>
      <c r="C163" s="1" t="s">
        <v>3711</v>
      </c>
      <c r="D163" s="1">
        <v>2018</v>
      </c>
      <c r="E163" s="1" t="s">
        <v>31</v>
      </c>
      <c r="F163" s="1">
        <v>4</v>
      </c>
      <c r="G163" s="1" t="s">
        <v>32</v>
      </c>
      <c r="H163" s="1" t="s">
        <v>102</v>
      </c>
      <c r="I163" s="1">
        <v>169000</v>
      </c>
      <c r="J163" s="1">
        <v>154000</v>
      </c>
      <c r="K163" s="1">
        <v>15000</v>
      </c>
      <c r="L163" s="1">
        <v>0</v>
      </c>
      <c r="M163" s="1" t="s">
        <v>34</v>
      </c>
      <c r="N163" s="1" t="s">
        <v>63</v>
      </c>
      <c r="O163" s="1" t="s">
        <v>64</v>
      </c>
      <c r="P163" s="1" t="s">
        <v>65</v>
      </c>
      <c r="Q163" s="1" t="s">
        <v>38</v>
      </c>
      <c r="R163" s="1" t="s">
        <v>3712</v>
      </c>
      <c r="S163" s="3">
        <v>918461000000</v>
      </c>
      <c r="T163" s="1" t="s">
        <v>98</v>
      </c>
      <c r="U163" s="1">
        <v>71</v>
      </c>
      <c r="V163" s="1">
        <v>78</v>
      </c>
      <c r="W163" s="1" t="s">
        <v>41</v>
      </c>
      <c r="X163" s="1">
        <v>478696</v>
      </c>
      <c r="Y163" s="2">
        <v>37485</v>
      </c>
      <c r="Z163" s="1">
        <v>-3.8210262828535599</v>
      </c>
      <c r="AA163" s="1">
        <v>21</v>
      </c>
      <c r="AB163" s="1">
        <v>676000</v>
      </c>
      <c r="AC163" s="1">
        <f t="shared" si="2"/>
        <v>736000</v>
      </c>
    </row>
    <row r="164" spans="1:29" x14ac:dyDescent="0.25">
      <c r="A164" s="1" t="s">
        <v>3715</v>
      </c>
      <c r="B164" s="1" t="s">
        <v>3716</v>
      </c>
      <c r="C164" s="1" t="s">
        <v>3717</v>
      </c>
      <c r="D164" s="1">
        <v>2018</v>
      </c>
      <c r="E164" s="1" t="s">
        <v>31</v>
      </c>
      <c r="F164" s="1">
        <v>4</v>
      </c>
      <c r="G164" s="1" t="s">
        <v>32</v>
      </c>
      <c r="H164" s="1" t="s">
        <v>62</v>
      </c>
      <c r="I164" s="1">
        <v>169000</v>
      </c>
      <c r="J164" s="1">
        <v>154000</v>
      </c>
      <c r="K164" s="1">
        <v>15000</v>
      </c>
      <c r="L164" s="1">
        <v>0</v>
      </c>
      <c r="M164" s="1" t="s">
        <v>34</v>
      </c>
      <c r="N164" s="1" t="s">
        <v>70</v>
      </c>
      <c r="O164" s="1" t="s">
        <v>57</v>
      </c>
      <c r="P164" s="1" t="s">
        <v>57</v>
      </c>
      <c r="Q164" s="1" t="s">
        <v>38</v>
      </c>
      <c r="R164" s="1" t="s">
        <v>3718</v>
      </c>
      <c r="S164" s="3">
        <v>918810000000</v>
      </c>
      <c r="T164" s="1" t="s">
        <v>74</v>
      </c>
      <c r="U164" s="1">
        <v>71</v>
      </c>
      <c r="V164" s="1">
        <v>90</v>
      </c>
      <c r="W164" s="1" t="s">
        <v>41</v>
      </c>
      <c r="X164" s="1">
        <v>389891</v>
      </c>
      <c r="Y164" s="2">
        <v>37740</v>
      </c>
      <c r="Z164" s="1">
        <v>-3.8210262828535599</v>
      </c>
      <c r="AA164" s="1">
        <v>21</v>
      </c>
      <c r="AB164" s="1">
        <v>676000</v>
      </c>
      <c r="AC164" s="1">
        <f t="shared" si="2"/>
        <v>736000</v>
      </c>
    </row>
    <row r="165" spans="1:29" x14ac:dyDescent="0.25">
      <c r="A165" s="1" t="s">
        <v>3767</v>
      </c>
      <c r="B165" s="1" t="s">
        <v>1980</v>
      </c>
      <c r="C165" s="1" t="s">
        <v>1981</v>
      </c>
      <c r="D165" s="1">
        <v>2018</v>
      </c>
      <c r="E165" s="1" t="s">
        <v>31</v>
      </c>
      <c r="F165" s="1">
        <v>4</v>
      </c>
      <c r="G165" s="1" t="s">
        <v>32</v>
      </c>
      <c r="H165" s="1" t="s">
        <v>90</v>
      </c>
      <c r="I165" s="1">
        <v>169000</v>
      </c>
      <c r="J165" s="1">
        <v>154000</v>
      </c>
      <c r="K165" s="1">
        <v>15000</v>
      </c>
      <c r="L165" s="1">
        <v>0</v>
      </c>
      <c r="M165" s="1" t="s">
        <v>34</v>
      </c>
      <c r="N165" s="1" t="s">
        <v>70</v>
      </c>
      <c r="O165" s="1" t="s">
        <v>78</v>
      </c>
      <c r="P165" s="1" t="s">
        <v>79</v>
      </c>
      <c r="Q165" s="1" t="s">
        <v>38</v>
      </c>
      <c r="R165" s="1" t="s">
        <v>3768</v>
      </c>
      <c r="S165" s="3">
        <v>917804000000</v>
      </c>
      <c r="T165" s="1" t="s">
        <v>40</v>
      </c>
      <c r="U165" s="1">
        <v>71</v>
      </c>
      <c r="V165" s="1">
        <v>69</v>
      </c>
      <c r="W165" s="1" t="s">
        <v>41</v>
      </c>
      <c r="X165" s="1">
        <v>110527</v>
      </c>
      <c r="Y165" s="2">
        <v>38137</v>
      </c>
      <c r="Z165" s="1">
        <v>-3.8210262828535599</v>
      </c>
      <c r="AA165" s="1">
        <v>20</v>
      </c>
      <c r="AB165" s="1">
        <v>676000</v>
      </c>
      <c r="AC165" s="1">
        <f t="shared" si="2"/>
        <v>736000</v>
      </c>
    </row>
    <row r="166" spans="1:29" x14ac:dyDescent="0.25">
      <c r="A166" s="1" t="s">
        <v>3781</v>
      </c>
      <c r="B166" s="1" t="s">
        <v>401</v>
      </c>
      <c r="C166" s="1" t="s">
        <v>402</v>
      </c>
      <c r="D166" s="1">
        <v>2018</v>
      </c>
      <c r="E166" s="1" t="s">
        <v>45</v>
      </c>
      <c r="F166" s="1">
        <v>2</v>
      </c>
      <c r="G166" s="1" t="s">
        <v>46</v>
      </c>
      <c r="H166" s="1" t="s">
        <v>47</v>
      </c>
      <c r="I166" s="1">
        <v>92000</v>
      </c>
      <c r="J166" s="1">
        <v>77000</v>
      </c>
      <c r="K166" s="1">
        <v>15000</v>
      </c>
      <c r="L166" s="1">
        <v>0</v>
      </c>
      <c r="M166" s="1" t="s">
        <v>34</v>
      </c>
      <c r="N166" s="1" t="s">
        <v>63</v>
      </c>
      <c r="O166" s="1" t="s">
        <v>64</v>
      </c>
      <c r="P166" s="1" t="s">
        <v>65</v>
      </c>
      <c r="Q166" s="1" t="s">
        <v>38</v>
      </c>
      <c r="R166" s="1" t="s">
        <v>3782</v>
      </c>
      <c r="S166" s="3">
        <v>918119000000</v>
      </c>
      <c r="T166" s="1" t="s">
        <v>86</v>
      </c>
      <c r="U166" s="1">
        <v>71</v>
      </c>
      <c r="V166" s="1">
        <v>86</v>
      </c>
      <c r="W166" s="1" t="s">
        <v>52</v>
      </c>
      <c r="X166" s="1">
        <v>139385</v>
      </c>
      <c r="Y166" s="2">
        <v>36965</v>
      </c>
      <c r="Z166" s="1">
        <v>-3.8210262828535599</v>
      </c>
      <c r="AA166" s="1">
        <v>23</v>
      </c>
      <c r="AB166" s="1">
        <v>184000</v>
      </c>
      <c r="AC166" s="1">
        <f t="shared" si="2"/>
        <v>214000</v>
      </c>
    </row>
    <row r="167" spans="1:29" x14ac:dyDescent="0.25">
      <c r="A167" s="1" t="s">
        <v>3783</v>
      </c>
      <c r="B167" s="1" t="s">
        <v>3784</v>
      </c>
      <c r="C167" s="1" t="s">
        <v>3785</v>
      </c>
      <c r="D167" s="1">
        <v>2018</v>
      </c>
      <c r="E167" s="1" t="s">
        <v>45</v>
      </c>
      <c r="F167" s="1">
        <v>2</v>
      </c>
      <c r="G167" s="1" t="s">
        <v>46</v>
      </c>
      <c r="H167" s="1" t="s">
        <v>62</v>
      </c>
      <c r="I167" s="1">
        <v>92000</v>
      </c>
      <c r="J167" s="1">
        <v>77000</v>
      </c>
      <c r="K167" s="1">
        <v>15000</v>
      </c>
      <c r="L167" s="1">
        <v>0</v>
      </c>
      <c r="M167" s="1" t="s">
        <v>34</v>
      </c>
      <c r="N167" s="1" t="s">
        <v>35</v>
      </c>
      <c r="O167" s="1" t="s">
        <v>91</v>
      </c>
      <c r="P167" s="1" t="s">
        <v>92</v>
      </c>
      <c r="Q167" s="1" t="s">
        <v>38</v>
      </c>
      <c r="R167" s="1" t="s">
        <v>3786</v>
      </c>
      <c r="S167" s="3">
        <v>917680000000</v>
      </c>
      <c r="T167" s="1" t="s">
        <v>86</v>
      </c>
      <c r="U167" s="1">
        <v>71</v>
      </c>
      <c r="V167" s="1">
        <v>70</v>
      </c>
      <c r="W167" s="1" t="s">
        <v>52</v>
      </c>
      <c r="X167" s="1">
        <v>388591</v>
      </c>
      <c r="Y167" s="2">
        <v>35537</v>
      </c>
      <c r="Z167" s="1">
        <v>-3.8210262828535599</v>
      </c>
      <c r="AA167" s="1">
        <v>27</v>
      </c>
      <c r="AB167" s="1">
        <v>184000</v>
      </c>
      <c r="AC167" s="1">
        <f t="shared" si="2"/>
        <v>214000</v>
      </c>
    </row>
    <row r="168" spans="1:29" x14ac:dyDescent="0.25">
      <c r="A168" s="1" t="s">
        <v>3791</v>
      </c>
      <c r="B168" s="1" t="s">
        <v>3792</v>
      </c>
      <c r="C168" s="1" t="s">
        <v>3793</v>
      </c>
      <c r="D168" s="1">
        <v>2018</v>
      </c>
      <c r="E168" s="1" t="s">
        <v>31</v>
      </c>
      <c r="F168" s="1">
        <v>4</v>
      </c>
      <c r="G168" s="1" t="s">
        <v>32</v>
      </c>
      <c r="H168" s="1" t="s">
        <v>56</v>
      </c>
      <c r="I168" s="1">
        <v>169000</v>
      </c>
      <c r="J168" s="1">
        <v>154000</v>
      </c>
      <c r="K168" s="1">
        <v>15000</v>
      </c>
      <c r="L168" s="1">
        <v>0</v>
      </c>
      <c r="M168" s="1" t="s">
        <v>34</v>
      </c>
      <c r="N168" s="1" t="s">
        <v>70</v>
      </c>
      <c r="O168" s="1" t="s">
        <v>48</v>
      </c>
      <c r="P168" s="1" t="s">
        <v>49</v>
      </c>
      <c r="Q168" s="1" t="s">
        <v>38</v>
      </c>
      <c r="R168" s="1" t="s">
        <v>3794</v>
      </c>
      <c r="S168" s="3">
        <v>919844000000</v>
      </c>
      <c r="T168" s="1" t="s">
        <v>86</v>
      </c>
      <c r="U168" s="1">
        <v>71</v>
      </c>
      <c r="V168" s="1">
        <v>88</v>
      </c>
      <c r="W168" s="1" t="s">
        <v>52</v>
      </c>
      <c r="X168" s="1">
        <v>792441</v>
      </c>
      <c r="Y168" s="2">
        <v>38216</v>
      </c>
      <c r="Z168" s="1">
        <v>-3.8210262828535599</v>
      </c>
      <c r="AA168" s="1">
        <v>19</v>
      </c>
      <c r="AB168" s="1">
        <v>676000</v>
      </c>
      <c r="AC168" s="1">
        <f t="shared" si="2"/>
        <v>736000</v>
      </c>
    </row>
    <row r="169" spans="1:29" x14ac:dyDescent="0.25">
      <c r="A169" s="1" t="s">
        <v>3837</v>
      </c>
      <c r="B169" s="1" t="s">
        <v>2272</v>
      </c>
      <c r="C169" s="1" t="s">
        <v>2273</v>
      </c>
      <c r="D169" s="1">
        <v>2018</v>
      </c>
      <c r="E169" s="1" t="s">
        <v>45</v>
      </c>
      <c r="F169" s="1">
        <v>2</v>
      </c>
      <c r="G169" s="1" t="s">
        <v>46</v>
      </c>
      <c r="H169" s="1" t="s">
        <v>90</v>
      </c>
      <c r="I169" s="1">
        <v>92000</v>
      </c>
      <c r="J169" s="1">
        <v>77000</v>
      </c>
      <c r="K169" s="1">
        <v>15000</v>
      </c>
      <c r="L169" s="1">
        <v>0</v>
      </c>
      <c r="M169" s="1" t="s">
        <v>34</v>
      </c>
      <c r="N169" s="1" t="s">
        <v>63</v>
      </c>
      <c r="O169" s="1" t="s">
        <v>91</v>
      </c>
      <c r="P169" s="1" t="s">
        <v>92</v>
      </c>
      <c r="Q169" s="1" t="s">
        <v>38</v>
      </c>
      <c r="R169" s="1" t="s">
        <v>3838</v>
      </c>
      <c r="S169" s="3">
        <v>917324000000</v>
      </c>
      <c r="T169" s="1" t="s">
        <v>40</v>
      </c>
      <c r="U169" s="1">
        <v>70</v>
      </c>
      <c r="V169" s="1">
        <v>72</v>
      </c>
      <c r="W169" s="1" t="s">
        <v>52</v>
      </c>
      <c r="X169" s="1">
        <v>541954</v>
      </c>
      <c r="Y169" s="2">
        <v>36045</v>
      </c>
      <c r="Z169" s="1">
        <v>-4.8210262828535599</v>
      </c>
      <c r="AA169" s="1">
        <v>25</v>
      </c>
      <c r="AB169" s="1">
        <v>184000</v>
      </c>
      <c r="AC169" s="1">
        <f t="shared" si="2"/>
        <v>214000</v>
      </c>
    </row>
    <row r="170" spans="1:29" x14ac:dyDescent="0.25">
      <c r="A170" s="1" t="s">
        <v>3863</v>
      </c>
      <c r="B170" s="1" t="s">
        <v>3864</v>
      </c>
      <c r="C170" s="1" t="s">
        <v>3865</v>
      </c>
      <c r="D170" s="1">
        <v>2018</v>
      </c>
      <c r="E170" s="1" t="s">
        <v>31</v>
      </c>
      <c r="F170" s="1">
        <v>4</v>
      </c>
      <c r="G170" s="1" t="s">
        <v>32</v>
      </c>
      <c r="H170" s="1" t="s">
        <v>113</v>
      </c>
      <c r="I170" s="1">
        <v>169000</v>
      </c>
      <c r="J170" s="1">
        <v>154000</v>
      </c>
      <c r="K170" s="1">
        <v>15000</v>
      </c>
      <c r="L170" s="1">
        <v>0</v>
      </c>
      <c r="M170" s="1" t="s">
        <v>34</v>
      </c>
      <c r="N170" s="1" t="s">
        <v>35</v>
      </c>
      <c r="O170" s="1" t="s">
        <v>48</v>
      </c>
      <c r="P170" s="1" t="s">
        <v>49</v>
      </c>
      <c r="Q170" s="1" t="s">
        <v>38</v>
      </c>
      <c r="R170" s="1" t="s">
        <v>3866</v>
      </c>
      <c r="S170" s="3">
        <v>919634000000</v>
      </c>
      <c r="T170" s="1" t="s">
        <v>40</v>
      </c>
      <c r="U170" s="1">
        <v>70</v>
      </c>
      <c r="V170" s="1">
        <v>73</v>
      </c>
      <c r="W170" s="1" t="s">
        <v>41</v>
      </c>
      <c r="X170" s="1">
        <v>156768</v>
      </c>
      <c r="Y170" s="2">
        <v>37179</v>
      </c>
      <c r="Z170" s="1">
        <v>-4.8210262828535599</v>
      </c>
      <c r="AA170" s="1">
        <v>22</v>
      </c>
      <c r="AB170" s="1">
        <v>676000</v>
      </c>
      <c r="AC170" s="1">
        <f t="shared" si="2"/>
        <v>736000</v>
      </c>
    </row>
    <row r="171" spans="1:29" x14ac:dyDescent="0.25">
      <c r="A171" s="1" t="s">
        <v>3869</v>
      </c>
      <c r="B171" s="1" t="s">
        <v>3870</v>
      </c>
      <c r="C171" s="1" t="s">
        <v>3871</v>
      </c>
      <c r="D171" s="1">
        <v>2018</v>
      </c>
      <c r="E171" s="1" t="s">
        <v>31</v>
      </c>
      <c r="F171" s="1">
        <v>4</v>
      </c>
      <c r="G171" s="1" t="s">
        <v>32</v>
      </c>
      <c r="H171" s="1" t="s">
        <v>102</v>
      </c>
      <c r="I171" s="1">
        <v>169000</v>
      </c>
      <c r="J171" s="1">
        <v>154000</v>
      </c>
      <c r="K171" s="1">
        <v>15000</v>
      </c>
      <c r="L171" s="1">
        <v>0</v>
      </c>
      <c r="M171" s="1" t="s">
        <v>34</v>
      </c>
      <c r="N171" s="1" t="s">
        <v>70</v>
      </c>
      <c r="O171" s="1" t="s">
        <v>36</v>
      </c>
      <c r="P171" s="1" t="s">
        <v>37</v>
      </c>
      <c r="Q171" s="1" t="s">
        <v>38</v>
      </c>
      <c r="R171" s="1" t="s">
        <v>3872</v>
      </c>
      <c r="S171" s="3">
        <v>917528000000</v>
      </c>
      <c r="T171" s="1" t="s">
        <v>40</v>
      </c>
      <c r="U171" s="1">
        <v>70</v>
      </c>
      <c r="V171" s="1">
        <v>62</v>
      </c>
      <c r="W171" s="1" t="s">
        <v>52</v>
      </c>
      <c r="X171" s="1">
        <v>781987</v>
      </c>
      <c r="Y171" s="2">
        <v>37710</v>
      </c>
      <c r="Z171" s="1">
        <v>-4.8210262828535599</v>
      </c>
      <c r="AA171" s="1">
        <v>21</v>
      </c>
      <c r="AB171" s="1">
        <v>676000</v>
      </c>
      <c r="AC171" s="1">
        <f t="shared" si="2"/>
        <v>736000</v>
      </c>
    </row>
    <row r="172" spans="1:29" x14ac:dyDescent="0.25">
      <c r="A172" s="1" t="s">
        <v>3881</v>
      </c>
      <c r="B172" s="1" t="s">
        <v>3882</v>
      </c>
      <c r="C172" s="1" t="s">
        <v>3883</v>
      </c>
      <c r="D172" s="1">
        <v>2018</v>
      </c>
      <c r="E172" s="1" t="s">
        <v>31</v>
      </c>
      <c r="F172" s="1">
        <v>4</v>
      </c>
      <c r="G172" s="1" t="s">
        <v>32</v>
      </c>
      <c r="H172" s="1" t="s">
        <v>33</v>
      </c>
      <c r="I172" s="1">
        <v>169000</v>
      </c>
      <c r="J172" s="1">
        <v>154000</v>
      </c>
      <c r="K172" s="1">
        <v>15000</v>
      </c>
      <c r="L172" s="1">
        <v>0</v>
      </c>
      <c r="M172" s="1" t="s">
        <v>34</v>
      </c>
      <c r="N172" s="1" t="s">
        <v>70</v>
      </c>
      <c r="O172" s="1" t="s">
        <v>64</v>
      </c>
      <c r="P172" s="1" t="s">
        <v>65</v>
      </c>
      <c r="Q172" s="1" t="s">
        <v>38</v>
      </c>
      <c r="R172" s="1" t="s">
        <v>3884</v>
      </c>
      <c r="S172" s="3">
        <v>919213000000</v>
      </c>
      <c r="T172" s="1" t="s">
        <v>74</v>
      </c>
      <c r="U172" s="1">
        <v>70</v>
      </c>
      <c r="V172" s="1">
        <v>75</v>
      </c>
      <c r="W172" s="1" t="s">
        <v>52</v>
      </c>
      <c r="X172" s="1">
        <v>307313</v>
      </c>
      <c r="Y172" s="2">
        <v>38361</v>
      </c>
      <c r="Z172" s="1">
        <v>-4.8210262828535599</v>
      </c>
      <c r="AA172" s="1">
        <v>19</v>
      </c>
      <c r="AB172" s="1">
        <v>676000</v>
      </c>
      <c r="AC172" s="1">
        <f t="shared" si="2"/>
        <v>736000</v>
      </c>
    </row>
    <row r="173" spans="1:29" x14ac:dyDescent="0.25">
      <c r="A173" s="1" t="s">
        <v>3919</v>
      </c>
      <c r="B173" s="1" t="s">
        <v>3920</v>
      </c>
      <c r="C173" s="1" t="s">
        <v>3921</v>
      </c>
      <c r="D173" s="1">
        <v>2018</v>
      </c>
      <c r="E173" s="1" t="s">
        <v>31</v>
      </c>
      <c r="F173" s="1">
        <v>4</v>
      </c>
      <c r="G173" s="1" t="s">
        <v>32</v>
      </c>
      <c r="H173" s="1" t="s">
        <v>62</v>
      </c>
      <c r="I173" s="1">
        <v>169000</v>
      </c>
      <c r="J173" s="1">
        <v>154000</v>
      </c>
      <c r="K173" s="1">
        <v>15000</v>
      </c>
      <c r="L173" s="1">
        <v>0</v>
      </c>
      <c r="M173" s="1" t="s">
        <v>34</v>
      </c>
      <c r="N173" s="1" t="s">
        <v>35</v>
      </c>
      <c r="O173" s="1" t="s">
        <v>84</v>
      </c>
      <c r="P173" s="1" t="s">
        <v>65</v>
      </c>
      <c r="Q173" s="1" t="s">
        <v>38</v>
      </c>
      <c r="R173" s="1" t="s">
        <v>3922</v>
      </c>
      <c r="S173" s="3">
        <v>918188000000</v>
      </c>
      <c r="T173" s="1" t="s">
        <v>74</v>
      </c>
      <c r="U173" s="1">
        <v>70</v>
      </c>
      <c r="V173" s="1">
        <v>69</v>
      </c>
      <c r="W173" s="1" t="s">
        <v>52</v>
      </c>
      <c r="X173" s="1">
        <v>450507</v>
      </c>
      <c r="Y173" s="2">
        <v>38868</v>
      </c>
      <c r="Z173" s="1">
        <v>-4.8210262828535599</v>
      </c>
      <c r="AA173" s="1">
        <v>18</v>
      </c>
      <c r="AB173" s="1">
        <v>676000</v>
      </c>
      <c r="AC173" s="1">
        <f t="shared" si="2"/>
        <v>736000</v>
      </c>
    </row>
    <row r="174" spans="1:29" x14ac:dyDescent="0.25">
      <c r="A174" s="1" t="s">
        <v>3993</v>
      </c>
      <c r="B174" s="1" t="s">
        <v>3994</v>
      </c>
      <c r="C174" s="1" t="s">
        <v>3995</v>
      </c>
      <c r="D174" s="1">
        <v>2018</v>
      </c>
      <c r="E174" s="1" t="s">
        <v>31</v>
      </c>
      <c r="F174" s="1">
        <v>4</v>
      </c>
      <c r="G174" s="1" t="s">
        <v>32</v>
      </c>
      <c r="H174" s="1" t="s">
        <v>90</v>
      </c>
      <c r="I174" s="1">
        <v>169000</v>
      </c>
      <c r="J174" s="1">
        <v>154000</v>
      </c>
      <c r="K174" s="1">
        <v>15000</v>
      </c>
      <c r="L174" s="1">
        <v>0</v>
      </c>
      <c r="M174" s="1" t="s">
        <v>34</v>
      </c>
      <c r="N174" s="1" t="s">
        <v>70</v>
      </c>
      <c r="O174" s="1" t="s">
        <v>103</v>
      </c>
      <c r="P174" s="1" t="s">
        <v>104</v>
      </c>
      <c r="Q174" s="1" t="s">
        <v>38</v>
      </c>
      <c r="R174" s="1" t="s">
        <v>3996</v>
      </c>
      <c r="S174" s="3">
        <v>919362000000</v>
      </c>
      <c r="T174" s="1" t="s">
        <v>40</v>
      </c>
      <c r="U174" s="1">
        <v>69</v>
      </c>
      <c r="V174" s="1">
        <v>69</v>
      </c>
      <c r="W174" s="1" t="s">
        <v>41</v>
      </c>
      <c r="X174" s="1">
        <v>549405</v>
      </c>
      <c r="Y174" s="2">
        <v>37143</v>
      </c>
      <c r="Z174" s="1">
        <v>-5.8210262828535599</v>
      </c>
      <c r="AA174" s="1">
        <v>22</v>
      </c>
      <c r="AB174" s="1">
        <v>676000</v>
      </c>
      <c r="AC174" s="1">
        <f t="shared" si="2"/>
        <v>736000</v>
      </c>
    </row>
    <row r="175" spans="1:29" x14ac:dyDescent="0.25">
      <c r="A175" s="1" t="s">
        <v>3999</v>
      </c>
      <c r="B175" s="1" t="s">
        <v>4000</v>
      </c>
      <c r="C175" s="1" t="s">
        <v>4001</v>
      </c>
      <c r="D175" s="1">
        <v>2018</v>
      </c>
      <c r="E175" s="1" t="s">
        <v>31</v>
      </c>
      <c r="F175" s="1">
        <v>4</v>
      </c>
      <c r="G175" s="1" t="s">
        <v>32</v>
      </c>
      <c r="H175" s="1" t="s">
        <v>122</v>
      </c>
      <c r="I175" s="1">
        <v>169000</v>
      </c>
      <c r="J175" s="1">
        <v>154000</v>
      </c>
      <c r="K175" s="1">
        <v>15000</v>
      </c>
      <c r="L175" s="1">
        <v>0</v>
      </c>
      <c r="M175" s="1" t="s">
        <v>34</v>
      </c>
      <c r="N175" s="1" t="s">
        <v>35</v>
      </c>
      <c r="O175" s="1" t="s">
        <v>84</v>
      </c>
      <c r="P175" s="1" t="s">
        <v>65</v>
      </c>
      <c r="Q175" s="1" t="s">
        <v>38</v>
      </c>
      <c r="R175" s="1" t="s">
        <v>4002</v>
      </c>
      <c r="S175" s="3">
        <v>917187000000</v>
      </c>
      <c r="T175" s="1" t="s">
        <v>98</v>
      </c>
      <c r="U175" s="1">
        <v>69</v>
      </c>
      <c r="V175" s="1">
        <v>87</v>
      </c>
      <c r="W175" s="1" t="s">
        <v>52</v>
      </c>
      <c r="X175" s="1">
        <v>598035</v>
      </c>
      <c r="Y175" s="2">
        <v>38039</v>
      </c>
      <c r="Z175" s="1">
        <v>-5.8210262828535599</v>
      </c>
      <c r="AA175" s="1">
        <v>20</v>
      </c>
      <c r="AB175" s="1">
        <v>676000</v>
      </c>
      <c r="AC175" s="1">
        <f t="shared" si="2"/>
        <v>736000</v>
      </c>
    </row>
    <row r="176" spans="1:29" x14ac:dyDescent="0.25">
      <c r="A176" s="1" t="s">
        <v>4031</v>
      </c>
      <c r="B176" s="1" t="s">
        <v>4032</v>
      </c>
      <c r="C176" s="1" t="s">
        <v>4033</v>
      </c>
      <c r="D176" s="1">
        <v>2018</v>
      </c>
      <c r="E176" s="1" t="s">
        <v>31</v>
      </c>
      <c r="F176" s="1">
        <v>4</v>
      </c>
      <c r="G176" s="1" t="s">
        <v>32</v>
      </c>
      <c r="H176" s="1" t="s">
        <v>62</v>
      </c>
      <c r="I176" s="1">
        <v>169000</v>
      </c>
      <c r="J176" s="1">
        <v>154000</v>
      </c>
      <c r="K176" s="1">
        <v>15000</v>
      </c>
      <c r="L176" s="1">
        <v>0</v>
      </c>
      <c r="M176" s="1" t="s">
        <v>34</v>
      </c>
      <c r="N176" s="1" t="s">
        <v>70</v>
      </c>
      <c r="O176" s="1" t="s">
        <v>78</v>
      </c>
      <c r="P176" s="1" t="s">
        <v>79</v>
      </c>
      <c r="Q176" s="1" t="s">
        <v>38</v>
      </c>
      <c r="R176" s="1" t="s">
        <v>4034</v>
      </c>
      <c r="S176" s="3">
        <v>918611000000</v>
      </c>
      <c r="T176" s="1" t="s">
        <v>86</v>
      </c>
      <c r="U176" s="1">
        <v>69</v>
      </c>
      <c r="V176" s="1">
        <v>83</v>
      </c>
      <c r="W176" s="1" t="s">
        <v>41</v>
      </c>
      <c r="X176" s="1">
        <v>375699</v>
      </c>
      <c r="Y176" s="2">
        <v>37618</v>
      </c>
      <c r="Z176" s="1">
        <v>-5.8210262828535599</v>
      </c>
      <c r="AA176" s="1">
        <v>21</v>
      </c>
      <c r="AB176" s="1">
        <v>676000</v>
      </c>
      <c r="AC176" s="1">
        <f t="shared" si="2"/>
        <v>736000</v>
      </c>
    </row>
    <row r="177" spans="1:29" x14ac:dyDescent="0.25">
      <c r="A177" s="1" t="s">
        <v>4039</v>
      </c>
      <c r="B177" s="1" t="s">
        <v>4040</v>
      </c>
      <c r="C177" s="1" t="s">
        <v>4041</v>
      </c>
      <c r="D177" s="1">
        <v>2018</v>
      </c>
      <c r="E177" s="1" t="s">
        <v>45</v>
      </c>
      <c r="F177" s="1">
        <v>2</v>
      </c>
      <c r="G177" s="1" t="s">
        <v>46</v>
      </c>
      <c r="H177" s="1" t="s">
        <v>102</v>
      </c>
      <c r="I177" s="1">
        <v>92000</v>
      </c>
      <c r="J177" s="1">
        <v>77000</v>
      </c>
      <c r="K177" s="1">
        <v>15000</v>
      </c>
      <c r="L177" s="1">
        <v>0</v>
      </c>
      <c r="M177" s="1" t="s">
        <v>34</v>
      </c>
      <c r="N177" s="1" t="s">
        <v>35</v>
      </c>
      <c r="O177" s="1" t="s">
        <v>64</v>
      </c>
      <c r="P177" s="1" t="s">
        <v>65</v>
      </c>
      <c r="Q177" s="1" t="s">
        <v>38</v>
      </c>
      <c r="R177" s="1" t="s">
        <v>4042</v>
      </c>
      <c r="S177" s="3">
        <v>918567000000</v>
      </c>
      <c r="T177" s="1" t="s">
        <v>51</v>
      </c>
      <c r="U177" s="1">
        <v>69</v>
      </c>
      <c r="V177" s="1">
        <v>87</v>
      </c>
      <c r="W177" s="1" t="s">
        <v>52</v>
      </c>
      <c r="X177" s="1">
        <v>688675</v>
      </c>
      <c r="Y177" s="2">
        <v>36745</v>
      </c>
      <c r="Z177" s="1">
        <v>-5.8210262828535599</v>
      </c>
      <c r="AA177" s="1">
        <v>23</v>
      </c>
      <c r="AB177" s="1">
        <v>184000</v>
      </c>
      <c r="AC177" s="1">
        <f t="shared" si="2"/>
        <v>214000</v>
      </c>
    </row>
    <row r="178" spans="1:29" x14ac:dyDescent="0.25">
      <c r="A178" s="1" t="s">
        <v>4058</v>
      </c>
      <c r="B178" s="1" t="s">
        <v>2650</v>
      </c>
      <c r="C178" s="1" t="s">
        <v>2651</v>
      </c>
      <c r="D178" s="1">
        <v>2018</v>
      </c>
      <c r="E178" s="1" t="s">
        <v>31</v>
      </c>
      <c r="F178" s="1">
        <v>4</v>
      </c>
      <c r="G178" s="1" t="s">
        <v>32</v>
      </c>
      <c r="H178" s="1" t="s">
        <v>102</v>
      </c>
      <c r="I178" s="1">
        <v>169000</v>
      </c>
      <c r="J178" s="1">
        <v>154000</v>
      </c>
      <c r="K178" s="1">
        <v>15000</v>
      </c>
      <c r="L178" s="1">
        <v>0</v>
      </c>
      <c r="M178" s="1" t="s">
        <v>34</v>
      </c>
      <c r="N178" s="1" t="s">
        <v>70</v>
      </c>
      <c r="O178" s="1" t="s">
        <v>64</v>
      </c>
      <c r="P178" s="1" t="s">
        <v>65</v>
      </c>
      <c r="Q178" s="1" t="s">
        <v>38</v>
      </c>
      <c r="R178" s="1" t="s">
        <v>4059</v>
      </c>
      <c r="S178" s="3">
        <v>918343000000</v>
      </c>
      <c r="T178" s="1" t="s">
        <v>74</v>
      </c>
      <c r="U178" s="1">
        <v>69</v>
      </c>
      <c r="V178" s="1">
        <v>78</v>
      </c>
      <c r="W178" s="1" t="s">
        <v>52</v>
      </c>
      <c r="X178" s="1">
        <v>525677</v>
      </c>
      <c r="Y178" s="2">
        <v>37327</v>
      </c>
      <c r="Z178" s="1">
        <v>-5.8210262828535599</v>
      </c>
      <c r="AA178" s="1">
        <v>22</v>
      </c>
      <c r="AB178" s="1">
        <v>676000</v>
      </c>
      <c r="AC178" s="1">
        <f t="shared" si="2"/>
        <v>736000</v>
      </c>
    </row>
    <row r="179" spans="1:29" x14ac:dyDescent="0.25">
      <c r="A179" s="1" t="s">
        <v>4060</v>
      </c>
      <c r="B179" s="1" t="s">
        <v>4061</v>
      </c>
      <c r="C179" s="1" t="s">
        <v>4062</v>
      </c>
      <c r="D179" s="1">
        <v>2018</v>
      </c>
      <c r="E179" s="1" t="s">
        <v>31</v>
      </c>
      <c r="F179" s="1">
        <v>4</v>
      </c>
      <c r="G179" s="1" t="s">
        <v>32</v>
      </c>
      <c r="H179" s="1" t="s">
        <v>90</v>
      </c>
      <c r="I179" s="1">
        <v>169000</v>
      </c>
      <c r="J179" s="1">
        <v>154000</v>
      </c>
      <c r="K179" s="1">
        <v>15000</v>
      </c>
      <c r="L179" s="1">
        <v>0</v>
      </c>
      <c r="M179" s="1" t="s">
        <v>34</v>
      </c>
      <c r="N179" s="1" t="s">
        <v>35</v>
      </c>
      <c r="O179" s="1" t="s">
        <v>36</v>
      </c>
      <c r="P179" s="1" t="s">
        <v>37</v>
      </c>
      <c r="Q179" s="1" t="s">
        <v>38</v>
      </c>
      <c r="R179" s="1" t="s">
        <v>4063</v>
      </c>
      <c r="S179" s="3">
        <v>918160000000</v>
      </c>
      <c r="T179" s="1" t="s">
        <v>51</v>
      </c>
      <c r="U179" s="1">
        <v>69</v>
      </c>
      <c r="V179" s="1">
        <v>89</v>
      </c>
      <c r="W179" s="1" t="s">
        <v>52</v>
      </c>
      <c r="X179" s="1">
        <v>670952</v>
      </c>
      <c r="Y179" s="2">
        <v>37909</v>
      </c>
      <c r="Z179" s="1">
        <v>-5.8210262828535599</v>
      </c>
      <c r="AA179" s="1">
        <v>20</v>
      </c>
      <c r="AB179" s="1">
        <v>676000</v>
      </c>
      <c r="AC179" s="1">
        <f t="shared" si="2"/>
        <v>736000</v>
      </c>
    </row>
    <row r="180" spans="1:29" x14ac:dyDescent="0.25">
      <c r="A180" s="1" t="s">
        <v>4102</v>
      </c>
      <c r="B180" s="1" t="s">
        <v>4103</v>
      </c>
      <c r="C180" s="1" t="s">
        <v>4104</v>
      </c>
      <c r="D180" s="1">
        <v>2018</v>
      </c>
      <c r="E180" s="1" t="s">
        <v>31</v>
      </c>
      <c r="F180" s="1">
        <v>4</v>
      </c>
      <c r="G180" s="1" t="s">
        <v>32</v>
      </c>
      <c r="H180" s="1" t="s">
        <v>102</v>
      </c>
      <c r="I180" s="1">
        <v>169000</v>
      </c>
      <c r="J180" s="1">
        <v>154000</v>
      </c>
      <c r="K180" s="1">
        <v>15000</v>
      </c>
      <c r="L180" s="1">
        <v>0</v>
      </c>
      <c r="M180" s="1" t="s">
        <v>34</v>
      </c>
      <c r="N180" s="1" t="s">
        <v>70</v>
      </c>
      <c r="O180" s="1" t="s">
        <v>48</v>
      </c>
      <c r="P180" s="1" t="s">
        <v>49</v>
      </c>
      <c r="Q180" s="1" t="s">
        <v>38</v>
      </c>
      <c r="R180" s="1" t="s">
        <v>4105</v>
      </c>
      <c r="S180" s="3">
        <v>918163000000</v>
      </c>
      <c r="T180" s="1" t="s">
        <v>74</v>
      </c>
      <c r="U180" s="1">
        <v>69</v>
      </c>
      <c r="V180" s="1">
        <v>66</v>
      </c>
      <c r="W180" s="1" t="s">
        <v>52</v>
      </c>
      <c r="X180" s="1">
        <v>380227</v>
      </c>
      <c r="Y180" s="2">
        <v>37028</v>
      </c>
      <c r="Z180" s="1">
        <v>-5.8210262828535599</v>
      </c>
      <c r="AA180" s="1">
        <v>23</v>
      </c>
      <c r="AB180" s="1">
        <v>676000</v>
      </c>
      <c r="AC180" s="1">
        <f t="shared" si="2"/>
        <v>736000</v>
      </c>
    </row>
    <row r="181" spans="1:29" x14ac:dyDescent="0.25">
      <c r="A181" s="1" t="s">
        <v>4124</v>
      </c>
      <c r="B181" s="1" t="s">
        <v>4125</v>
      </c>
      <c r="C181" s="1" t="s">
        <v>4126</v>
      </c>
      <c r="D181" s="1">
        <v>2018</v>
      </c>
      <c r="E181" s="1" t="s">
        <v>31</v>
      </c>
      <c r="F181" s="1">
        <v>4</v>
      </c>
      <c r="G181" s="1" t="s">
        <v>32</v>
      </c>
      <c r="H181" s="1" t="s">
        <v>113</v>
      </c>
      <c r="I181" s="1">
        <v>169000</v>
      </c>
      <c r="J181" s="1">
        <v>154000</v>
      </c>
      <c r="K181" s="1">
        <v>15000</v>
      </c>
      <c r="L181" s="1">
        <v>0</v>
      </c>
      <c r="M181" s="1" t="s">
        <v>34</v>
      </c>
      <c r="N181" s="1" t="s">
        <v>35</v>
      </c>
      <c r="O181" s="1" t="s">
        <v>78</v>
      </c>
      <c r="P181" s="1" t="s">
        <v>79</v>
      </c>
      <c r="Q181" s="1" t="s">
        <v>38</v>
      </c>
      <c r="R181" s="1" t="s">
        <v>4127</v>
      </c>
      <c r="S181" s="3">
        <v>917184000000</v>
      </c>
      <c r="T181" s="1" t="s">
        <v>40</v>
      </c>
      <c r="U181" s="1">
        <v>69</v>
      </c>
      <c r="V181" s="1">
        <v>81</v>
      </c>
      <c r="W181" s="1" t="s">
        <v>52</v>
      </c>
      <c r="X181" s="1">
        <v>751953</v>
      </c>
      <c r="Y181" s="2">
        <v>38890</v>
      </c>
      <c r="Z181" s="1">
        <v>-5.8210262828535599</v>
      </c>
      <c r="AA181" s="1">
        <v>18</v>
      </c>
      <c r="AB181" s="1">
        <v>676000</v>
      </c>
      <c r="AC181" s="1">
        <f t="shared" si="2"/>
        <v>736000</v>
      </c>
    </row>
    <row r="182" spans="1:29" x14ac:dyDescent="0.25">
      <c r="A182" s="1" t="s">
        <v>4207</v>
      </c>
      <c r="B182" s="1" t="s">
        <v>1031</v>
      </c>
      <c r="C182" s="1" t="s">
        <v>1032</v>
      </c>
      <c r="D182" s="1">
        <v>2018</v>
      </c>
      <c r="E182" s="1" t="s">
        <v>45</v>
      </c>
      <c r="F182" s="1">
        <v>2</v>
      </c>
      <c r="G182" s="1" t="s">
        <v>46</v>
      </c>
      <c r="H182" s="1" t="s">
        <v>113</v>
      </c>
      <c r="I182" s="1">
        <v>92000</v>
      </c>
      <c r="J182" s="1">
        <v>77000</v>
      </c>
      <c r="K182" s="1">
        <v>15000</v>
      </c>
      <c r="L182" s="1">
        <v>0</v>
      </c>
      <c r="M182" s="1" t="s">
        <v>34</v>
      </c>
      <c r="N182" s="1" t="s">
        <v>63</v>
      </c>
      <c r="O182" s="1" t="s">
        <v>36</v>
      </c>
      <c r="P182" s="1" t="s">
        <v>37</v>
      </c>
      <c r="Q182" s="1" t="s">
        <v>38</v>
      </c>
      <c r="R182" s="1" t="s">
        <v>4208</v>
      </c>
      <c r="S182" s="3">
        <v>918377000000</v>
      </c>
      <c r="T182" s="1" t="s">
        <v>98</v>
      </c>
      <c r="U182" s="1">
        <v>68</v>
      </c>
      <c r="V182" s="1">
        <v>89</v>
      </c>
      <c r="W182" s="1" t="s">
        <v>41</v>
      </c>
      <c r="X182" s="1">
        <v>484507</v>
      </c>
      <c r="Y182" s="2">
        <v>37112</v>
      </c>
      <c r="Z182" s="1">
        <v>-6.8210262828535599</v>
      </c>
      <c r="AA182" s="1">
        <v>22</v>
      </c>
      <c r="AB182" s="1">
        <v>184000</v>
      </c>
      <c r="AC182" s="1">
        <f t="shared" si="2"/>
        <v>214000</v>
      </c>
    </row>
    <row r="183" spans="1:29" x14ac:dyDescent="0.25">
      <c r="A183" s="1" t="s">
        <v>4219</v>
      </c>
      <c r="B183" s="1" t="s">
        <v>4220</v>
      </c>
      <c r="C183" s="1" t="s">
        <v>4221</v>
      </c>
      <c r="D183" s="1">
        <v>2018</v>
      </c>
      <c r="E183" s="1" t="s">
        <v>45</v>
      </c>
      <c r="F183" s="1">
        <v>2</v>
      </c>
      <c r="G183" s="1" t="s">
        <v>46</v>
      </c>
      <c r="H183" s="1" t="s">
        <v>113</v>
      </c>
      <c r="I183" s="1">
        <v>92000</v>
      </c>
      <c r="J183" s="1">
        <v>77000</v>
      </c>
      <c r="K183" s="1">
        <v>15000</v>
      </c>
      <c r="L183" s="1">
        <v>0</v>
      </c>
      <c r="M183" s="1" t="s">
        <v>34</v>
      </c>
      <c r="N183" s="1" t="s">
        <v>63</v>
      </c>
      <c r="O183" s="1" t="s">
        <v>103</v>
      </c>
      <c r="P183" s="1" t="s">
        <v>104</v>
      </c>
      <c r="Q183" s="1" t="s">
        <v>38</v>
      </c>
      <c r="R183" s="1" t="s">
        <v>4222</v>
      </c>
      <c r="S183" s="3">
        <v>917943000000</v>
      </c>
      <c r="T183" s="1" t="s">
        <v>40</v>
      </c>
      <c r="U183" s="1">
        <v>68</v>
      </c>
      <c r="V183" s="1">
        <v>66</v>
      </c>
      <c r="W183" s="1" t="s">
        <v>52</v>
      </c>
      <c r="X183" s="1">
        <v>422864</v>
      </c>
      <c r="Y183" s="2">
        <v>35992</v>
      </c>
      <c r="Z183" s="1">
        <v>-6.8210262828535599</v>
      </c>
      <c r="AA183" s="1">
        <v>25</v>
      </c>
      <c r="AB183" s="1">
        <v>184000</v>
      </c>
      <c r="AC183" s="1">
        <f t="shared" si="2"/>
        <v>214000</v>
      </c>
    </row>
    <row r="184" spans="1:29" x14ac:dyDescent="0.25">
      <c r="A184" s="1" t="s">
        <v>4231</v>
      </c>
      <c r="B184" s="1" t="s">
        <v>4232</v>
      </c>
      <c r="C184" s="1" t="s">
        <v>4233</v>
      </c>
      <c r="D184" s="1">
        <v>2018</v>
      </c>
      <c r="E184" s="1" t="s">
        <v>31</v>
      </c>
      <c r="F184" s="1">
        <v>4</v>
      </c>
      <c r="G184" s="1" t="s">
        <v>32</v>
      </c>
      <c r="H184" s="1" t="s">
        <v>47</v>
      </c>
      <c r="I184" s="1">
        <v>169000</v>
      </c>
      <c r="J184" s="1">
        <v>154000</v>
      </c>
      <c r="K184" s="1">
        <v>15000</v>
      </c>
      <c r="L184" s="1">
        <v>0</v>
      </c>
      <c r="M184" s="1" t="s">
        <v>34</v>
      </c>
      <c r="N184" s="1" t="s">
        <v>63</v>
      </c>
      <c r="O184" s="1" t="s">
        <v>36</v>
      </c>
      <c r="P184" s="1" t="s">
        <v>37</v>
      </c>
      <c r="Q184" s="1" t="s">
        <v>38</v>
      </c>
      <c r="R184" s="1" t="s">
        <v>4234</v>
      </c>
      <c r="S184" s="3">
        <v>917744000000</v>
      </c>
      <c r="T184" s="1" t="s">
        <v>98</v>
      </c>
      <c r="U184" s="1">
        <v>68</v>
      </c>
      <c r="V184" s="1">
        <v>79</v>
      </c>
      <c r="W184" s="1" t="s">
        <v>52</v>
      </c>
      <c r="X184" s="1">
        <v>469328</v>
      </c>
      <c r="Y184" s="2">
        <v>37611</v>
      </c>
      <c r="Z184" s="1">
        <v>-6.8210262828535599</v>
      </c>
      <c r="AA184" s="1">
        <v>21</v>
      </c>
      <c r="AB184" s="1">
        <v>676000</v>
      </c>
      <c r="AC184" s="1">
        <f t="shared" si="2"/>
        <v>736000</v>
      </c>
    </row>
    <row r="185" spans="1:29" x14ac:dyDescent="0.25">
      <c r="A185" s="1" t="s">
        <v>4237</v>
      </c>
      <c r="B185" s="1" t="s">
        <v>277</v>
      </c>
      <c r="C185" s="1" t="s">
        <v>278</v>
      </c>
      <c r="D185" s="1">
        <v>2018</v>
      </c>
      <c r="E185" s="1" t="s">
        <v>31</v>
      </c>
      <c r="F185" s="1">
        <v>4</v>
      </c>
      <c r="G185" s="1" t="s">
        <v>32</v>
      </c>
      <c r="H185" s="1" t="s">
        <v>113</v>
      </c>
      <c r="I185" s="1">
        <v>169000</v>
      </c>
      <c r="J185" s="1">
        <v>154000</v>
      </c>
      <c r="K185" s="1">
        <v>15000</v>
      </c>
      <c r="L185" s="1">
        <v>0</v>
      </c>
      <c r="M185" s="1" t="s">
        <v>34</v>
      </c>
      <c r="N185" s="1" t="s">
        <v>63</v>
      </c>
      <c r="O185" s="1" t="s">
        <v>78</v>
      </c>
      <c r="P185" s="1" t="s">
        <v>79</v>
      </c>
      <c r="Q185" s="1" t="s">
        <v>38</v>
      </c>
      <c r="R185" s="1" t="s">
        <v>4238</v>
      </c>
      <c r="S185" s="3">
        <v>919749000000</v>
      </c>
      <c r="T185" s="1" t="s">
        <v>86</v>
      </c>
      <c r="U185" s="1">
        <v>68</v>
      </c>
      <c r="V185" s="1">
        <v>65</v>
      </c>
      <c r="W185" s="1" t="s">
        <v>52</v>
      </c>
      <c r="X185" s="1">
        <v>527112</v>
      </c>
      <c r="Y185" s="2">
        <v>38787</v>
      </c>
      <c r="Z185" s="1">
        <v>-6.8210262828535599</v>
      </c>
      <c r="AA185" s="1">
        <v>18</v>
      </c>
      <c r="AB185" s="1">
        <v>676000</v>
      </c>
      <c r="AC185" s="1">
        <f t="shared" si="2"/>
        <v>736000</v>
      </c>
    </row>
    <row r="186" spans="1:29" x14ac:dyDescent="0.25">
      <c r="A186" s="1" t="s">
        <v>4284</v>
      </c>
      <c r="B186" s="1" t="s">
        <v>4285</v>
      </c>
      <c r="C186" s="1" t="s">
        <v>4286</v>
      </c>
      <c r="D186" s="1">
        <v>2018</v>
      </c>
      <c r="E186" s="1" t="s">
        <v>31</v>
      </c>
      <c r="F186" s="1">
        <v>4</v>
      </c>
      <c r="G186" s="1" t="s">
        <v>32</v>
      </c>
      <c r="H186" s="1" t="s">
        <v>102</v>
      </c>
      <c r="I186" s="1">
        <v>169000</v>
      </c>
      <c r="J186" s="1">
        <v>154000</v>
      </c>
      <c r="K186" s="1">
        <v>15000</v>
      </c>
      <c r="L186" s="1">
        <v>0</v>
      </c>
      <c r="M186" s="1" t="s">
        <v>34</v>
      </c>
      <c r="N186" s="1" t="s">
        <v>35</v>
      </c>
      <c r="O186" s="1" t="s">
        <v>71</v>
      </c>
      <c r="P186" s="1" t="s">
        <v>72</v>
      </c>
      <c r="Q186" s="1" t="s">
        <v>38</v>
      </c>
      <c r="R186" s="1" t="s">
        <v>4287</v>
      </c>
      <c r="S186" s="3">
        <v>919170000000</v>
      </c>
      <c r="T186" s="1" t="s">
        <v>40</v>
      </c>
      <c r="U186" s="1">
        <v>68</v>
      </c>
      <c r="V186" s="1">
        <v>61</v>
      </c>
      <c r="W186" s="1" t="s">
        <v>41</v>
      </c>
      <c r="X186" s="1">
        <v>104666</v>
      </c>
      <c r="Y186" s="2">
        <v>37092</v>
      </c>
      <c r="Z186" s="1">
        <v>-6.8210262828535599</v>
      </c>
      <c r="AA186" s="1">
        <v>22</v>
      </c>
      <c r="AB186" s="1">
        <v>676000</v>
      </c>
      <c r="AC186" s="1">
        <f t="shared" si="2"/>
        <v>736000</v>
      </c>
    </row>
    <row r="187" spans="1:29" x14ac:dyDescent="0.25">
      <c r="A187" s="1" t="s">
        <v>4310</v>
      </c>
      <c r="B187" s="1" t="s">
        <v>4311</v>
      </c>
      <c r="C187" s="1" t="s">
        <v>4312</v>
      </c>
      <c r="D187" s="1">
        <v>2018</v>
      </c>
      <c r="E187" s="1" t="s">
        <v>31</v>
      </c>
      <c r="F187" s="1">
        <v>4</v>
      </c>
      <c r="G187" s="1" t="s">
        <v>32</v>
      </c>
      <c r="H187" s="1" t="s">
        <v>151</v>
      </c>
      <c r="I187" s="1">
        <v>169000</v>
      </c>
      <c r="J187" s="1">
        <v>154000</v>
      </c>
      <c r="K187" s="1">
        <v>15000</v>
      </c>
      <c r="L187" s="1">
        <v>0</v>
      </c>
      <c r="M187" s="1" t="s">
        <v>34</v>
      </c>
      <c r="N187" s="1" t="s">
        <v>63</v>
      </c>
      <c r="O187" s="1" t="s">
        <v>57</v>
      </c>
      <c r="P187" s="1" t="s">
        <v>57</v>
      </c>
      <c r="Q187" s="1" t="s">
        <v>38</v>
      </c>
      <c r="R187" s="1" t="s">
        <v>4313</v>
      </c>
      <c r="S187" s="3">
        <v>919395000000</v>
      </c>
      <c r="T187" s="1" t="s">
        <v>86</v>
      </c>
      <c r="U187" s="1">
        <v>67</v>
      </c>
      <c r="V187" s="1">
        <v>73</v>
      </c>
      <c r="W187" s="1" t="s">
        <v>52</v>
      </c>
      <c r="X187" s="1">
        <v>411494</v>
      </c>
      <c r="Y187" s="2">
        <v>37201</v>
      </c>
      <c r="Z187" s="1">
        <v>-7.8210262828535599</v>
      </c>
      <c r="AA187" s="1">
        <v>22</v>
      </c>
      <c r="AB187" s="1">
        <v>676000</v>
      </c>
      <c r="AC187" s="1">
        <f t="shared" si="2"/>
        <v>736000</v>
      </c>
    </row>
    <row r="188" spans="1:29" x14ac:dyDescent="0.25">
      <c r="A188" s="1" t="s">
        <v>4314</v>
      </c>
      <c r="B188" s="1" t="s">
        <v>3720</v>
      </c>
      <c r="C188" s="1" t="s">
        <v>3721</v>
      </c>
      <c r="D188" s="1">
        <v>2018</v>
      </c>
      <c r="E188" s="1" t="s">
        <v>45</v>
      </c>
      <c r="F188" s="1">
        <v>2</v>
      </c>
      <c r="G188" s="1" t="s">
        <v>46</v>
      </c>
      <c r="H188" s="1" t="s">
        <v>62</v>
      </c>
      <c r="I188" s="1">
        <v>92000</v>
      </c>
      <c r="J188" s="1">
        <v>77000</v>
      </c>
      <c r="K188" s="1">
        <v>15000</v>
      </c>
      <c r="L188" s="1">
        <v>0</v>
      </c>
      <c r="M188" s="1" t="s">
        <v>34</v>
      </c>
      <c r="N188" s="1" t="s">
        <v>63</v>
      </c>
      <c r="O188" s="1" t="s">
        <v>71</v>
      </c>
      <c r="P188" s="1" t="s">
        <v>72</v>
      </c>
      <c r="Q188" s="1" t="s">
        <v>38</v>
      </c>
      <c r="R188" s="1" t="s">
        <v>4315</v>
      </c>
      <c r="S188" s="3">
        <v>919868000000</v>
      </c>
      <c r="T188" s="1" t="s">
        <v>98</v>
      </c>
      <c r="U188" s="1">
        <v>67</v>
      </c>
      <c r="V188" s="1">
        <v>69</v>
      </c>
      <c r="W188" s="1" t="s">
        <v>52</v>
      </c>
      <c r="X188" s="1">
        <v>597978</v>
      </c>
      <c r="Y188" s="2">
        <v>36072</v>
      </c>
      <c r="Z188" s="1">
        <v>-7.8210262828535599</v>
      </c>
      <c r="AA188" s="1">
        <v>25</v>
      </c>
      <c r="AB188" s="1">
        <v>184000</v>
      </c>
      <c r="AC188" s="1">
        <f t="shared" si="2"/>
        <v>214000</v>
      </c>
    </row>
    <row r="189" spans="1:29" x14ac:dyDescent="0.25">
      <c r="A189" s="1" t="s">
        <v>4322</v>
      </c>
      <c r="B189" s="1" t="s">
        <v>1910</v>
      </c>
      <c r="C189" s="1" t="s">
        <v>1911</v>
      </c>
      <c r="D189" s="1">
        <v>2018</v>
      </c>
      <c r="E189" s="1" t="s">
        <v>31</v>
      </c>
      <c r="F189" s="1">
        <v>4</v>
      </c>
      <c r="G189" s="1" t="s">
        <v>32</v>
      </c>
      <c r="H189" s="1" t="s">
        <v>210</v>
      </c>
      <c r="I189" s="1">
        <v>169000</v>
      </c>
      <c r="J189" s="1">
        <v>154000</v>
      </c>
      <c r="K189" s="1">
        <v>15000</v>
      </c>
      <c r="L189" s="1">
        <v>0</v>
      </c>
      <c r="M189" s="1" t="s">
        <v>34</v>
      </c>
      <c r="N189" s="1" t="s">
        <v>63</v>
      </c>
      <c r="O189" s="1" t="s">
        <v>64</v>
      </c>
      <c r="P189" s="1" t="s">
        <v>65</v>
      </c>
      <c r="Q189" s="1" t="s">
        <v>38</v>
      </c>
      <c r="R189" s="1" t="s">
        <v>4323</v>
      </c>
      <c r="S189" s="3">
        <v>917815000000</v>
      </c>
      <c r="T189" s="1" t="s">
        <v>74</v>
      </c>
      <c r="U189" s="1">
        <v>67</v>
      </c>
      <c r="V189" s="1">
        <v>92</v>
      </c>
      <c r="W189" s="1" t="s">
        <v>52</v>
      </c>
      <c r="X189" s="1">
        <v>291508</v>
      </c>
      <c r="Y189" s="2">
        <v>38292</v>
      </c>
      <c r="Z189" s="1">
        <v>-7.8210262828535599</v>
      </c>
      <c r="AA189" s="1">
        <v>19</v>
      </c>
      <c r="AB189" s="1">
        <v>676000</v>
      </c>
      <c r="AC189" s="1">
        <f t="shared" si="2"/>
        <v>736000</v>
      </c>
    </row>
    <row r="190" spans="1:29" x14ac:dyDescent="0.25">
      <c r="A190" s="1" t="s">
        <v>4340</v>
      </c>
      <c r="B190" s="1" t="s">
        <v>1669</v>
      </c>
      <c r="C190" s="1" t="s">
        <v>1670</v>
      </c>
      <c r="D190" s="1">
        <v>2018</v>
      </c>
      <c r="E190" s="1" t="s">
        <v>45</v>
      </c>
      <c r="F190" s="1">
        <v>2</v>
      </c>
      <c r="G190" s="1" t="s">
        <v>46</v>
      </c>
      <c r="H190" s="1" t="s">
        <v>47</v>
      </c>
      <c r="I190" s="1">
        <v>92000</v>
      </c>
      <c r="J190" s="1">
        <v>77000</v>
      </c>
      <c r="K190" s="1">
        <v>15000</v>
      </c>
      <c r="L190" s="1">
        <v>0</v>
      </c>
      <c r="M190" s="1" t="s">
        <v>34</v>
      </c>
      <c r="N190" s="1" t="s">
        <v>70</v>
      </c>
      <c r="O190" s="1" t="s">
        <v>103</v>
      </c>
      <c r="P190" s="1" t="s">
        <v>104</v>
      </c>
      <c r="Q190" s="1" t="s">
        <v>38</v>
      </c>
      <c r="R190" s="1" t="s">
        <v>4341</v>
      </c>
      <c r="S190" s="3">
        <v>918719000000</v>
      </c>
      <c r="T190" s="1" t="s">
        <v>51</v>
      </c>
      <c r="U190" s="1">
        <v>67</v>
      </c>
      <c r="V190" s="1">
        <v>72</v>
      </c>
      <c r="W190" s="1" t="s">
        <v>52</v>
      </c>
      <c r="X190" s="1">
        <v>544194</v>
      </c>
      <c r="Y190" s="2">
        <v>37150</v>
      </c>
      <c r="Z190" s="1">
        <v>-7.8210262828535599</v>
      </c>
      <c r="AA190" s="1">
        <v>22</v>
      </c>
      <c r="AB190" s="1">
        <v>184000</v>
      </c>
      <c r="AC190" s="1">
        <f t="shared" si="2"/>
        <v>214000</v>
      </c>
    </row>
    <row r="191" spans="1:29" x14ac:dyDescent="0.25">
      <c r="A191" s="1" t="s">
        <v>4360</v>
      </c>
      <c r="B191" s="1" t="s">
        <v>4361</v>
      </c>
      <c r="C191" s="1" t="s">
        <v>4362</v>
      </c>
      <c r="D191" s="1">
        <v>2018</v>
      </c>
      <c r="E191" s="1" t="s">
        <v>45</v>
      </c>
      <c r="F191" s="1">
        <v>2</v>
      </c>
      <c r="G191" s="1" t="s">
        <v>46</v>
      </c>
      <c r="H191" s="1" t="s">
        <v>90</v>
      </c>
      <c r="I191" s="1">
        <v>92000</v>
      </c>
      <c r="J191" s="1">
        <v>77000</v>
      </c>
      <c r="K191" s="1">
        <v>15000</v>
      </c>
      <c r="L191" s="1">
        <v>0</v>
      </c>
      <c r="M191" s="1" t="s">
        <v>34</v>
      </c>
      <c r="N191" s="1" t="s">
        <v>70</v>
      </c>
      <c r="O191" s="1" t="s">
        <v>188</v>
      </c>
      <c r="P191" s="1" t="s">
        <v>189</v>
      </c>
      <c r="Q191" s="1" t="s">
        <v>38</v>
      </c>
      <c r="R191" s="1" t="s">
        <v>4363</v>
      </c>
      <c r="S191" s="3">
        <v>919120000000</v>
      </c>
      <c r="T191" s="1" t="s">
        <v>98</v>
      </c>
      <c r="U191" s="1">
        <v>67</v>
      </c>
      <c r="V191" s="1">
        <v>65</v>
      </c>
      <c r="W191" s="1" t="s">
        <v>52</v>
      </c>
      <c r="X191" s="1">
        <v>764459</v>
      </c>
      <c r="Y191" s="2">
        <v>36657</v>
      </c>
      <c r="Z191" s="1">
        <v>-7.8210262828535599</v>
      </c>
      <c r="AA191" s="1">
        <v>24</v>
      </c>
      <c r="AB191" s="1">
        <v>184000</v>
      </c>
      <c r="AC191" s="1">
        <f t="shared" si="2"/>
        <v>214000</v>
      </c>
    </row>
    <row r="192" spans="1:29" x14ac:dyDescent="0.25">
      <c r="A192" s="1" t="s">
        <v>4379</v>
      </c>
      <c r="B192" s="1" t="s">
        <v>3119</v>
      </c>
      <c r="C192" s="1" t="s">
        <v>3120</v>
      </c>
      <c r="D192" s="1">
        <v>2018</v>
      </c>
      <c r="E192" s="1" t="s">
        <v>45</v>
      </c>
      <c r="F192" s="1">
        <v>2</v>
      </c>
      <c r="G192" s="1" t="s">
        <v>46</v>
      </c>
      <c r="H192" s="1" t="s">
        <v>33</v>
      </c>
      <c r="I192" s="1">
        <v>92000</v>
      </c>
      <c r="J192" s="1">
        <v>77000</v>
      </c>
      <c r="K192" s="1">
        <v>15000</v>
      </c>
      <c r="L192" s="1">
        <v>0</v>
      </c>
      <c r="M192" s="1" t="s">
        <v>34</v>
      </c>
      <c r="N192" s="1" t="s">
        <v>70</v>
      </c>
      <c r="O192" s="1" t="s">
        <v>103</v>
      </c>
      <c r="P192" s="1" t="s">
        <v>104</v>
      </c>
      <c r="Q192" s="1" t="s">
        <v>38</v>
      </c>
      <c r="R192" s="1" t="s">
        <v>4380</v>
      </c>
      <c r="S192" s="3">
        <v>918470000000</v>
      </c>
      <c r="T192" s="1" t="s">
        <v>98</v>
      </c>
      <c r="U192" s="1">
        <v>67</v>
      </c>
      <c r="V192" s="1">
        <v>61</v>
      </c>
      <c r="W192" s="1" t="s">
        <v>41</v>
      </c>
      <c r="X192" s="1">
        <v>355677</v>
      </c>
      <c r="Y192" s="2">
        <v>35468</v>
      </c>
      <c r="Z192" s="1">
        <v>-7.8210262828535599</v>
      </c>
      <c r="AA192" s="1">
        <v>27</v>
      </c>
      <c r="AB192" s="1">
        <v>184000</v>
      </c>
      <c r="AC192" s="1">
        <f t="shared" si="2"/>
        <v>214000</v>
      </c>
    </row>
    <row r="193" spans="1:29" x14ac:dyDescent="0.25">
      <c r="A193" s="1" t="s">
        <v>4389</v>
      </c>
      <c r="B193" s="1" t="s">
        <v>4390</v>
      </c>
      <c r="C193" s="1" t="s">
        <v>4391</v>
      </c>
      <c r="D193" s="1">
        <v>2018</v>
      </c>
      <c r="E193" s="1" t="s">
        <v>31</v>
      </c>
      <c r="F193" s="1">
        <v>4</v>
      </c>
      <c r="G193" s="1" t="s">
        <v>32</v>
      </c>
      <c r="H193" s="1" t="s">
        <v>151</v>
      </c>
      <c r="I193" s="1">
        <v>169000</v>
      </c>
      <c r="J193" s="1">
        <v>154000</v>
      </c>
      <c r="K193" s="1">
        <v>15000</v>
      </c>
      <c r="L193" s="1">
        <v>0</v>
      </c>
      <c r="M193" s="1" t="s">
        <v>34</v>
      </c>
      <c r="N193" s="1" t="s">
        <v>63</v>
      </c>
      <c r="O193" s="1" t="s">
        <v>57</v>
      </c>
      <c r="P193" s="1" t="s">
        <v>57</v>
      </c>
      <c r="Q193" s="1" t="s">
        <v>38</v>
      </c>
      <c r="R193" s="1" t="s">
        <v>4392</v>
      </c>
      <c r="S193" s="3">
        <v>919735000000</v>
      </c>
      <c r="T193" s="1" t="s">
        <v>98</v>
      </c>
      <c r="U193" s="1">
        <v>67</v>
      </c>
      <c r="V193" s="1">
        <v>88</v>
      </c>
      <c r="W193" s="1" t="s">
        <v>41</v>
      </c>
      <c r="X193" s="1">
        <v>373325</v>
      </c>
      <c r="Y193" s="2">
        <v>37592</v>
      </c>
      <c r="Z193" s="1">
        <v>-7.8210262828535599</v>
      </c>
      <c r="AA193" s="1">
        <v>21</v>
      </c>
      <c r="AB193" s="1">
        <v>676000</v>
      </c>
      <c r="AC193" s="1">
        <f t="shared" si="2"/>
        <v>736000</v>
      </c>
    </row>
    <row r="194" spans="1:29" x14ac:dyDescent="0.25">
      <c r="A194" s="1" t="s">
        <v>4417</v>
      </c>
      <c r="B194" s="1" t="s">
        <v>2208</v>
      </c>
      <c r="C194" s="1" t="s">
        <v>2209</v>
      </c>
      <c r="D194" s="1">
        <v>2018</v>
      </c>
      <c r="E194" s="1" t="s">
        <v>45</v>
      </c>
      <c r="F194" s="1">
        <v>2</v>
      </c>
      <c r="G194" s="1" t="s">
        <v>46</v>
      </c>
      <c r="H194" s="1" t="s">
        <v>90</v>
      </c>
      <c r="I194" s="1">
        <v>92000</v>
      </c>
      <c r="J194" s="1">
        <v>77000</v>
      </c>
      <c r="K194" s="1">
        <v>15000</v>
      </c>
      <c r="L194" s="1">
        <v>0</v>
      </c>
      <c r="M194" s="1" t="s">
        <v>34</v>
      </c>
      <c r="N194" s="1" t="s">
        <v>63</v>
      </c>
      <c r="O194" s="1" t="s">
        <v>36</v>
      </c>
      <c r="P194" s="1" t="s">
        <v>37</v>
      </c>
      <c r="Q194" s="1" t="s">
        <v>38</v>
      </c>
      <c r="R194" s="1" t="s">
        <v>4418</v>
      </c>
      <c r="S194" s="3">
        <v>918785000000</v>
      </c>
      <c r="T194" s="1" t="s">
        <v>40</v>
      </c>
      <c r="U194" s="1">
        <v>67</v>
      </c>
      <c r="V194" s="1">
        <v>74</v>
      </c>
      <c r="W194" s="1" t="s">
        <v>41</v>
      </c>
      <c r="X194" s="1">
        <v>277262</v>
      </c>
      <c r="Y194" s="2">
        <v>36186</v>
      </c>
      <c r="Z194" s="1">
        <v>-7.8210262828535599</v>
      </c>
      <c r="AA194" s="1">
        <v>25</v>
      </c>
      <c r="AB194" s="1">
        <v>184000</v>
      </c>
      <c r="AC194" s="1">
        <f t="shared" si="2"/>
        <v>214000</v>
      </c>
    </row>
    <row r="195" spans="1:29" x14ac:dyDescent="0.25">
      <c r="A195" s="1" t="s">
        <v>4435</v>
      </c>
      <c r="B195" s="1" t="s">
        <v>795</v>
      </c>
      <c r="C195" s="1" t="s">
        <v>796</v>
      </c>
      <c r="D195" s="1">
        <v>2018</v>
      </c>
      <c r="E195" s="1" t="s">
        <v>31</v>
      </c>
      <c r="F195" s="1">
        <v>4</v>
      </c>
      <c r="G195" s="1" t="s">
        <v>32</v>
      </c>
      <c r="H195" s="1" t="s">
        <v>122</v>
      </c>
      <c r="I195" s="1">
        <v>169000</v>
      </c>
      <c r="J195" s="1">
        <v>154000</v>
      </c>
      <c r="K195" s="1">
        <v>15000</v>
      </c>
      <c r="L195" s="1">
        <v>0</v>
      </c>
      <c r="M195" s="1" t="s">
        <v>34</v>
      </c>
      <c r="N195" s="1" t="s">
        <v>63</v>
      </c>
      <c r="O195" s="1" t="s">
        <v>71</v>
      </c>
      <c r="P195" s="1" t="s">
        <v>72</v>
      </c>
      <c r="Q195" s="1" t="s">
        <v>38</v>
      </c>
      <c r="R195" s="1" t="s">
        <v>4436</v>
      </c>
      <c r="S195" s="3">
        <v>918116000000</v>
      </c>
      <c r="T195" s="1" t="s">
        <v>86</v>
      </c>
      <c r="U195" s="1">
        <v>67</v>
      </c>
      <c r="V195" s="1">
        <v>60</v>
      </c>
      <c r="W195" s="1" t="s">
        <v>52</v>
      </c>
      <c r="X195" s="1">
        <v>274219</v>
      </c>
      <c r="Y195" s="2">
        <v>38282</v>
      </c>
      <c r="Z195" s="1">
        <v>-7.8210262828535599</v>
      </c>
      <c r="AA195" s="1">
        <v>19</v>
      </c>
      <c r="AB195" s="1">
        <v>676000</v>
      </c>
      <c r="AC195" s="1">
        <f t="shared" si="2"/>
        <v>736000</v>
      </c>
    </row>
    <row r="196" spans="1:29" x14ac:dyDescent="0.25">
      <c r="A196" s="1" t="s">
        <v>4451</v>
      </c>
      <c r="B196" s="1" t="s">
        <v>4452</v>
      </c>
      <c r="C196" s="1" t="s">
        <v>4453</v>
      </c>
      <c r="D196" s="1">
        <v>2018</v>
      </c>
      <c r="E196" s="1" t="s">
        <v>31</v>
      </c>
      <c r="F196" s="1">
        <v>4</v>
      </c>
      <c r="G196" s="1" t="s">
        <v>32</v>
      </c>
      <c r="H196" s="1" t="s">
        <v>113</v>
      </c>
      <c r="I196" s="1">
        <v>169000</v>
      </c>
      <c r="J196" s="1">
        <v>154000</v>
      </c>
      <c r="K196" s="1">
        <v>15000</v>
      </c>
      <c r="L196" s="1">
        <v>0</v>
      </c>
      <c r="M196" s="1" t="s">
        <v>34</v>
      </c>
      <c r="N196" s="1" t="s">
        <v>70</v>
      </c>
      <c r="O196" s="1" t="s">
        <v>188</v>
      </c>
      <c r="P196" s="1" t="s">
        <v>189</v>
      </c>
      <c r="Q196" s="1" t="s">
        <v>38</v>
      </c>
      <c r="R196" s="1" t="s">
        <v>4454</v>
      </c>
      <c r="S196" s="3">
        <v>919782000000</v>
      </c>
      <c r="T196" s="1" t="s">
        <v>40</v>
      </c>
      <c r="U196" s="1">
        <v>67</v>
      </c>
      <c r="V196" s="1">
        <v>85</v>
      </c>
      <c r="W196" s="1" t="s">
        <v>52</v>
      </c>
      <c r="X196" s="1">
        <v>766186</v>
      </c>
      <c r="Y196" s="2">
        <v>38096</v>
      </c>
      <c r="Z196" s="1">
        <v>-7.8210262828535599</v>
      </c>
      <c r="AA196" s="1">
        <v>20</v>
      </c>
      <c r="AB196" s="1">
        <v>676000</v>
      </c>
      <c r="AC196" s="1">
        <f t="shared" si="2"/>
        <v>736000</v>
      </c>
    </row>
    <row r="197" spans="1:29" x14ac:dyDescent="0.25">
      <c r="A197" s="1" t="s">
        <v>4465</v>
      </c>
      <c r="B197" s="1" t="s">
        <v>4466</v>
      </c>
      <c r="C197" s="1" t="s">
        <v>4467</v>
      </c>
      <c r="D197" s="1">
        <v>2018</v>
      </c>
      <c r="E197" s="1" t="s">
        <v>31</v>
      </c>
      <c r="F197" s="1">
        <v>4</v>
      </c>
      <c r="G197" s="1" t="s">
        <v>32</v>
      </c>
      <c r="H197" s="1" t="s">
        <v>62</v>
      </c>
      <c r="I197" s="1">
        <v>169000</v>
      </c>
      <c r="J197" s="1">
        <v>154000</v>
      </c>
      <c r="K197" s="1">
        <v>15000</v>
      </c>
      <c r="L197" s="1">
        <v>0</v>
      </c>
      <c r="M197" s="1" t="s">
        <v>34</v>
      </c>
      <c r="N197" s="1" t="s">
        <v>70</v>
      </c>
      <c r="O197" s="1" t="s">
        <v>84</v>
      </c>
      <c r="P197" s="1" t="s">
        <v>65</v>
      </c>
      <c r="Q197" s="1" t="s">
        <v>38</v>
      </c>
      <c r="R197" s="1" t="s">
        <v>4468</v>
      </c>
      <c r="S197" s="3">
        <v>917966000000</v>
      </c>
      <c r="T197" s="1" t="s">
        <v>98</v>
      </c>
      <c r="U197" s="1">
        <v>66</v>
      </c>
      <c r="V197" s="1">
        <v>82</v>
      </c>
      <c r="W197" s="1" t="s">
        <v>41</v>
      </c>
      <c r="X197" s="1">
        <v>401548</v>
      </c>
      <c r="Y197" s="2">
        <v>37703</v>
      </c>
      <c r="Z197" s="1">
        <v>-8.8210262828535608</v>
      </c>
      <c r="AA197" s="1">
        <v>21</v>
      </c>
      <c r="AB197" s="1">
        <v>676000</v>
      </c>
      <c r="AC197" s="1">
        <f t="shared" si="2"/>
        <v>736000</v>
      </c>
    </row>
    <row r="198" spans="1:29" x14ac:dyDescent="0.25">
      <c r="A198" s="1" t="s">
        <v>4481</v>
      </c>
      <c r="B198" s="1" t="s">
        <v>3069</v>
      </c>
      <c r="C198" s="1" t="s">
        <v>3070</v>
      </c>
      <c r="D198" s="1">
        <v>2018</v>
      </c>
      <c r="E198" s="1" t="s">
        <v>31</v>
      </c>
      <c r="F198" s="1">
        <v>4</v>
      </c>
      <c r="G198" s="1" t="s">
        <v>32</v>
      </c>
      <c r="H198" s="1" t="s">
        <v>210</v>
      </c>
      <c r="I198" s="1">
        <v>169000</v>
      </c>
      <c r="J198" s="1">
        <v>154000</v>
      </c>
      <c r="K198" s="1">
        <v>15000</v>
      </c>
      <c r="L198" s="1">
        <v>0</v>
      </c>
      <c r="M198" s="1" t="s">
        <v>34</v>
      </c>
      <c r="N198" s="1" t="s">
        <v>63</v>
      </c>
      <c r="O198" s="1" t="s">
        <v>91</v>
      </c>
      <c r="P198" s="1" t="s">
        <v>92</v>
      </c>
      <c r="Q198" s="1" t="s">
        <v>38</v>
      </c>
      <c r="R198" s="1" t="s">
        <v>4482</v>
      </c>
      <c r="S198" s="3">
        <v>917396000000</v>
      </c>
      <c r="T198" s="1" t="s">
        <v>98</v>
      </c>
      <c r="U198" s="1">
        <v>66</v>
      </c>
      <c r="V198" s="1">
        <v>65</v>
      </c>
      <c r="W198" s="1" t="s">
        <v>41</v>
      </c>
      <c r="X198" s="1">
        <v>327807</v>
      </c>
      <c r="Y198" s="2">
        <v>36795</v>
      </c>
      <c r="Z198" s="1">
        <v>-8.8210262828535608</v>
      </c>
      <c r="AA198" s="1">
        <v>23</v>
      </c>
      <c r="AB198" s="1">
        <v>676000</v>
      </c>
      <c r="AC198" s="1">
        <f t="shared" ref="AC198:AC261" si="3">IF(F198 = 2, AB198+30000,AB198+60000)</f>
        <v>736000</v>
      </c>
    </row>
    <row r="199" spans="1:29" x14ac:dyDescent="0.25">
      <c r="A199" s="1" t="s">
        <v>4497</v>
      </c>
      <c r="B199" s="1" t="s">
        <v>1737</v>
      </c>
      <c r="C199" s="1" t="s">
        <v>1738</v>
      </c>
      <c r="D199" s="1">
        <v>2018</v>
      </c>
      <c r="E199" s="1" t="s">
        <v>45</v>
      </c>
      <c r="F199" s="1">
        <v>2</v>
      </c>
      <c r="G199" s="1" t="s">
        <v>46</v>
      </c>
      <c r="H199" s="1" t="s">
        <v>62</v>
      </c>
      <c r="I199" s="1">
        <v>92000</v>
      </c>
      <c r="J199" s="1">
        <v>77000</v>
      </c>
      <c r="K199" s="1">
        <v>15000</v>
      </c>
      <c r="L199" s="1">
        <v>0</v>
      </c>
      <c r="M199" s="1" t="s">
        <v>34</v>
      </c>
      <c r="N199" s="1" t="s">
        <v>63</v>
      </c>
      <c r="O199" s="1" t="s">
        <v>84</v>
      </c>
      <c r="P199" s="1" t="s">
        <v>65</v>
      </c>
      <c r="Q199" s="1" t="s">
        <v>38</v>
      </c>
      <c r="R199" s="1" t="s">
        <v>4498</v>
      </c>
      <c r="S199" s="3">
        <v>917316000000</v>
      </c>
      <c r="T199" s="1" t="s">
        <v>86</v>
      </c>
      <c r="U199" s="1">
        <v>66</v>
      </c>
      <c r="V199" s="1">
        <v>73</v>
      </c>
      <c r="W199" s="1" t="s">
        <v>41</v>
      </c>
      <c r="X199" s="1">
        <v>778310</v>
      </c>
      <c r="Y199" s="2">
        <v>35808</v>
      </c>
      <c r="Z199" s="1">
        <v>-8.8210262828535608</v>
      </c>
      <c r="AA199" s="1">
        <v>26</v>
      </c>
      <c r="AB199" s="1">
        <v>184000</v>
      </c>
      <c r="AC199" s="1">
        <f t="shared" si="3"/>
        <v>214000</v>
      </c>
    </row>
    <row r="200" spans="1:29" x14ac:dyDescent="0.25">
      <c r="A200" s="1" t="s">
        <v>4505</v>
      </c>
      <c r="B200" s="1" t="s">
        <v>4506</v>
      </c>
      <c r="C200" s="1" t="s">
        <v>4507</v>
      </c>
      <c r="D200" s="1">
        <v>2018</v>
      </c>
      <c r="E200" s="1" t="s">
        <v>31</v>
      </c>
      <c r="F200" s="1">
        <v>4</v>
      </c>
      <c r="G200" s="1" t="s">
        <v>32</v>
      </c>
      <c r="H200" s="1" t="s">
        <v>151</v>
      </c>
      <c r="I200" s="1">
        <v>169000</v>
      </c>
      <c r="J200" s="1">
        <v>154000</v>
      </c>
      <c r="K200" s="1">
        <v>15000</v>
      </c>
      <c r="L200" s="1">
        <v>0</v>
      </c>
      <c r="M200" s="1" t="s">
        <v>34</v>
      </c>
      <c r="N200" s="1" t="s">
        <v>35</v>
      </c>
      <c r="O200" s="1" t="s">
        <v>103</v>
      </c>
      <c r="P200" s="1" t="s">
        <v>104</v>
      </c>
      <c r="Q200" s="1" t="s">
        <v>38</v>
      </c>
      <c r="R200" s="1" t="s">
        <v>4508</v>
      </c>
      <c r="S200" s="3">
        <v>918816000000</v>
      </c>
      <c r="T200" s="1" t="s">
        <v>98</v>
      </c>
      <c r="U200" s="1">
        <v>66</v>
      </c>
      <c r="V200" s="1">
        <v>82</v>
      </c>
      <c r="W200" s="1" t="s">
        <v>41</v>
      </c>
      <c r="X200" s="1">
        <v>699953</v>
      </c>
      <c r="Y200" s="2">
        <v>38742</v>
      </c>
      <c r="Z200" s="1">
        <v>-8.8210262828535608</v>
      </c>
      <c r="AA200" s="1">
        <v>18</v>
      </c>
      <c r="AB200" s="1">
        <v>676000</v>
      </c>
      <c r="AC200" s="1">
        <f t="shared" si="3"/>
        <v>736000</v>
      </c>
    </row>
    <row r="201" spans="1:29" x14ac:dyDescent="0.25">
      <c r="A201" s="1" t="s">
        <v>4555</v>
      </c>
      <c r="B201" s="1" t="s">
        <v>1257</v>
      </c>
      <c r="C201" s="1" t="s">
        <v>1258</v>
      </c>
      <c r="D201" s="1">
        <v>2018</v>
      </c>
      <c r="E201" s="1" t="s">
        <v>31</v>
      </c>
      <c r="F201" s="1">
        <v>4</v>
      </c>
      <c r="G201" s="1" t="s">
        <v>32</v>
      </c>
      <c r="H201" s="1" t="s">
        <v>90</v>
      </c>
      <c r="I201" s="1">
        <v>169000</v>
      </c>
      <c r="J201" s="1">
        <v>154000</v>
      </c>
      <c r="K201" s="1">
        <v>15000</v>
      </c>
      <c r="L201" s="1">
        <v>0</v>
      </c>
      <c r="M201" s="1" t="s">
        <v>34</v>
      </c>
      <c r="N201" s="1" t="s">
        <v>63</v>
      </c>
      <c r="O201" s="1" t="s">
        <v>64</v>
      </c>
      <c r="P201" s="1" t="s">
        <v>65</v>
      </c>
      <c r="Q201" s="1" t="s">
        <v>38</v>
      </c>
      <c r="R201" s="1" t="s">
        <v>4556</v>
      </c>
      <c r="S201" s="3">
        <v>918767000000</v>
      </c>
      <c r="T201" s="1" t="s">
        <v>51</v>
      </c>
      <c r="U201" s="1">
        <v>66</v>
      </c>
      <c r="V201" s="1">
        <v>73</v>
      </c>
      <c r="W201" s="1" t="s">
        <v>41</v>
      </c>
      <c r="X201" s="1">
        <v>561646</v>
      </c>
      <c r="Y201" s="2">
        <v>38329</v>
      </c>
      <c r="Z201" s="1">
        <v>-8.8210262828535608</v>
      </c>
      <c r="AA201" s="1">
        <v>19</v>
      </c>
      <c r="AB201" s="1">
        <v>676000</v>
      </c>
      <c r="AC201" s="1">
        <f t="shared" si="3"/>
        <v>736000</v>
      </c>
    </row>
    <row r="202" spans="1:29" x14ac:dyDescent="0.25">
      <c r="A202" s="1" t="s">
        <v>4561</v>
      </c>
      <c r="B202" s="1" t="s">
        <v>4562</v>
      </c>
      <c r="C202" s="1" t="s">
        <v>4563</v>
      </c>
      <c r="D202" s="1">
        <v>2018</v>
      </c>
      <c r="E202" s="1" t="s">
        <v>31</v>
      </c>
      <c r="F202" s="1">
        <v>4</v>
      </c>
      <c r="G202" s="1" t="s">
        <v>32</v>
      </c>
      <c r="H202" s="1" t="s">
        <v>33</v>
      </c>
      <c r="I202" s="1">
        <v>169000</v>
      </c>
      <c r="J202" s="1">
        <v>154000</v>
      </c>
      <c r="K202" s="1">
        <v>15000</v>
      </c>
      <c r="L202" s="1">
        <v>0</v>
      </c>
      <c r="M202" s="1" t="s">
        <v>34</v>
      </c>
      <c r="N202" s="1" t="s">
        <v>35</v>
      </c>
      <c r="O202" s="1" t="s">
        <v>78</v>
      </c>
      <c r="P202" s="1" t="s">
        <v>79</v>
      </c>
      <c r="Q202" s="1" t="s">
        <v>38</v>
      </c>
      <c r="R202" s="1" t="s">
        <v>4564</v>
      </c>
      <c r="S202" s="3">
        <v>918238000000</v>
      </c>
      <c r="T202" s="1" t="s">
        <v>74</v>
      </c>
      <c r="U202" s="1">
        <v>66</v>
      </c>
      <c r="V202" s="1">
        <v>62</v>
      </c>
      <c r="W202" s="1" t="s">
        <v>41</v>
      </c>
      <c r="X202" s="1">
        <v>393897</v>
      </c>
      <c r="Y202" s="2">
        <v>36908</v>
      </c>
      <c r="Z202" s="1">
        <v>-8.8210262828535608</v>
      </c>
      <c r="AA202" s="1">
        <v>23</v>
      </c>
      <c r="AB202" s="1">
        <v>676000</v>
      </c>
      <c r="AC202" s="1">
        <f t="shared" si="3"/>
        <v>736000</v>
      </c>
    </row>
    <row r="203" spans="1:29" x14ac:dyDescent="0.25">
      <c r="A203" s="1" t="s">
        <v>4565</v>
      </c>
      <c r="B203" s="1" t="s">
        <v>1145</v>
      </c>
      <c r="C203" s="1" t="s">
        <v>1146</v>
      </c>
      <c r="D203" s="1">
        <v>2018</v>
      </c>
      <c r="E203" s="1" t="s">
        <v>31</v>
      </c>
      <c r="F203" s="1">
        <v>4</v>
      </c>
      <c r="G203" s="1" t="s">
        <v>32</v>
      </c>
      <c r="H203" s="1" t="s">
        <v>113</v>
      </c>
      <c r="I203" s="1">
        <v>169000</v>
      </c>
      <c r="J203" s="1">
        <v>154000</v>
      </c>
      <c r="K203" s="1">
        <v>15000</v>
      </c>
      <c r="L203" s="1">
        <v>0</v>
      </c>
      <c r="M203" s="1" t="s">
        <v>34</v>
      </c>
      <c r="N203" s="1" t="s">
        <v>63</v>
      </c>
      <c r="O203" s="1" t="s">
        <v>36</v>
      </c>
      <c r="P203" s="1" t="s">
        <v>37</v>
      </c>
      <c r="Q203" s="1" t="s">
        <v>38</v>
      </c>
      <c r="R203" s="1" t="s">
        <v>4566</v>
      </c>
      <c r="S203" s="3">
        <v>918017000000</v>
      </c>
      <c r="T203" s="1" t="s">
        <v>98</v>
      </c>
      <c r="U203" s="1">
        <v>66</v>
      </c>
      <c r="V203" s="1">
        <v>69</v>
      </c>
      <c r="W203" s="1" t="s">
        <v>41</v>
      </c>
      <c r="X203" s="1">
        <v>344625</v>
      </c>
      <c r="Y203" s="2">
        <v>38056</v>
      </c>
      <c r="Z203" s="1">
        <v>-8.8210262828535608</v>
      </c>
      <c r="AA203" s="1">
        <v>20</v>
      </c>
      <c r="AB203" s="1">
        <v>676000</v>
      </c>
      <c r="AC203" s="1">
        <f t="shared" si="3"/>
        <v>736000</v>
      </c>
    </row>
    <row r="204" spans="1:29" x14ac:dyDescent="0.25">
      <c r="A204" s="1" t="s">
        <v>4577</v>
      </c>
      <c r="B204" s="1" t="s">
        <v>519</v>
      </c>
      <c r="C204" s="1" t="s">
        <v>520</v>
      </c>
      <c r="D204" s="1">
        <v>2018</v>
      </c>
      <c r="E204" s="1" t="s">
        <v>31</v>
      </c>
      <c r="F204" s="1">
        <v>4</v>
      </c>
      <c r="G204" s="1" t="s">
        <v>32</v>
      </c>
      <c r="H204" s="1" t="s">
        <v>47</v>
      </c>
      <c r="I204" s="1">
        <v>169000</v>
      </c>
      <c r="J204" s="1">
        <v>154000</v>
      </c>
      <c r="K204" s="1">
        <v>15000</v>
      </c>
      <c r="L204" s="1">
        <v>0</v>
      </c>
      <c r="M204" s="1" t="s">
        <v>34</v>
      </c>
      <c r="N204" s="1" t="s">
        <v>35</v>
      </c>
      <c r="O204" s="1" t="s">
        <v>48</v>
      </c>
      <c r="P204" s="1" t="s">
        <v>49</v>
      </c>
      <c r="Q204" s="1" t="s">
        <v>38</v>
      </c>
      <c r="R204" s="1" t="s">
        <v>4578</v>
      </c>
      <c r="S204" s="3">
        <v>917297000000</v>
      </c>
      <c r="T204" s="1" t="s">
        <v>74</v>
      </c>
      <c r="U204" s="1">
        <v>66</v>
      </c>
      <c r="V204" s="1">
        <v>75</v>
      </c>
      <c r="W204" s="1" t="s">
        <v>52</v>
      </c>
      <c r="X204" s="1">
        <v>527517</v>
      </c>
      <c r="Y204" s="2">
        <v>37487</v>
      </c>
      <c r="Z204" s="1">
        <v>-8.8210262828535608</v>
      </c>
      <c r="AA204" s="1">
        <v>21</v>
      </c>
      <c r="AB204" s="1">
        <v>676000</v>
      </c>
      <c r="AC204" s="1">
        <f t="shared" si="3"/>
        <v>736000</v>
      </c>
    </row>
    <row r="205" spans="1:29" x14ac:dyDescent="0.25">
      <c r="A205" s="1" t="s">
        <v>4579</v>
      </c>
      <c r="B205" s="1" t="s">
        <v>2696</v>
      </c>
      <c r="C205" s="1" t="s">
        <v>2697</v>
      </c>
      <c r="D205" s="1">
        <v>2018</v>
      </c>
      <c r="E205" s="1" t="s">
        <v>31</v>
      </c>
      <c r="F205" s="1">
        <v>4</v>
      </c>
      <c r="G205" s="1" t="s">
        <v>32</v>
      </c>
      <c r="H205" s="1" t="s">
        <v>113</v>
      </c>
      <c r="I205" s="1">
        <v>169000</v>
      </c>
      <c r="J205" s="1">
        <v>154000</v>
      </c>
      <c r="K205" s="1">
        <v>15000</v>
      </c>
      <c r="L205" s="1">
        <v>0</v>
      </c>
      <c r="M205" s="1" t="s">
        <v>34</v>
      </c>
      <c r="N205" s="1" t="s">
        <v>63</v>
      </c>
      <c r="O205" s="1" t="s">
        <v>103</v>
      </c>
      <c r="P205" s="1" t="s">
        <v>104</v>
      </c>
      <c r="Q205" s="1" t="s">
        <v>38</v>
      </c>
      <c r="R205" s="1" t="s">
        <v>4580</v>
      </c>
      <c r="S205" s="3">
        <v>919763000000</v>
      </c>
      <c r="T205" s="1" t="s">
        <v>74</v>
      </c>
      <c r="U205" s="1">
        <v>66</v>
      </c>
      <c r="V205" s="1">
        <v>91</v>
      </c>
      <c r="W205" s="1" t="s">
        <v>41</v>
      </c>
      <c r="X205" s="1">
        <v>429070</v>
      </c>
      <c r="Y205" s="2">
        <v>38527</v>
      </c>
      <c r="Z205" s="1">
        <v>-8.8210262828535608</v>
      </c>
      <c r="AA205" s="1">
        <v>19</v>
      </c>
      <c r="AB205" s="1">
        <v>676000</v>
      </c>
      <c r="AC205" s="1">
        <f t="shared" si="3"/>
        <v>736000</v>
      </c>
    </row>
    <row r="206" spans="1:29" x14ac:dyDescent="0.25">
      <c r="A206" s="1" t="s">
        <v>4581</v>
      </c>
      <c r="B206" s="1" t="s">
        <v>241</v>
      </c>
      <c r="C206" s="1" t="s">
        <v>242</v>
      </c>
      <c r="D206" s="1">
        <v>2018</v>
      </c>
      <c r="E206" s="1" t="s">
        <v>45</v>
      </c>
      <c r="F206" s="1">
        <v>2</v>
      </c>
      <c r="G206" s="1" t="s">
        <v>46</v>
      </c>
      <c r="H206" s="1" t="s">
        <v>113</v>
      </c>
      <c r="I206" s="1">
        <v>92000</v>
      </c>
      <c r="J206" s="1">
        <v>77000</v>
      </c>
      <c r="K206" s="1">
        <v>15000</v>
      </c>
      <c r="L206" s="1">
        <v>0</v>
      </c>
      <c r="M206" s="1" t="s">
        <v>34</v>
      </c>
      <c r="N206" s="1" t="s">
        <v>70</v>
      </c>
      <c r="O206" s="1" t="s">
        <v>84</v>
      </c>
      <c r="P206" s="1" t="s">
        <v>65</v>
      </c>
      <c r="Q206" s="1" t="s">
        <v>38</v>
      </c>
      <c r="R206" s="1" t="s">
        <v>4582</v>
      </c>
      <c r="S206" s="3">
        <v>917235000000</v>
      </c>
      <c r="T206" s="1" t="s">
        <v>51</v>
      </c>
      <c r="U206" s="1">
        <v>66</v>
      </c>
      <c r="V206" s="1">
        <v>70</v>
      </c>
      <c r="W206" s="1" t="s">
        <v>52</v>
      </c>
      <c r="X206" s="1">
        <v>704794</v>
      </c>
      <c r="Y206" s="2">
        <v>36470</v>
      </c>
      <c r="Z206" s="1">
        <v>-8.8210262828535608</v>
      </c>
      <c r="AA206" s="1">
        <v>24</v>
      </c>
      <c r="AB206" s="1">
        <v>184000</v>
      </c>
      <c r="AC206" s="1">
        <f t="shared" si="3"/>
        <v>214000</v>
      </c>
    </row>
    <row r="207" spans="1:29" x14ac:dyDescent="0.25">
      <c r="A207" s="1" t="s">
        <v>4591</v>
      </c>
      <c r="B207" s="1" t="s">
        <v>4592</v>
      </c>
      <c r="C207" s="1" t="s">
        <v>4593</v>
      </c>
      <c r="D207" s="1">
        <v>2018</v>
      </c>
      <c r="E207" s="1" t="s">
        <v>31</v>
      </c>
      <c r="F207" s="1">
        <v>4</v>
      </c>
      <c r="G207" s="1" t="s">
        <v>32</v>
      </c>
      <c r="H207" s="1" t="s">
        <v>113</v>
      </c>
      <c r="I207" s="1">
        <v>169000</v>
      </c>
      <c r="J207" s="1">
        <v>154000</v>
      </c>
      <c r="K207" s="1">
        <v>15000</v>
      </c>
      <c r="L207" s="1">
        <v>0</v>
      </c>
      <c r="M207" s="1" t="s">
        <v>34</v>
      </c>
      <c r="N207" s="1" t="s">
        <v>35</v>
      </c>
      <c r="O207" s="1" t="s">
        <v>57</v>
      </c>
      <c r="P207" s="1" t="s">
        <v>57</v>
      </c>
      <c r="Q207" s="1" t="s">
        <v>38</v>
      </c>
      <c r="R207" s="1" t="s">
        <v>4594</v>
      </c>
      <c r="S207" s="3">
        <v>917894000000</v>
      </c>
      <c r="T207" s="1" t="s">
        <v>40</v>
      </c>
      <c r="U207" s="1">
        <v>66</v>
      </c>
      <c r="V207" s="1">
        <v>90</v>
      </c>
      <c r="W207" s="1" t="s">
        <v>41</v>
      </c>
      <c r="X207" s="1">
        <v>296608</v>
      </c>
      <c r="Y207" s="2">
        <v>37447</v>
      </c>
      <c r="Z207" s="1">
        <v>-8.8210262828535608</v>
      </c>
      <c r="AA207" s="1">
        <v>21</v>
      </c>
      <c r="AB207" s="1">
        <v>676000</v>
      </c>
      <c r="AC207" s="1">
        <f t="shared" si="3"/>
        <v>736000</v>
      </c>
    </row>
    <row r="208" spans="1:29" x14ac:dyDescent="0.25">
      <c r="A208" s="1" t="s">
        <v>4601</v>
      </c>
      <c r="B208" s="1" t="s">
        <v>2138</v>
      </c>
      <c r="C208" s="1" t="s">
        <v>2139</v>
      </c>
      <c r="D208" s="1">
        <v>2018</v>
      </c>
      <c r="E208" s="1" t="s">
        <v>45</v>
      </c>
      <c r="F208" s="1">
        <v>2</v>
      </c>
      <c r="G208" s="1" t="s">
        <v>46</v>
      </c>
      <c r="H208" s="1" t="s">
        <v>90</v>
      </c>
      <c r="I208" s="1">
        <v>92000</v>
      </c>
      <c r="J208" s="1">
        <v>77000</v>
      </c>
      <c r="K208" s="1">
        <v>15000</v>
      </c>
      <c r="L208" s="1">
        <v>0</v>
      </c>
      <c r="M208" s="1" t="s">
        <v>34</v>
      </c>
      <c r="N208" s="1" t="s">
        <v>63</v>
      </c>
      <c r="O208" s="1" t="s">
        <v>36</v>
      </c>
      <c r="P208" s="1" t="s">
        <v>37</v>
      </c>
      <c r="Q208" s="1" t="s">
        <v>38</v>
      </c>
      <c r="R208" s="1" t="s">
        <v>4602</v>
      </c>
      <c r="S208" s="3">
        <v>917674000000</v>
      </c>
      <c r="T208" s="1" t="s">
        <v>98</v>
      </c>
      <c r="U208" s="1">
        <v>66</v>
      </c>
      <c r="V208" s="1">
        <v>60</v>
      </c>
      <c r="W208" s="1" t="s">
        <v>41</v>
      </c>
      <c r="X208" s="1">
        <v>584372</v>
      </c>
      <c r="Y208" s="2">
        <v>36145</v>
      </c>
      <c r="Z208" s="1">
        <v>-8.8210262828535608</v>
      </c>
      <c r="AA208" s="1">
        <v>25</v>
      </c>
      <c r="AB208" s="1">
        <v>184000</v>
      </c>
      <c r="AC208" s="1">
        <f t="shared" si="3"/>
        <v>214000</v>
      </c>
    </row>
    <row r="209" spans="1:29" x14ac:dyDescent="0.25">
      <c r="A209" s="1" t="s">
        <v>4611</v>
      </c>
      <c r="B209" s="1" t="s">
        <v>4612</v>
      </c>
      <c r="C209" s="1" t="s">
        <v>4613</v>
      </c>
      <c r="D209" s="1">
        <v>2018</v>
      </c>
      <c r="E209" s="1" t="s">
        <v>31</v>
      </c>
      <c r="F209" s="1">
        <v>4</v>
      </c>
      <c r="G209" s="1" t="s">
        <v>32</v>
      </c>
      <c r="H209" s="1" t="s">
        <v>33</v>
      </c>
      <c r="I209" s="1">
        <v>169000</v>
      </c>
      <c r="J209" s="1">
        <v>154000</v>
      </c>
      <c r="K209" s="1">
        <v>15000</v>
      </c>
      <c r="L209" s="1">
        <v>0</v>
      </c>
      <c r="M209" s="1" t="s">
        <v>34</v>
      </c>
      <c r="N209" s="1" t="s">
        <v>35</v>
      </c>
      <c r="O209" s="1" t="s">
        <v>91</v>
      </c>
      <c r="P209" s="1" t="s">
        <v>92</v>
      </c>
      <c r="Q209" s="1" t="s">
        <v>38</v>
      </c>
      <c r="R209" s="1" t="s">
        <v>4614</v>
      </c>
      <c r="S209" s="3">
        <v>918861000000</v>
      </c>
      <c r="T209" s="1" t="s">
        <v>40</v>
      </c>
      <c r="U209" s="1">
        <v>66</v>
      </c>
      <c r="V209" s="1">
        <v>60</v>
      </c>
      <c r="W209" s="1" t="s">
        <v>41</v>
      </c>
      <c r="X209" s="1">
        <v>587438</v>
      </c>
      <c r="Y209" s="2">
        <v>37636</v>
      </c>
      <c r="Z209" s="1">
        <v>-8.8210262828535608</v>
      </c>
      <c r="AA209" s="1">
        <v>21</v>
      </c>
      <c r="AB209" s="1">
        <v>676000</v>
      </c>
      <c r="AC209" s="1">
        <f t="shared" si="3"/>
        <v>736000</v>
      </c>
    </row>
    <row r="210" spans="1:29" x14ac:dyDescent="0.25">
      <c r="A210" s="1" t="s">
        <v>4627</v>
      </c>
      <c r="B210" s="1" t="s">
        <v>3558</v>
      </c>
      <c r="C210" s="1" t="s">
        <v>3559</v>
      </c>
      <c r="D210" s="1">
        <v>2018</v>
      </c>
      <c r="E210" s="1" t="s">
        <v>45</v>
      </c>
      <c r="F210" s="1">
        <v>2</v>
      </c>
      <c r="G210" s="1" t="s">
        <v>46</v>
      </c>
      <c r="H210" s="1" t="s">
        <v>113</v>
      </c>
      <c r="I210" s="1">
        <v>92000</v>
      </c>
      <c r="J210" s="1">
        <v>77000</v>
      </c>
      <c r="K210" s="1">
        <v>15000</v>
      </c>
      <c r="L210" s="1">
        <v>0</v>
      </c>
      <c r="M210" s="1" t="s">
        <v>34</v>
      </c>
      <c r="N210" s="1" t="s">
        <v>70</v>
      </c>
      <c r="O210" s="1" t="s">
        <v>64</v>
      </c>
      <c r="P210" s="1" t="s">
        <v>65</v>
      </c>
      <c r="Q210" s="1" t="s">
        <v>38</v>
      </c>
      <c r="R210" s="1" t="s">
        <v>4628</v>
      </c>
      <c r="S210" s="3">
        <v>919701000000</v>
      </c>
      <c r="T210" s="1" t="s">
        <v>98</v>
      </c>
      <c r="U210" s="1">
        <v>65</v>
      </c>
      <c r="V210" s="1">
        <v>84</v>
      </c>
      <c r="W210" s="1" t="s">
        <v>52</v>
      </c>
      <c r="X210" s="1">
        <v>473716</v>
      </c>
      <c r="Y210" s="2">
        <v>37409</v>
      </c>
      <c r="Z210" s="1">
        <v>-9.8210262828535608</v>
      </c>
      <c r="AA210" s="1">
        <v>22</v>
      </c>
      <c r="AB210" s="1">
        <v>184000</v>
      </c>
      <c r="AC210" s="1">
        <f t="shared" si="3"/>
        <v>214000</v>
      </c>
    </row>
    <row r="211" spans="1:29" x14ac:dyDescent="0.25">
      <c r="A211" s="1" t="s">
        <v>4669</v>
      </c>
      <c r="B211" s="1" t="s">
        <v>2170</v>
      </c>
      <c r="C211" s="1" t="s">
        <v>2171</v>
      </c>
      <c r="D211" s="1">
        <v>2018</v>
      </c>
      <c r="E211" s="1" t="s">
        <v>31</v>
      </c>
      <c r="F211" s="1">
        <v>4</v>
      </c>
      <c r="G211" s="1" t="s">
        <v>32</v>
      </c>
      <c r="H211" s="1" t="s">
        <v>113</v>
      </c>
      <c r="I211" s="1">
        <v>169000</v>
      </c>
      <c r="J211" s="1">
        <v>154000</v>
      </c>
      <c r="K211" s="1">
        <v>15000</v>
      </c>
      <c r="L211" s="1">
        <v>0</v>
      </c>
      <c r="M211" s="1" t="s">
        <v>34</v>
      </c>
      <c r="N211" s="1" t="s">
        <v>35</v>
      </c>
      <c r="O211" s="1" t="s">
        <v>57</v>
      </c>
      <c r="P211" s="1" t="s">
        <v>57</v>
      </c>
      <c r="Q211" s="1" t="s">
        <v>38</v>
      </c>
      <c r="R211" s="1" t="s">
        <v>4670</v>
      </c>
      <c r="S211" s="3">
        <v>919358000000</v>
      </c>
      <c r="T211" s="1" t="s">
        <v>98</v>
      </c>
      <c r="U211" s="1">
        <v>65</v>
      </c>
      <c r="V211" s="1">
        <v>79</v>
      </c>
      <c r="W211" s="1" t="s">
        <v>41</v>
      </c>
      <c r="X211" s="1">
        <v>198599</v>
      </c>
      <c r="Y211" s="2">
        <v>37612</v>
      </c>
      <c r="Z211" s="1">
        <v>-9.8210262828535608</v>
      </c>
      <c r="AA211" s="1">
        <v>21</v>
      </c>
      <c r="AB211" s="1">
        <v>676000</v>
      </c>
      <c r="AC211" s="1">
        <f t="shared" si="3"/>
        <v>736000</v>
      </c>
    </row>
    <row r="212" spans="1:29" x14ac:dyDescent="0.25">
      <c r="A212" s="1" t="s">
        <v>4688</v>
      </c>
      <c r="B212" s="1" t="s">
        <v>3247</v>
      </c>
      <c r="C212" s="1" t="s">
        <v>3248</v>
      </c>
      <c r="D212" s="1">
        <v>2018</v>
      </c>
      <c r="E212" s="1" t="s">
        <v>31</v>
      </c>
      <c r="F212" s="1">
        <v>4</v>
      </c>
      <c r="G212" s="1" t="s">
        <v>32</v>
      </c>
      <c r="H212" s="1" t="s">
        <v>33</v>
      </c>
      <c r="I212" s="1">
        <v>169000</v>
      </c>
      <c r="J212" s="1">
        <v>154000</v>
      </c>
      <c r="K212" s="1">
        <v>15000</v>
      </c>
      <c r="L212" s="1">
        <v>0</v>
      </c>
      <c r="M212" s="1" t="s">
        <v>34</v>
      </c>
      <c r="N212" s="1" t="s">
        <v>35</v>
      </c>
      <c r="O212" s="1" t="s">
        <v>84</v>
      </c>
      <c r="P212" s="1" t="s">
        <v>65</v>
      </c>
      <c r="Q212" s="1" t="s">
        <v>38</v>
      </c>
      <c r="R212" s="1" t="s">
        <v>4689</v>
      </c>
      <c r="S212" s="3">
        <v>917530000000</v>
      </c>
      <c r="T212" s="1" t="s">
        <v>51</v>
      </c>
      <c r="U212" s="1">
        <v>65</v>
      </c>
      <c r="V212" s="1">
        <v>63</v>
      </c>
      <c r="W212" s="1" t="s">
        <v>41</v>
      </c>
      <c r="X212" s="1">
        <v>357612</v>
      </c>
      <c r="Y212" s="2">
        <v>37901</v>
      </c>
      <c r="Z212" s="1">
        <v>-9.8210262828535608</v>
      </c>
      <c r="AA212" s="1">
        <v>20</v>
      </c>
      <c r="AB212" s="1">
        <v>676000</v>
      </c>
      <c r="AC212" s="1">
        <f t="shared" si="3"/>
        <v>736000</v>
      </c>
    </row>
    <row r="213" spans="1:29" x14ac:dyDescent="0.25">
      <c r="A213" s="1" t="s">
        <v>4698</v>
      </c>
      <c r="B213" s="1" t="s">
        <v>4329</v>
      </c>
      <c r="C213" s="1" t="s">
        <v>4330</v>
      </c>
      <c r="D213" s="1">
        <v>2018</v>
      </c>
      <c r="E213" s="1" t="s">
        <v>31</v>
      </c>
      <c r="F213" s="1">
        <v>4</v>
      </c>
      <c r="G213" s="1" t="s">
        <v>32</v>
      </c>
      <c r="H213" s="1" t="s">
        <v>210</v>
      </c>
      <c r="I213" s="1">
        <v>169000</v>
      </c>
      <c r="J213" s="1">
        <v>154000</v>
      </c>
      <c r="K213" s="1">
        <v>15000</v>
      </c>
      <c r="L213" s="1">
        <v>0</v>
      </c>
      <c r="M213" s="1" t="s">
        <v>34</v>
      </c>
      <c r="N213" s="1" t="s">
        <v>63</v>
      </c>
      <c r="O213" s="1" t="s">
        <v>84</v>
      </c>
      <c r="P213" s="1" t="s">
        <v>65</v>
      </c>
      <c r="Q213" s="1" t="s">
        <v>38</v>
      </c>
      <c r="R213" s="1" t="s">
        <v>4699</v>
      </c>
      <c r="S213" s="3">
        <v>919707000000</v>
      </c>
      <c r="T213" s="1" t="s">
        <v>86</v>
      </c>
      <c r="U213" s="1">
        <v>65</v>
      </c>
      <c r="V213" s="1">
        <v>61</v>
      </c>
      <c r="W213" s="1" t="s">
        <v>52</v>
      </c>
      <c r="X213" s="1">
        <v>132248</v>
      </c>
      <c r="Y213" s="2">
        <v>37974</v>
      </c>
      <c r="Z213" s="1">
        <v>-9.8210262828535608</v>
      </c>
      <c r="AA213" s="1">
        <v>20</v>
      </c>
      <c r="AB213" s="1">
        <v>676000</v>
      </c>
      <c r="AC213" s="1">
        <f t="shared" si="3"/>
        <v>736000</v>
      </c>
    </row>
    <row r="214" spans="1:29" x14ac:dyDescent="0.25">
      <c r="A214" s="1" t="s">
        <v>4706</v>
      </c>
      <c r="B214" s="1" t="s">
        <v>3111</v>
      </c>
      <c r="C214" s="1" t="s">
        <v>3112</v>
      </c>
      <c r="D214" s="1">
        <v>2018</v>
      </c>
      <c r="E214" s="1" t="s">
        <v>31</v>
      </c>
      <c r="F214" s="1">
        <v>4</v>
      </c>
      <c r="G214" s="1" t="s">
        <v>32</v>
      </c>
      <c r="H214" s="1" t="s">
        <v>102</v>
      </c>
      <c r="I214" s="1">
        <v>169000</v>
      </c>
      <c r="J214" s="1">
        <v>154000</v>
      </c>
      <c r="K214" s="1">
        <v>15000</v>
      </c>
      <c r="L214" s="1">
        <v>0</v>
      </c>
      <c r="M214" s="1" t="s">
        <v>34</v>
      </c>
      <c r="N214" s="1" t="s">
        <v>70</v>
      </c>
      <c r="O214" s="1" t="s">
        <v>103</v>
      </c>
      <c r="P214" s="1" t="s">
        <v>104</v>
      </c>
      <c r="Q214" s="1" t="s">
        <v>38</v>
      </c>
      <c r="R214" s="1" t="s">
        <v>4707</v>
      </c>
      <c r="S214" s="3">
        <v>919594000000</v>
      </c>
      <c r="T214" s="1" t="s">
        <v>98</v>
      </c>
      <c r="U214" s="1">
        <v>65</v>
      </c>
      <c r="V214" s="1">
        <v>78</v>
      </c>
      <c r="W214" s="1" t="s">
        <v>52</v>
      </c>
      <c r="X214" s="1">
        <v>422448</v>
      </c>
      <c r="Y214" s="2">
        <v>38172</v>
      </c>
      <c r="Z214" s="1">
        <v>-9.8210262828535608</v>
      </c>
      <c r="AA214" s="1">
        <v>20</v>
      </c>
      <c r="AB214" s="1">
        <v>676000</v>
      </c>
      <c r="AC214" s="1">
        <f t="shared" si="3"/>
        <v>736000</v>
      </c>
    </row>
    <row r="215" spans="1:29" x14ac:dyDescent="0.25">
      <c r="A215" s="1" t="s">
        <v>4728</v>
      </c>
      <c r="B215" s="1" t="s">
        <v>4729</v>
      </c>
      <c r="C215" s="1" t="s">
        <v>4730</v>
      </c>
      <c r="D215" s="1">
        <v>2018</v>
      </c>
      <c r="E215" s="1" t="s">
        <v>31</v>
      </c>
      <c r="F215" s="1">
        <v>4</v>
      </c>
      <c r="G215" s="1" t="s">
        <v>32</v>
      </c>
      <c r="H215" s="1" t="s">
        <v>113</v>
      </c>
      <c r="I215" s="1">
        <v>169000</v>
      </c>
      <c r="J215" s="1">
        <v>154000</v>
      </c>
      <c r="K215" s="1">
        <v>15000</v>
      </c>
      <c r="L215" s="1">
        <v>0</v>
      </c>
      <c r="M215" s="1" t="s">
        <v>34</v>
      </c>
      <c r="N215" s="1" t="s">
        <v>63</v>
      </c>
      <c r="O215" s="1" t="s">
        <v>103</v>
      </c>
      <c r="P215" s="1" t="s">
        <v>104</v>
      </c>
      <c r="Q215" s="1" t="s">
        <v>38</v>
      </c>
      <c r="R215" s="1" t="s">
        <v>4731</v>
      </c>
      <c r="S215" s="3">
        <v>918581000000</v>
      </c>
      <c r="T215" s="1" t="s">
        <v>74</v>
      </c>
      <c r="U215" s="1">
        <v>65</v>
      </c>
      <c r="V215" s="1">
        <v>90</v>
      </c>
      <c r="W215" s="1" t="s">
        <v>41</v>
      </c>
      <c r="X215" s="1">
        <v>214701</v>
      </c>
      <c r="Y215" s="2">
        <v>38088</v>
      </c>
      <c r="Z215" s="1">
        <v>-9.8210262828535608</v>
      </c>
      <c r="AA215" s="1">
        <v>20</v>
      </c>
      <c r="AB215" s="1">
        <v>676000</v>
      </c>
      <c r="AC215" s="1">
        <f t="shared" si="3"/>
        <v>736000</v>
      </c>
    </row>
    <row r="216" spans="1:29" x14ac:dyDescent="0.25">
      <c r="A216" s="1" t="s">
        <v>4756</v>
      </c>
      <c r="B216" s="1" t="s">
        <v>4757</v>
      </c>
      <c r="C216" s="1" t="s">
        <v>4758</v>
      </c>
      <c r="D216" s="1">
        <v>2018</v>
      </c>
      <c r="E216" s="1" t="s">
        <v>31</v>
      </c>
      <c r="F216" s="1">
        <v>4</v>
      </c>
      <c r="G216" s="1" t="s">
        <v>32</v>
      </c>
      <c r="H216" s="1" t="s">
        <v>102</v>
      </c>
      <c r="I216" s="1">
        <v>169000</v>
      </c>
      <c r="J216" s="1">
        <v>154000</v>
      </c>
      <c r="K216" s="1">
        <v>15000</v>
      </c>
      <c r="L216" s="1">
        <v>0</v>
      </c>
      <c r="M216" s="1" t="s">
        <v>34</v>
      </c>
      <c r="N216" s="1" t="s">
        <v>35</v>
      </c>
      <c r="O216" s="1" t="s">
        <v>84</v>
      </c>
      <c r="P216" s="1" t="s">
        <v>65</v>
      </c>
      <c r="Q216" s="1" t="s">
        <v>38</v>
      </c>
      <c r="R216" s="1" t="s">
        <v>4759</v>
      </c>
      <c r="S216" s="3">
        <v>919296000000</v>
      </c>
      <c r="T216" s="1" t="s">
        <v>86</v>
      </c>
      <c r="U216" s="1">
        <v>65</v>
      </c>
      <c r="V216" s="1">
        <v>84</v>
      </c>
      <c r="W216" s="1" t="s">
        <v>52</v>
      </c>
      <c r="X216" s="1">
        <v>214524</v>
      </c>
      <c r="Y216" s="2">
        <v>37477</v>
      </c>
      <c r="Z216" s="1">
        <v>-9.8210262828535608</v>
      </c>
      <c r="AA216" s="1">
        <v>21</v>
      </c>
      <c r="AB216" s="1">
        <v>676000</v>
      </c>
      <c r="AC216" s="1">
        <f t="shared" si="3"/>
        <v>736000</v>
      </c>
    </row>
    <row r="217" spans="1:29" x14ac:dyDescent="0.25">
      <c r="A217" s="1" t="s">
        <v>4788</v>
      </c>
      <c r="B217" s="1" t="s">
        <v>2973</v>
      </c>
      <c r="C217" s="1" t="s">
        <v>2974</v>
      </c>
      <c r="D217" s="1">
        <v>2018</v>
      </c>
      <c r="E217" s="1" t="s">
        <v>45</v>
      </c>
      <c r="F217" s="1">
        <v>2</v>
      </c>
      <c r="G217" s="1" t="s">
        <v>46</v>
      </c>
      <c r="H217" s="1" t="s">
        <v>47</v>
      </c>
      <c r="I217" s="1">
        <v>92000</v>
      </c>
      <c r="J217" s="1">
        <v>77000</v>
      </c>
      <c r="K217" s="1">
        <v>15000</v>
      </c>
      <c r="L217" s="1">
        <v>0</v>
      </c>
      <c r="M217" s="1" t="s">
        <v>34</v>
      </c>
      <c r="N217" s="1" t="s">
        <v>70</v>
      </c>
      <c r="O217" s="1" t="s">
        <v>36</v>
      </c>
      <c r="P217" s="1" t="s">
        <v>37</v>
      </c>
      <c r="Q217" s="1" t="s">
        <v>38</v>
      </c>
      <c r="R217" s="1" t="s">
        <v>4789</v>
      </c>
      <c r="S217" s="3">
        <v>919626000000</v>
      </c>
      <c r="T217" s="1" t="s">
        <v>74</v>
      </c>
      <c r="U217" s="1">
        <v>64</v>
      </c>
      <c r="V217" s="1">
        <v>72</v>
      </c>
      <c r="W217" s="1" t="s">
        <v>52</v>
      </c>
      <c r="X217" s="1">
        <v>404571</v>
      </c>
      <c r="Y217" s="2">
        <v>35803</v>
      </c>
      <c r="Z217" s="1">
        <v>-10.8210262828535</v>
      </c>
      <c r="AA217" s="1">
        <v>26</v>
      </c>
      <c r="AB217" s="1">
        <v>184000</v>
      </c>
      <c r="AC217" s="1">
        <f t="shared" si="3"/>
        <v>214000</v>
      </c>
    </row>
    <row r="218" spans="1:29" x14ac:dyDescent="0.25">
      <c r="A218" s="1" t="s">
        <v>4790</v>
      </c>
      <c r="B218" s="1" t="s">
        <v>4791</v>
      </c>
      <c r="C218" s="1" t="s">
        <v>4792</v>
      </c>
      <c r="D218" s="1">
        <v>2018</v>
      </c>
      <c r="E218" s="1" t="s">
        <v>31</v>
      </c>
      <c r="F218" s="1">
        <v>4</v>
      </c>
      <c r="G218" s="1" t="s">
        <v>32</v>
      </c>
      <c r="H218" s="1" t="s">
        <v>62</v>
      </c>
      <c r="I218" s="1">
        <v>169000</v>
      </c>
      <c r="J218" s="1">
        <v>154000</v>
      </c>
      <c r="K218" s="1">
        <v>15000</v>
      </c>
      <c r="L218" s="1">
        <v>0</v>
      </c>
      <c r="M218" s="1" t="s">
        <v>34</v>
      </c>
      <c r="N218" s="1" t="s">
        <v>35</v>
      </c>
      <c r="O218" s="1" t="s">
        <v>48</v>
      </c>
      <c r="P218" s="1" t="s">
        <v>49</v>
      </c>
      <c r="Q218" s="1" t="s">
        <v>38</v>
      </c>
      <c r="R218" s="1" t="s">
        <v>4793</v>
      </c>
      <c r="S218" s="3">
        <v>919737000000</v>
      </c>
      <c r="T218" s="1" t="s">
        <v>51</v>
      </c>
      <c r="U218" s="1">
        <v>64</v>
      </c>
      <c r="V218" s="1">
        <v>66</v>
      </c>
      <c r="W218" s="1" t="s">
        <v>41</v>
      </c>
      <c r="X218" s="1">
        <v>791570</v>
      </c>
      <c r="Y218" s="2">
        <v>38475</v>
      </c>
      <c r="Z218" s="1">
        <v>-10.8210262828535</v>
      </c>
      <c r="AA218" s="1">
        <v>19</v>
      </c>
      <c r="AB218" s="1">
        <v>676000</v>
      </c>
      <c r="AC218" s="1">
        <f t="shared" si="3"/>
        <v>736000</v>
      </c>
    </row>
    <row r="219" spans="1:29" x14ac:dyDescent="0.25">
      <c r="A219" s="1" t="s">
        <v>4804</v>
      </c>
      <c r="B219" s="1" t="s">
        <v>1415</v>
      </c>
      <c r="C219" s="1" t="s">
        <v>1416</v>
      </c>
      <c r="D219" s="1">
        <v>2018</v>
      </c>
      <c r="E219" s="1" t="s">
        <v>45</v>
      </c>
      <c r="F219" s="1">
        <v>2</v>
      </c>
      <c r="G219" s="1" t="s">
        <v>46</v>
      </c>
      <c r="H219" s="1" t="s">
        <v>33</v>
      </c>
      <c r="I219" s="1">
        <v>92000</v>
      </c>
      <c r="J219" s="1">
        <v>77000</v>
      </c>
      <c r="K219" s="1">
        <v>15000</v>
      </c>
      <c r="L219" s="1">
        <v>0</v>
      </c>
      <c r="M219" s="1" t="s">
        <v>34</v>
      </c>
      <c r="N219" s="1" t="s">
        <v>70</v>
      </c>
      <c r="O219" s="1" t="s">
        <v>91</v>
      </c>
      <c r="P219" s="1" t="s">
        <v>92</v>
      </c>
      <c r="Q219" s="1" t="s">
        <v>38</v>
      </c>
      <c r="R219" s="1" t="s">
        <v>4805</v>
      </c>
      <c r="S219" s="3">
        <v>919704000000</v>
      </c>
      <c r="T219" s="1" t="s">
        <v>74</v>
      </c>
      <c r="U219" s="1">
        <v>64</v>
      </c>
      <c r="V219" s="1">
        <v>76</v>
      </c>
      <c r="W219" s="1" t="s">
        <v>52</v>
      </c>
      <c r="X219" s="1">
        <v>715571</v>
      </c>
      <c r="Y219" s="2">
        <v>36404</v>
      </c>
      <c r="Z219" s="1">
        <v>-10.8210262828535</v>
      </c>
      <c r="AA219" s="1">
        <v>24</v>
      </c>
      <c r="AB219" s="1">
        <v>184000</v>
      </c>
      <c r="AC219" s="1">
        <f t="shared" si="3"/>
        <v>214000</v>
      </c>
    </row>
    <row r="220" spans="1:29" x14ac:dyDescent="0.25">
      <c r="A220" s="1" t="s">
        <v>4810</v>
      </c>
      <c r="B220" s="1" t="s">
        <v>4811</v>
      </c>
      <c r="C220" s="1" t="s">
        <v>4812</v>
      </c>
      <c r="D220" s="1">
        <v>2018</v>
      </c>
      <c r="E220" s="1" t="s">
        <v>31</v>
      </c>
      <c r="F220" s="1">
        <v>4</v>
      </c>
      <c r="G220" s="1" t="s">
        <v>32</v>
      </c>
      <c r="H220" s="1" t="s">
        <v>56</v>
      </c>
      <c r="I220" s="1">
        <v>169000</v>
      </c>
      <c r="J220" s="1">
        <v>154000</v>
      </c>
      <c r="K220" s="1">
        <v>15000</v>
      </c>
      <c r="L220" s="1">
        <v>0</v>
      </c>
      <c r="M220" s="1" t="s">
        <v>34</v>
      </c>
      <c r="N220" s="1" t="s">
        <v>70</v>
      </c>
      <c r="O220" s="1" t="s">
        <v>78</v>
      </c>
      <c r="P220" s="1" t="s">
        <v>79</v>
      </c>
      <c r="Q220" s="1" t="s">
        <v>38</v>
      </c>
      <c r="R220" s="1" t="s">
        <v>4813</v>
      </c>
      <c r="S220" s="3">
        <v>919306000000</v>
      </c>
      <c r="T220" s="1" t="s">
        <v>40</v>
      </c>
      <c r="U220" s="1">
        <v>64</v>
      </c>
      <c r="V220" s="1">
        <v>89</v>
      </c>
      <c r="W220" s="1" t="s">
        <v>52</v>
      </c>
      <c r="X220" s="1">
        <v>138866</v>
      </c>
      <c r="Y220" s="2">
        <v>38080</v>
      </c>
      <c r="Z220" s="1">
        <v>-10.8210262828535</v>
      </c>
      <c r="AA220" s="1">
        <v>20</v>
      </c>
      <c r="AB220" s="1">
        <v>676000</v>
      </c>
      <c r="AC220" s="1">
        <f t="shared" si="3"/>
        <v>736000</v>
      </c>
    </row>
    <row r="221" spans="1:29" x14ac:dyDescent="0.25">
      <c r="A221" s="1" t="s">
        <v>4822</v>
      </c>
      <c r="B221" s="1" t="s">
        <v>4823</v>
      </c>
      <c r="C221" s="1" t="s">
        <v>4824</v>
      </c>
      <c r="D221" s="1">
        <v>2018</v>
      </c>
      <c r="E221" s="1" t="s">
        <v>31</v>
      </c>
      <c r="F221" s="1">
        <v>4</v>
      </c>
      <c r="G221" s="1" t="s">
        <v>32</v>
      </c>
      <c r="H221" s="1" t="s">
        <v>33</v>
      </c>
      <c r="I221" s="1">
        <v>169000</v>
      </c>
      <c r="J221" s="1">
        <v>154000</v>
      </c>
      <c r="K221" s="1">
        <v>15000</v>
      </c>
      <c r="L221" s="1">
        <v>0</v>
      </c>
      <c r="M221" s="1" t="s">
        <v>34</v>
      </c>
      <c r="N221" s="1" t="s">
        <v>63</v>
      </c>
      <c r="O221" s="1" t="s">
        <v>36</v>
      </c>
      <c r="P221" s="1" t="s">
        <v>37</v>
      </c>
      <c r="Q221" s="1" t="s">
        <v>38</v>
      </c>
      <c r="R221" s="1" t="s">
        <v>4825</v>
      </c>
      <c r="S221" s="3">
        <v>917367000000</v>
      </c>
      <c r="T221" s="1" t="s">
        <v>86</v>
      </c>
      <c r="U221" s="1">
        <v>64</v>
      </c>
      <c r="V221" s="1">
        <v>81</v>
      </c>
      <c r="W221" s="1" t="s">
        <v>52</v>
      </c>
      <c r="X221" s="1">
        <v>618449</v>
      </c>
      <c r="Y221" s="2">
        <v>38529</v>
      </c>
      <c r="Z221" s="1">
        <v>-10.8210262828535</v>
      </c>
      <c r="AA221" s="1">
        <v>19</v>
      </c>
      <c r="AB221" s="1">
        <v>676000</v>
      </c>
      <c r="AC221" s="1">
        <f t="shared" si="3"/>
        <v>736000</v>
      </c>
    </row>
    <row r="222" spans="1:29" x14ac:dyDescent="0.25">
      <c r="A222" s="1" t="s">
        <v>4840</v>
      </c>
      <c r="B222" s="1" t="s">
        <v>4841</v>
      </c>
      <c r="C222" s="1" t="s">
        <v>4842</v>
      </c>
      <c r="D222" s="1">
        <v>2018</v>
      </c>
      <c r="E222" s="1" t="s">
        <v>31</v>
      </c>
      <c r="F222" s="1">
        <v>4</v>
      </c>
      <c r="G222" s="1" t="s">
        <v>32</v>
      </c>
      <c r="H222" s="1" t="s">
        <v>122</v>
      </c>
      <c r="I222" s="1">
        <v>169000</v>
      </c>
      <c r="J222" s="1">
        <v>154000</v>
      </c>
      <c r="K222" s="1">
        <v>15000</v>
      </c>
      <c r="L222" s="1">
        <v>0</v>
      </c>
      <c r="M222" s="1" t="s">
        <v>34</v>
      </c>
      <c r="N222" s="1" t="s">
        <v>35</v>
      </c>
      <c r="O222" s="1" t="s">
        <v>78</v>
      </c>
      <c r="P222" s="1" t="s">
        <v>79</v>
      </c>
      <c r="Q222" s="1" t="s">
        <v>38</v>
      </c>
      <c r="R222" s="1" t="s">
        <v>4843</v>
      </c>
      <c r="S222" s="3">
        <v>917528000000</v>
      </c>
      <c r="T222" s="1" t="s">
        <v>98</v>
      </c>
      <c r="U222" s="1">
        <v>64</v>
      </c>
      <c r="V222" s="1">
        <v>74</v>
      </c>
      <c r="W222" s="1" t="s">
        <v>41</v>
      </c>
      <c r="X222" s="1">
        <v>722527</v>
      </c>
      <c r="Y222" s="2">
        <v>37890</v>
      </c>
      <c r="Z222" s="1">
        <v>-10.8210262828535</v>
      </c>
      <c r="AA222" s="1">
        <v>20</v>
      </c>
      <c r="AB222" s="1">
        <v>676000</v>
      </c>
      <c r="AC222" s="1">
        <f t="shared" si="3"/>
        <v>736000</v>
      </c>
    </row>
    <row r="223" spans="1:29" x14ac:dyDescent="0.25">
      <c r="A223" s="1" t="s">
        <v>4848</v>
      </c>
      <c r="B223" s="1" t="s">
        <v>4849</v>
      </c>
      <c r="C223" s="1" t="s">
        <v>4850</v>
      </c>
      <c r="D223" s="1">
        <v>2018</v>
      </c>
      <c r="E223" s="1" t="s">
        <v>31</v>
      </c>
      <c r="F223" s="1">
        <v>4</v>
      </c>
      <c r="G223" s="1" t="s">
        <v>32</v>
      </c>
      <c r="H223" s="1" t="s">
        <v>47</v>
      </c>
      <c r="I223" s="1">
        <v>169000</v>
      </c>
      <c r="J223" s="1">
        <v>154000</v>
      </c>
      <c r="K223" s="1">
        <v>15000</v>
      </c>
      <c r="L223" s="1">
        <v>0</v>
      </c>
      <c r="M223" s="1" t="s">
        <v>34</v>
      </c>
      <c r="N223" s="1" t="s">
        <v>35</v>
      </c>
      <c r="O223" s="1" t="s">
        <v>84</v>
      </c>
      <c r="P223" s="1" t="s">
        <v>65</v>
      </c>
      <c r="Q223" s="1" t="s">
        <v>38</v>
      </c>
      <c r="R223" s="1" t="s">
        <v>4851</v>
      </c>
      <c r="S223" s="3">
        <v>919646000000</v>
      </c>
      <c r="T223" s="1" t="s">
        <v>40</v>
      </c>
      <c r="U223" s="1">
        <v>64</v>
      </c>
      <c r="V223" s="1">
        <v>89</v>
      </c>
      <c r="W223" s="1" t="s">
        <v>52</v>
      </c>
      <c r="X223" s="1">
        <v>546437</v>
      </c>
      <c r="Y223" s="2">
        <v>37986</v>
      </c>
      <c r="Z223" s="1">
        <v>-10.8210262828535</v>
      </c>
      <c r="AA223" s="1">
        <v>20</v>
      </c>
      <c r="AB223" s="1">
        <v>676000</v>
      </c>
      <c r="AC223" s="1">
        <f t="shared" si="3"/>
        <v>736000</v>
      </c>
    </row>
    <row r="224" spans="1:29" x14ac:dyDescent="0.25">
      <c r="A224" s="1" t="s">
        <v>4866</v>
      </c>
      <c r="B224" s="1" t="s">
        <v>4867</v>
      </c>
      <c r="C224" s="1" t="s">
        <v>4868</v>
      </c>
      <c r="D224" s="1">
        <v>2018</v>
      </c>
      <c r="E224" s="1" t="s">
        <v>31</v>
      </c>
      <c r="F224" s="1">
        <v>4</v>
      </c>
      <c r="G224" s="1" t="s">
        <v>32</v>
      </c>
      <c r="H224" s="1" t="s">
        <v>56</v>
      </c>
      <c r="I224" s="1">
        <v>169000</v>
      </c>
      <c r="J224" s="1">
        <v>154000</v>
      </c>
      <c r="K224" s="1">
        <v>15000</v>
      </c>
      <c r="L224" s="1">
        <v>0</v>
      </c>
      <c r="M224" s="1" t="s">
        <v>34</v>
      </c>
      <c r="N224" s="1" t="s">
        <v>35</v>
      </c>
      <c r="O224" s="1" t="s">
        <v>78</v>
      </c>
      <c r="P224" s="1" t="s">
        <v>79</v>
      </c>
      <c r="Q224" s="1" t="s">
        <v>38</v>
      </c>
      <c r="R224" s="1" t="s">
        <v>4869</v>
      </c>
      <c r="S224" s="3">
        <v>918985000000</v>
      </c>
      <c r="T224" s="1" t="s">
        <v>86</v>
      </c>
      <c r="U224" s="1">
        <v>64</v>
      </c>
      <c r="V224" s="1">
        <v>71</v>
      </c>
      <c r="W224" s="1" t="s">
        <v>41</v>
      </c>
      <c r="X224" s="1">
        <v>177567</v>
      </c>
      <c r="Y224" s="2">
        <v>37136</v>
      </c>
      <c r="Z224" s="1">
        <v>-10.8210262828535</v>
      </c>
      <c r="AA224" s="1">
        <v>22</v>
      </c>
      <c r="AB224" s="1">
        <v>676000</v>
      </c>
      <c r="AC224" s="1">
        <f t="shared" si="3"/>
        <v>736000</v>
      </c>
    </row>
    <row r="225" spans="1:29" x14ac:dyDescent="0.25">
      <c r="A225" s="1" t="s">
        <v>4910</v>
      </c>
      <c r="B225" s="1" t="s">
        <v>253</v>
      </c>
      <c r="C225" s="1" t="s">
        <v>254</v>
      </c>
      <c r="D225" s="1">
        <v>2018</v>
      </c>
      <c r="E225" s="1" t="s">
        <v>45</v>
      </c>
      <c r="F225" s="1">
        <v>2</v>
      </c>
      <c r="G225" s="1" t="s">
        <v>46</v>
      </c>
      <c r="H225" s="1" t="s">
        <v>90</v>
      </c>
      <c r="I225" s="1">
        <v>92000</v>
      </c>
      <c r="J225" s="1">
        <v>77000</v>
      </c>
      <c r="K225" s="1">
        <v>15000</v>
      </c>
      <c r="L225" s="1">
        <v>0</v>
      </c>
      <c r="M225" s="1" t="s">
        <v>34</v>
      </c>
      <c r="N225" s="1" t="s">
        <v>70</v>
      </c>
      <c r="O225" s="1" t="s">
        <v>57</v>
      </c>
      <c r="P225" s="1" t="s">
        <v>57</v>
      </c>
      <c r="Q225" s="1" t="s">
        <v>38</v>
      </c>
      <c r="R225" s="1" t="s">
        <v>4911</v>
      </c>
      <c r="S225" s="3">
        <v>918382000000</v>
      </c>
      <c r="T225" s="1" t="s">
        <v>40</v>
      </c>
      <c r="U225" s="1">
        <v>64</v>
      </c>
      <c r="V225" s="1">
        <v>69</v>
      </c>
      <c r="W225" s="1" t="s">
        <v>41</v>
      </c>
      <c r="X225" s="1">
        <v>538751</v>
      </c>
      <c r="Y225" s="2">
        <v>37430</v>
      </c>
      <c r="Z225" s="1">
        <v>-10.8210262828535</v>
      </c>
      <c r="AA225" s="1">
        <v>22</v>
      </c>
      <c r="AB225" s="1">
        <v>184000</v>
      </c>
      <c r="AC225" s="1">
        <f t="shared" si="3"/>
        <v>214000</v>
      </c>
    </row>
    <row r="226" spans="1:29" x14ac:dyDescent="0.25">
      <c r="A226" s="1" t="s">
        <v>4916</v>
      </c>
      <c r="B226" s="1" t="s">
        <v>4917</v>
      </c>
      <c r="C226" s="1" t="s">
        <v>4918</v>
      </c>
      <c r="D226" s="1">
        <v>2018</v>
      </c>
      <c r="E226" s="1" t="s">
        <v>31</v>
      </c>
      <c r="F226" s="1">
        <v>4</v>
      </c>
      <c r="G226" s="1" t="s">
        <v>32</v>
      </c>
      <c r="H226" s="1" t="s">
        <v>33</v>
      </c>
      <c r="I226" s="1">
        <v>169000</v>
      </c>
      <c r="J226" s="1">
        <v>154000</v>
      </c>
      <c r="K226" s="1">
        <v>15000</v>
      </c>
      <c r="L226" s="1">
        <v>0</v>
      </c>
      <c r="M226" s="1" t="s">
        <v>34</v>
      </c>
      <c r="N226" s="1" t="s">
        <v>63</v>
      </c>
      <c r="O226" s="1" t="s">
        <v>71</v>
      </c>
      <c r="P226" s="1" t="s">
        <v>72</v>
      </c>
      <c r="Q226" s="1" t="s">
        <v>38</v>
      </c>
      <c r="R226" s="1" t="s">
        <v>4919</v>
      </c>
      <c r="S226" s="3">
        <v>919895000000</v>
      </c>
      <c r="T226" s="1" t="s">
        <v>40</v>
      </c>
      <c r="U226" s="1">
        <v>64</v>
      </c>
      <c r="V226" s="1">
        <v>64</v>
      </c>
      <c r="W226" s="1" t="s">
        <v>41</v>
      </c>
      <c r="X226" s="1">
        <v>291865</v>
      </c>
      <c r="Y226" s="2">
        <v>37047</v>
      </c>
      <c r="Z226" s="1">
        <v>-10.8210262828535</v>
      </c>
      <c r="AA226" s="1">
        <v>23</v>
      </c>
      <c r="AB226" s="1">
        <v>676000</v>
      </c>
      <c r="AC226" s="1">
        <f t="shared" si="3"/>
        <v>736000</v>
      </c>
    </row>
    <row r="227" spans="1:29" x14ac:dyDescent="0.25">
      <c r="A227" s="1" t="s">
        <v>4938</v>
      </c>
      <c r="B227" s="1" t="s">
        <v>4939</v>
      </c>
      <c r="C227" s="1" t="s">
        <v>4940</v>
      </c>
      <c r="D227" s="1">
        <v>2018</v>
      </c>
      <c r="E227" s="1" t="s">
        <v>31</v>
      </c>
      <c r="F227" s="1">
        <v>4</v>
      </c>
      <c r="G227" s="1" t="s">
        <v>32</v>
      </c>
      <c r="H227" s="1" t="s">
        <v>102</v>
      </c>
      <c r="I227" s="1">
        <v>169000</v>
      </c>
      <c r="J227" s="1">
        <v>154000</v>
      </c>
      <c r="K227" s="1">
        <v>15000</v>
      </c>
      <c r="L227" s="1">
        <v>0</v>
      </c>
      <c r="M227" s="1" t="s">
        <v>34</v>
      </c>
      <c r="N227" s="1" t="s">
        <v>70</v>
      </c>
      <c r="O227" s="1" t="s">
        <v>71</v>
      </c>
      <c r="P227" s="1" t="s">
        <v>72</v>
      </c>
      <c r="Q227" s="1" t="s">
        <v>38</v>
      </c>
      <c r="R227" s="1" t="s">
        <v>4941</v>
      </c>
      <c r="S227" s="3">
        <v>919050000000</v>
      </c>
      <c r="T227" s="1" t="s">
        <v>98</v>
      </c>
      <c r="U227" s="1">
        <v>64</v>
      </c>
      <c r="V227" s="1">
        <v>73</v>
      </c>
      <c r="W227" s="1" t="s">
        <v>41</v>
      </c>
      <c r="X227" s="1">
        <v>424790</v>
      </c>
      <c r="Y227" s="2">
        <v>37858</v>
      </c>
      <c r="Z227" s="1">
        <v>-10.8210262828535</v>
      </c>
      <c r="AA227" s="1">
        <v>20</v>
      </c>
      <c r="AB227" s="1">
        <v>676000</v>
      </c>
      <c r="AC227" s="1">
        <f t="shared" si="3"/>
        <v>736000</v>
      </c>
    </row>
    <row r="228" spans="1:29" x14ac:dyDescent="0.25">
      <c r="A228" s="1" t="s">
        <v>4942</v>
      </c>
      <c r="B228" s="1" t="s">
        <v>4943</v>
      </c>
      <c r="C228" s="1" t="s">
        <v>4944</v>
      </c>
      <c r="D228" s="1">
        <v>2018</v>
      </c>
      <c r="E228" s="1" t="s">
        <v>31</v>
      </c>
      <c r="F228" s="1">
        <v>4</v>
      </c>
      <c r="G228" s="1" t="s">
        <v>32</v>
      </c>
      <c r="H228" s="1" t="s">
        <v>33</v>
      </c>
      <c r="I228" s="1">
        <v>169000</v>
      </c>
      <c r="J228" s="1">
        <v>154000</v>
      </c>
      <c r="K228" s="1">
        <v>15000</v>
      </c>
      <c r="L228" s="1">
        <v>0</v>
      </c>
      <c r="M228" s="1" t="s">
        <v>34</v>
      </c>
      <c r="N228" s="1" t="s">
        <v>63</v>
      </c>
      <c r="O228" s="1" t="s">
        <v>36</v>
      </c>
      <c r="P228" s="1" t="s">
        <v>37</v>
      </c>
      <c r="Q228" s="1" t="s">
        <v>38</v>
      </c>
      <c r="R228" s="1" t="s">
        <v>4945</v>
      </c>
      <c r="S228" s="3">
        <v>917092000000</v>
      </c>
      <c r="T228" s="1" t="s">
        <v>40</v>
      </c>
      <c r="U228" s="1">
        <v>64</v>
      </c>
      <c r="V228" s="1">
        <v>76</v>
      </c>
      <c r="W228" s="1" t="s">
        <v>52</v>
      </c>
      <c r="X228" s="1">
        <v>541199</v>
      </c>
      <c r="Y228" s="2">
        <v>37767</v>
      </c>
      <c r="Z228" s="1">
        <v>-10.8210262828535</v>
      </c>
      <c r="AA228" s="1">
        <v>21</v>
      </c>
      <c r="AB228" s="1">
        <v>676000</v>
      </c>
      <c r="AC228" s="1">
        <f t="shared" si="3"/>
        <v>736000</v>
      </c>
    </row>
    <row r="229" spans="1:29" x14ac:dyDescent="0.25">
      <c r="A229" s="1" t="s">
        <v>4950</v>
      </c>
      <c r="B229" s="1" t="s">
        <v>4951</v>
      </c>
      <c r="C229" s="1" t="s">
        <v>4952</v>
      </c>
      <c r="D229" s="1">
        <v>2018</v>
      </c>
      <c r="E229" s="1" t="s">
        <v>31</v>
      </c>
      <c r="F229" s="1">
        <v>4</v>
      </c>
      <c r="G229" s="1" t="s">
        <v>32</v>
      </c>
      <c r="H229" s="1" t="s">
        <v>47</v>
      </c>
      <c r="I229" s="1">
        <v>169000</v>
      </c>
      <c r="J229" s="1">
        <v>154000</v>
      </c>
      <c r="K229" s="1">
        <v>15000</v>
      </c>
      <c r="L229" s="1">
        <v>0</v>
      </c>
      <c r="M229" s="1" t="s">
        <v>34</v>
      </c>
      <c r="N229" s="1" t="s">
        <v>70</v>
      </c>
      <c r="O229" s="1" t="s">
        <v>57</v>
      </c>
      <c r="P229" s="1" t="s">
        <v>57</v>
      </c>
      <c r="Q229" s="1" t="s">
        <v>38</v>
      </c>
      <c r="R229" s="1" t="s">
        <v>4953</v>
      </c>
      <c r="S229" s="3">
        <v>919672000000</v>
      </c>
      <c r="T229" s="1" t="s">
        <v>74</v>
      </c>
      <c r="U229" s="1">
        <v>64</v>
      </c>
      <c r="V229" s="1">
        <v>62</v>
      </c>
      <c r="W229" s="1" t="s">
        <v>52</v>
      </c>
      <c r="X229" s="1">
        <v>357494</v>
      </c>
      <c r="Y229" s="2">
        <v>37503</v>
      </c>
      <c r="Z229" s="1">
        <v>-10.8210262828535</v>
      </c>
      <c r="AA229" s="1">
        <v>21</v>
      </c>
      <c r="AB229" s="1">
        <v>676000</v>
      </c>
      <c r="AC229" s="1">
        <f t="shared" si="3"/>
        <v>736000</v>
      </c>
    </row>
    <row r="230" spans="1:29" x14ac:dyDescent="0.25">
      <c r="A230" s="1" t="s">
        <v>4956</v>
      </c>
      <c r="B230" s="1" t="s">
        <v>4957</v>
      </c>
      <c r="C230" s="1" t="s">
        <v>4958</v>
      </c>
      <c r="D230" s="1">
        <v>2018</v>
      </c>
      <c r="E230" s="1" t="s">
        <v>31</v>
      </c>
      <c r="F230" s="1">
        <v>4</v>
      </c>
      <c r="G230" s="1" t="s">
        <v>32</v>
      </c>
      <c r="H230" s="1" t="s">
        <v>47</v>
      </c>
      <c r="I230" s="1">
        <v>169000</v>
      </c>
      <c r="J230" s="1">
        <v>154000</v>
      </c>
      <c r="K230" s="1">
        <v>15000</v>
      </c>
      <c r="L230" s="1">
        <v>0</v>
      </c>
      <c r="M230" s="1" t="s">
        <v>34</v>
      </c>
      <c r="N230" s="1" t="s">
        <v>70</v>
      </c>
      <c r="O230" s="1" t="s">
        <v>71</v>
      </c>
      <c r="P230" s="1" t="s">
        <v>72</v>
      </c>
      <c r="Q230" s="1" t="s">
        <v>38</v>
      </c>
      <c r="R230" s="1" t="s">
        <v>4959</v>
      </c>
      <c r="S230" s="3">
        <v>917341000000</v>
      </c>
      <c r="T230" s="1" t="s">
        <v>86</v>
      </c>
      <c r="U230" s="1">
        <v>64</v>
      </c>
      <c r="V230" s="1">
        <v>72</v>
      </c>
      <c r="W230" s="1" t="s">
        <v>52</v>
      </c>
      <c r="X230" s="1">
        <v>124235</v>
      </c>
      <c r="Y230" s="2">
        <v>38515</v>
      </c>
      <c r="Z230" s="1">
        <v>-10.8210262828535</v>
      </c>
      <c r="AA230" s="1">
        <v>19</v>
      </c>
      <c r="AB230" s="1">
        <v>676000</v>
      </c>
      <c r="AC230" s="1">
        <f t="shared" si="3"/>
        <v>736000</v>
      </c>
    </row>
    <row r="231" spans="1:29" x14ac:dyDescent="0.25">
      <c r="A231" s="1" t="s">
        <v>4974</v>
      </c>
      <c r="B231" s="1" t="s">
        <v>3428</v>
      </c>
      <c r="C231" s="1" t="s">
        <v>3429</v>
      </c>
      <c r="D231" s="1">
        <v>2018</v>
      </c>
      <c r="E231" s="1" t="s">
        <v>31</v>
      </c>
      <c r="F231" s="1">
        <v>4</v>
      </c>
      <c r="G231" s="1" t="s">
        <v>32</v>
      </c>
      <c r="H231" s="1" t="s">
        <v>102</v>
      </c>
      <c r="I231" s="1">
        <v>169000</v>
      </c>
      <c r="J231" s="1">
        <v>154000</v>
      </c>
      <c r="K231" s="1">
        <v>15000</v>
      </c>
      <c r="L231" s="1">
        <v>0</v>
      </c>
      <c r="M231" s="1" t="s">
        <v>34</v>
      </c>
      <c r="N231" s="1" t="s">
        <v>70</v>
      </c>
      <c r="O231" s="1" t="s">
        <v>48</v>
      </c>
      <c r="P231" s="1" t="s">
        <v>49</v>
      </c>
      <c r="Q231" s="1" t="s">
        <v>38</v>
      </c>
      <c r="R231" s="1" t="s">
        <v>4975</v>
      </c>
      <c r="S231" s="3">
        <v>918470000000</v>
      </c>
      <c r="T231" s="1" t="s">
        <v>74</v>
      </c>
      <c r="U231" s="1">
        <v>63</v>
      </c>
      <c r="V231" s="1">
        <v>69</v>
      </c>
      <c r="W231" s="1" t="s">
        <v>52</v>
      </c>
      <c r="X231" s="1">
        <v>530583</v>
      </c>
      <c r="Y231" s="2">
        <v>38139</v>
      </c>
      <c r="Z231" s="1">
        <v>-11.8210262828535</v>
      </c>
      <c r="AA231" s="1">
        <v>20</v>
      </c>
      <c r="AB231" s="1">
        <v>676000</v>
      </c>
      <c r="AC231" s="1">
        <f t="shared" si="3"/>
        <v>736000</v>
      </c>
    </row>
    <row r="232" spans="1:29" x14ac:dyDescent="0.25">
      <c r="A232" s="1" t="s">
        <v>5010</v>
      </c>
      <c r="B232" s="1" t="s">
        <v>4260</v>
      </c>
      <c r="C232" s="1" t="s">
        <v>4261</v>
      </c>
      <c r="D232" s="1">
        <v>2018</v>
      </c>
      <c r="E232" s="1" t="s">
        <v>45</v>
      </c>
      <c r="F232" s="1">
        <v>2</v>
      </c>
      <c r="G232" s="1" t="s">
        <v>46</v>
      </c>
      <c r="H232" s="1" t="s">
        <v>113</v>
      </c>
      <c r="I232" s="1">
        <v>92000</v>
      </c>
      <c r="J232" s="1">
        <v>77000</v>
      </c>
      <c r="K232" s="1">
        <v>15000</v>
      </c>
      <c r="L232" s="1">
        <v>0</v>
      </c>
      <c r="M232" s="1" t="s">
        <v>34</v>
      </c>
      <c r="N232" s="1" t="s">
        <v>63</v>
      </c>
      <c r="O232" s="1" t="s">
        <v>64</v>
      </c>
      <c r="P232" s="1" t="s">
        <v>65</v>
      </c>
      <c r="Q232" s="1" t="s">
        <v>38</v>
      </c>
      <c r="R232" s="1" t="s">
        <v>5011</v>
      </c>
      <c r="S232" s="3">
        <v>919454000000</v>
      </c>
      <c r="T232" s="1" t="s">
        <v>51</v>
      </c>
      <c r="U232" s="1">
        <v>63</v>
      </c>
      <c r="V232" s="1">
        <v>73</v>
      </c>
      <c r="W232" s="1" t="s">
        <v>41</v>
      </c>
      <c r="X232" s="1">
        <v>494535</v>
      </c>
      <c r="Y232" s="2">
        <v>36181</v>
      </c>
      <c r="Z232" s="1">
        <v>-11.8210262828535</v>
      </c>
      <c r="AA232" s="1">
        <v>25</v>
      </c>
      <c r="AB232" s="1">
        <v>184000</v>
      </c>
      <c r="AC232" s="1">
        <f t="shared" si="3"/>
        <v>214000</v>
      </c>
    </row>
    <row r="233" spans="1:29" x14ac:dyDescent="0.25">
      <c r="A233" s="1" t="s">
        <v>5016</v>
      </c>
      <c r="B233" s="1" t="s">
        <v>2521</v>
      </c>
      <c r="C233" s="1" t="s">
        <v>2522</v>
      </c>
      <c r="D233" s="1">
        <v>2018</v>
      </c>
      <c r="E233" s="1" t="s">
        <v>31</v>
      </c>
      <c r="F233" s="1">
        <v>4</v>
      </c>
      <c r="G233" s="1" t="s">
        <v>32</v>
      </c>
      <c r="H233" s="1" t="s">
        <v>33</v>
      </c>
      <c r="I233" s="1">
        <v>169000</v>
      </c>
      <c r="J233" s="1">
        <v>154000</v>
      </c>
      <c r="K233" s="1">
        <v>15000</v>
      </c>
      <c r="L233" s="1">
        <v>0</v>
      </c>
      <c r="M233" s="1" t="s">
        <v>34</v>
      </c>
      <c r="N233" s="1" t="s">
        <v>63</v>
      </c>
      <c r="O233" s="1" t="s">
        <v>71</v>
      </c>
      <c r="P233" s="1" t="s">
        <v>72</v>
      </c>
      <c r="Q233" s="1" t="s">
        <v>38</v>
      </c>
      <c r="R233" s="1" t="s">
        <v>5017</v>
      </c>
      <c r="S233" s="3">
        <v>917340000000</v>
      </c>
      <c r="T233" s="1" t="s">
        <v>98</v>
      </c>
      <c r="U233" s="1">
        <v>63</v>
      </c>
      <c r="V233" s="1">
        <v>88</v>
      </c>
      <c r="W233" s="1" t="s">
        <v>41</v>
      </c>
      <c r="X233" s="1">
        <v>377377</v>
      </c>
      <c r="Y233" s="2">
        <v>38042</v>
      </c>
      <c r="Z233" s="1">
        <v>-11.8210262828535</v>
      </c>
      <c r="AA233" s="1">
        <v>20</v>
      </c>
      <c r="AB233" s="1">
        <v>676000</v>
      </c>
      <c r="AC233" s="1">
        <f t="shared" si="3"/>
        <v>736000</v>
      </c>
    </row>
    <row r="234" spans="1:29" x14ac:dyDescent="0.25">
      <c r="A234" s="1" t="s">
        <v>5022</v>
      </c>
      <c r="B234" s="1" t="s">
        <v>963</v>
      </c>
      <c r="C234" s="1" t="s">
        <v>964</v>
      </c>
      <c r="D234" s="1">
        <v>2018</v>
      </c>
      <c r="E234" s="1" t="s">
        <v>45</v>
      </c>
      <c r="F234" s="1">
        <v>2</v>
      </c>
      <c r="G234" s="1" t="s">
        <v>46</v>
      </c>
      <c r="H234" s="1" t="s">
        <v>90</v>
      </c>
      <c r="I234" s="1">
        <v>92000</v>
      </c>
      <c r="J234" s="1">
        <v>77000</v>
      </c>
      <c r="K234" s="1">
        <v>15000</v>
      </c>
      <c r="L234" s="1">
        <v>0</v>
      </c>
      <c r="M234" s="1" t="s">
        <v>34</v>
      </c>
      <c r="N234" s="1" t="s">
        <v>63</v>
      </c>
      <c r="O234" s="1" t="s">
        <v>36</v>
      </c>
      <c r="P234" s="1" t="s">
        <v>37</v>
      </c>
      <c r="Q234" s="1" t="s">
        <v>38</v>
      </c>
      <c r="R234" s="1" t="s">
        <v>5023</v>
      </c>
      <c r="S234" s="3">
        <v>918572000000</v>
      </c>
      <c r="T234" s="1" t="s">
        <v>40</v>
      </c>
      <c r="U234" s="1">
        <v>63</v>
      </c>
      <c r="V234" s="1">
        <v>81</v>
      </c>
      <c r="W234" s="1" t="s">
        <v>52</v>
      </c>
      <c r="X234" s="1">
        <v>485510</v>
      </c>
      <c r="Y234" s="2">
        <v>37225</v>
      </c>
      <c r="Z234" s="1">
        <v>-11.8210262828535</v>
      </c>
      <c r="AA234" s="1">
        <v>22</v>
      </c>
      <c r="AB234" s="1">
        <v>184000</v>
      </c>
      <c r="AC234" s="1">
        <f t="shared" si="3"/>
        <v>214000</v>
      </c>
    </row>
    <row r="235" spans="1:29" x14ac:dyDescent="0.25">
      <c r="A235" s="1" t="s">
        <v>5026</v>
      </c>
      <c r="B235" s="1" t="s">
        <v>4672</v>
      </c>
      <c r="C235" s="1" t="s">
        <v>4673</v>
      </c>
      <c r="D235" s="1">
        <v>2018</v>
      </c>
      <c r="E235" s="1" t="s">
        <v>45</v>
      </c>
      <c r="F235" s="1">
        <v>2</v>
      </c>
      <c r="G235" s="1" t="s">
        <v>46</v>
      </c>
      <c r="H235" s="1" t="s">
        <v>62</v>
      </c>
      <c r="I235" s="1">
        <v>92000</v>
      </c>
      <c r="J235" s="1">
        <v>77000</v>
      </c>
      <c r="K235" s="1">
        <v>15000</v>
      </c>
      <c r="L235" s="1">
        <v>0</v>
      </c>
      <c r="M235" s="1" t="s">
        <v>34</v>
      </c>
      <c r="N235" s="1" t="s">
        <v>35</v>
      </c>
      <c r="O235" s="1" t="s">
        <v>71</v>
      </c>
      <c r="P235" s="1" t="s">
        <v>72</v>
      </c>
      <c r="Q235" s="1" t="s">
        <v>38</v>
      </c>
      <c r="R235" s="1" t="s">
        <v>5027</v>
      </c>
      <c r="S235" s="3">
        <v>917617000000</v>
      </c>
      <c r="T235" s="1" t="s">
        <v>98</v>
      </c>
      <c r="U235" s="1">
        <v>63</v>
      </c>
      <c r="V235" s="1">
        <v>74</v>
      </c>
      <c r="W235" s="1" t="s">
        <v>41</v>
      </c>
      <c r="X235" s="1">
        <v>296431</v>
      </c>
      <c r="Y235" s="2">
        <v>35909</v>
      </c>
      <c r="Z235" s="1">
        <v>-11.8210262828535</v>
      </c>
      <c r="AA235" s="1">
        <v>26</v>
      </c>
      <c r="AB235" s="1">
        <v>184000</v>
      </c>
      <c r="AC235" s="1">
        <f t="shared" si="3"/>
        <v>214000</v>
      </c>
    </row>
    <row r="236" spans="1:29" x14ac:dyDescent="0.25">
      <c r="A236" s="1" t="s">
        <v>5030</v>
      </c>
      <c r="B236" s="1" t="s">
        <v>481</v>
      </c>
      <c r="C236" s="1" t="s">
        <v>482</v>
      </c>
      <c r="D236" s="1">
        <v>2018</v>
      </c>
      <c r="E236" s="1" t="s">
        <v>31</v>
      </c>
      <c r="F236" s="1">
        <v>4</v>
      </c>
      <c r="G236" s="1" t="s">
        <v>32</v>
      </c>
      <c r="H236" s="1" t="s">
        <v>102</v>
      </c>
      <c r="I236" s="1">
        <v>169000</v>
      </c>
      <c r="J236" s="1">
        <v>154000</v>
      </c>
      <c r="K236" s="1">
        <v>15000</v>
      </c>
      <c r="L236" s="1">
        <v>0</v>
      </c>
      <c r="M236" s="1" t="s">
        <v>34</v>
      </c>
      <c r="N236" s="1" t="s">
        <v>70</v>
      </c>
      <c r="O236" s="1" t="s">
        <v>36</v>
      </c>
      <c r="P236" s="1" t="s">
        <v>37</v>
      </c>
      <c r="Q236" s="1" t="s">
        <v>38</v>
      </c>
      <c r="R236" s="1" t="s">
        <v>5031</v>
      </c>
      <c r="S236" s="3">
        <v>919058000000</v>
      </c>
      <c r="T236" s="1" t="s">
        <v>86</v>
      </c>
      <c r="U236" s="1">
        <v>63</v>
      </c>
      <c r="V236" s="1">
        <v>79</v>
      </c>
      <c r="W236" s="1" t="s">
        <v>52</v>
      </c>
      <c r="X236" s="1">
        <v>305094</v>
      </c>
      <c r="Y236" s="2">
        <v>37983</v>
      </c>
      <c r="Z236" s="1">
        <v>-11.8210262828535</v>
      </c>
      <c r="AA236" s="1">
        <v>20</v>
      </c>
      <c r="AB236" s="1">
        <v>676000</v>
      </c>
      <c r="AC236" s="1">
        <f t="shared" si="3"/>
        <v>736000</v>
      </c>
    </row>
    <row r="237" spans="1:29" x14ac:dyDescent="0.25">
      <c r="A237" s="1" t="s">
        <v>5042</v>
      </c>
      <c r="B237" s="1" t="s">
        <v>5043</v>
      </c>
      <c r="C237" s="1" t="s">
        <v>5044</v>
      </c>
      <c r="D237" s="1">
        <v>2018</v>
      </c>
      <c r="E237" s="1" t="s">
        <v>31</v>
      </c>
      <c r="F237" s="1">
        <v>4</v>
      </c>
      <c r="G237" s="1" t="s">
        <v>32</v>
      </c>
      <c r="H237" s="1" t="s">
        <v>122</v>
      </c>
      <c r="I237" s="1">
        <v>169000</v>
      </c>
      <c r="J237" s="1">
        <v>154000</v>
      </c>
      <c r="K237" s="1">
        <v>15000</v>
      </c>
      <c r="L237" s="1">
        <v>0</v>
      </c>
      <c r="M237" s="1" t="s">
        <v>34</v>
      </c>
      <c r="N237" s="1" t="s">
        <v>35</v>
      </c>
      <c r="O237" s="1" t="s">
        <v>84</v>
      </c>
      <c r="P237" s="1" t="s">
        <v>65</v>
      </c>
      <c r="Q237" s="1" t="s">
        <v>38</v>
      </c>
      <c r="R237" s="1" t="s">
        <v>5045</v>
      </c>
      <c r="S237" s="3">
        <v>919694000000</v>
      </c>
      <c r="T237" s="1" t="s">
        <v>40</v>
      </c>
      <c r="U237" s="1">
        <v>63</v>
      </c>
      <c r="V237" s="1">
        <v>83</v>
      </c>
      <c r="W237" s="1" t="s">
        <v>41</v>
      </c>
      <c r="X237" s="1">
        <v>258681</v>
      </c>
      <c r="Y237" s="2">
        <v>37608</v>
      </c>
      <c r="Z237" s="1">
        <v>-11.8210262828535</v>
      </c>
      <c r="AA237" s="1">
        <v>21</v>
      </c>
      <c r="AB237" s="1">
        <v>676000</v>
      </c>
      <c r="AC237" s="1">
        <f t="shared" si="3"/>
        <v>736000</v>
      </c>
    </row>
    <row r="238" spans="1:29" x14ac:dyDescent="0.25">
      <c r="A238" s="1" t="s">
        <v>5055</v>
      </c>
      <c r="B238" s="1" t="s">
        <v>1231</v>
      </c>
      <c r="C238" s="1" t="s">
        <v>1232</v>
      </c>
      <c r="D238" s="1">
        <v>2018</v>
      </c>
      <c r="E238" s="1" t="s">
        <v>31</v>
      </c>
      <c r="F238" s="1">
        <v>4</v>
      </c>
      <c r="G238" s="1" t="s">
        <v>32</v>
      </c>
      <c r="H238" s="1" t="s">
        <v>62</v>
      </c>
      <c r="I238" s="1">
        <v>169000</v>
      </c>
      <c r="J238" s="1">
        <v>154000</v>
      </c>
      <c r="K238" s="1">
        <v>15000</v>
      </c>
      <c r="L238" s="1">
        <v>0</v>
      </c>
      <c r="M238" s="1" t="s">
        <v>34</v>
      </c>
      <c r="N238" s="1" t="s">
        <v>35</v>
      </c>
      <c r="O238" s="1" t="s">
        <v>64</v>
      </c>
      <c r="P238" s="1" t="s">
        <v>65</v>
      </c>
      <c r="Q238" s="1" t="s">
        <v>38</v>
      </c>
      <c r="R238" s="1" t="s">
        <v>5056</v>
      </c>
      <c r="S238" s="3">
        <v>918291000000</v>
      </c>
      <c r="T238" s="1" t="s">
        <v>98</v>
      </c>
      <c r="U238" s="1">
        <v>63</v>
      </c>
      <c r="V238" s="1">
        <v>73</v>
      </c>
      <c r="W238" s="1" t="s">
        <v>52</v>
      </c>
      <c r="X238" s="1">
        <v>447028</v>
      </c>
      <c r="Y238" s="2">
        <v>37265</v>
      </c>
      <c r="Z238" s="1">
        <v>-11.8210262828535</v>
      </c>
      <c r="AA238" s="1">
        <v>22</v>
      </c>
      <c r="AB238" s="1">
        <v>676000</v>
      </c>
      <c r="AC238" s="1">
        <f t="shared" si="3"/>
        <v>736000</v>
      </c>
    </row>
    <row r="239" spans="1:29" x14ac:dyDescent="0.25">
      <c r="A239" s="1" t="s">
        <v>5071</v>
      </c>
      <c r="B239" s="1" t="s">
        <v>5072</v>
      </c>
      <c r="C239" s="1" t="s">
        <v>5073</v>
      </c>
      <c r="D239" s="1">
        <v>2018</v>
      </c>
      <c r="E239" s="1" t="s">
        <v>31</v>
      </c>
      <c r="F239" s="1">
        <v>4</v>
      </c>
      <c r="G239" s="1" t="s">
        <v>32</v>
      </c>
      <c r="H239" s="1" t="s">
        <v>151</v>
      </c>
      <c r="I239" s="1">
        <v>169000</v>
      </c>
      <c r="J239" s="1">
        <v>154000</v>
      </c>
      <c r="K239" s="1">
        <v>15000</v>
      </c>
      <c r="L239" s="1">
        <v>0</v>
      </c>
      <c r="M239" s="1" t="s">
        <v>34</v>
      </c>
      <c r="N239" s="1" t="s">
        <v>63</v>
      </c>
      <c r="O239" s="1" t="s">
        <v>71</v>
      </c>
      <c r="P239" s="1" t="s">
        <v>72</v>
      </c>
      <c r="Q239" s="1" t="s">
        <v>38</v>
      </c>
      <c r="R239" s="1" t="s">
        <v>5074</v>
      </c>
      <c r="S239" s="3">
        <v>918014000000</v>
      </c>
      <c r="T239" s="1" t="s">
        <v>98</v>
      </c>
      <c r="U239" s="1">
        <v>63</v>
      </c>
      <c r="V239" s="1">
        <v>71</v>
      </c>
      <c r="W239" s="1" t="s">
        <v>41</v>
      </c>
      <c r="X239" s="1">
        <v>483202</v>
      </c>
      <c r="Y239" s="2">
        <v>37272</v>
      </c>
      <c r="Z239" s="1">
        <v>-11.8210262828535</v>
      </c>
      <c r="AA239" s="1">
        <v>22</v>
      </c>
      <c r="AB239" s="1">
        <v>676000</v>
      </c>
      <c r="AC239" s="1">
        <f t="shared" si="3"/>
        <v>736000</v>
      </c>
    </row>
    <row r="240" spans="1:29" x14ac:dyDescent="0.25">
      <c r="A240" s="1" t="s">
        <v>5127</v>
      </c>
      <c r="B240" s="1" t="s">
        <v>5128</v>
      </c>
      <c r="C240" s="1" t="s">
        <v>5129</v>
      </c>
      <c r="D240" s="1">
        <v>2018</v>
      </c>
      <c r="E240" s="1" t="s">
        <v>31</v>
      </c>
      <c r="F240" s="1">
        <v>4</v>
      </c>
      <c r="G240" s="1" t="s">
        <v>32</v>
      </c>
      <c r="H240" s="1" t="s">
        <v>47</v>
      </c>
      <c r="I240" s="1">
        <v>169000</v>
      </c>
      <c r="J240" s="1">
        <v>154000</v>
      </c>
      <c r="K240" s="1">
        <v>15000</v>
      </c>
      <c r="L240" s="1">
        <v>0</v>
      </c>
      <c r="M240" s="1" t="s">
        <v>34</v>
      </c>
      <c r="N240" s="1" t="s">
        <v>35</v>
      </c>
      <c r="O240" s="1" t="s">
        <v>57</v>
      </c>
      <c r="P240" s="1" t="s">
        <v>57</v>
      </c>
      <c r="Q240" s="1" t="s">
        <v>38</v>
      </c>
      <c r="R240" s="1" t="s">
        <v>5130</v>
      </c>
      <c r="S240" s="3">
        <v>918833000000</v>
      </c>
      <c r="T240" s="1" t="s">
        <v>40</v>
      </c>
      <c r="U240" s="1">
        <v>63</v>
      </c>
      <c r="V240" s="1">
        <v>61</v>
      </c>
      <c r="W240" s="1" t="s">
        <v>52</v>
      </c>
      <c r="X240" s="1">
        <v>471871</v>
      </c>
      <c r="Y240" s="2">
        <v>37741</v>
      </c>
      <c r="Z240" s="1">
        <v>-11.8210262828535</v>
      </c>
      <c r="AA240" s="1">
        <v>21</v>
      </c>
      <c r="AB240" s="1">
        <v>676000</v>
      </c>
      <c r="AC240" s="1">
        <f t="shared" si="3"/>
        <v>736000</v>
      </c>
    </row>
    <row r="241" spans="1:29" x14ac:dyDescent="0.25">
      <c r="A241" s="1" t="s">
        <v>5135</v>
      </c>
      <c r="B241" s="1" t="s">
        <v>293</v>
      </c>
      <c r="C241" s="1" t="s">
        <v>294</v>
      </c>
      <c r="D241" s="1">
        <v>2018</v>
      </c>
      <c r="E241" s="1" t="s">
        <v>45</v>
      </c>
      <c r="F241" s="1">
        <v>2</v>
      </c>
      <c r="G241" s="1" t="s">
        <v>46</v>
      </c>
      <c r="H241" s="1" t="s">
        <v>102</v>
      </c>
      <c r="I241" s="1">
        <v>92000</v>
      </c>
      <c r="J241" s="1">
        <v>77000</v>
      </c>
      <c r="K241" s="1">
        <v>15000</v>
      </c>
      <c r="L241" s="1">
        <v>0</v>
      </c>
      <c r="M241" s="1" t="s">
        <v>34</v>
      </c>
      <c r="N241" s="1" t="s">
        <v>63</v>
      </c>
      <c r="O241" s="1" t="s">
        <v>91</v>
      </c>
      <c r="P241" s="1" t="s">
        <v>92</v>
      </c>
      <c r="Q241" s="1" t="s">
        <v>38</v>
      </c>
      <c r="R241" s="1" t="s">
        <v>5136</v>
      </c>
      <c r="S241" s="3">
        <v>917229000000</v>
      </c>
      <c r="T241" s="1" t="s">
        <v>98</v>
      </c>
      <c r="U241" s="1">
        <v>63</v>
      </c>
      <c r="V241" s="1">
        <v>78</v>
      </c>
      <c r="W241" s="1" t="s">
        <v>52</v>
      </c>
      <c r="X241" s="1">
        <v>415599</v>
      </c>
      <c r="Y241" s="2">
        <v>36379</v>
      </c>
      <c r="Z241" s="1">
        <v>-11.8210262828535</v>
      </c>
      <c r="AA241" s="1">
        <v>24</v>
      </c>
      <c r="AB241" s="1">
        <v>184000</v>
      </c>
      <c r="AC241" s="1">
        <f t="shared" si="3"/>
        <v>214000</v>
      </c>
    </row>
    <row r="242" spans="1:29" x14ac:dyDescent="0.25">
      <c r="A242" s="1" t="s">
        <v>5177</v>
      </c>
      <c r="B242" s="1" t="s">
        <v>839</v>
      </c>
      <c r="C242" s="1" t="s">
        <v>840</v>
      </c>
      <c r="D242" s="1">
        <v>2018</v>
      </c>
      <c r="E242" s="1" t="s">
        <v>31</v>
      </c>
      <c r="F242" s="1">
        <v>4</v>
      </c>
      <c r="G242" s="1" t="s">
        <v>32</v>
      </c>
      <c r="H242" s="1" t="s">
        <v>56</v>
      </c>
      <c r="I242" s="1">
        <v>169000</v>
      </c>
      <c r="J242" s="1">
        <v>154000</v>
      </c>
      <c r="K242" s="1">
        <v>15000</v>
      </c>
      <c r="L242" s="1">
        <v>0</v>
      </c>
      <c r="M242" s="1" t="s">
        <v>34</v>
      </c>
      <c r="N242" s="1" t="s">
        <v>35</v>
      </c>
      <c r="O242" s="1" t="s">
        <v>84</v>
      </c>
      <c r="P242" s="1" t="s">
        <v>65</v>
      </c>
      <c r="Q242" s="1" t="s">
        <v>38</v>
      </c>
      <c r="R242" s="1" t="s">
        <v>5178</v>
      </c>
      <c r="S242" s="3">
        <v>919941000000</v>
      </c>
      <c r="T242" s="1" t="s">
        <v>74</v>
      </c>
      <c r="U242" s="1">
        <v>62</v>
      </c>
      <c r="V242" s="1">
        <v>80</v>
      </c>
      <c r="W242" s="1" t="s">
        <v>41</v>
      </c>
      <c r="X242" s="1">
        <v>227675</v>
      </c>
      <c r="Y242" s="2">
        <v>36999</v>
      </c>
      <c r="Z242" s="1">
        <v>-12.8210262828535</v>
      </c>
      <c r="AA242" s="1">
        <v>23</v>
      </c>
      <c r="AB242" s="1">
        <v>676000</v>
      </c>
      <c r="AC242" s="1">
        <f t="shared" si="3"/>
        <v>736000</v>
      </c>
    </row>
    <row r="243" spans="1:29" x14ac:dyDescent="0.25">
      <c r="A243" s="1" t="s">
        <v>5179</v>
      </c>
      <c r="B243" s="1" t="s">
        <v>5180</v>
      </c>
      <c r="C243" s="1" t="s">
        <v>5181</v>
      </c>
      <c r="D243" s="1">
        <v>2018</v>
      </c>
      <c r="E243" s="1" t="s">
        <v>31</v>
      </c>
      <c r="F243" s="1">
        <v>4</v>
      </c>
      <c r="G243" s="1" t="s">
        <v>32</v>
      </c>
      <c r="H243" s="1" t="s">
        <v>33</v>
      </c>
      <c r="I243" s="1">
        <v>169000</v>
      </c>
      <c r="J243" s="1">
        <v>154000</v>
      </c>
      <c r="K243" s="1">
        <v>15000</v>
      </c>
      <c r="L243" s="1">
        <v>0</v>
      </c>
      <c r="M243" s="1" t="s">
        <v>34</v>
      </c>
      <c r="N243" s="1" t="s">
        <v>63</v>
      </c>
      <c r="O243" s="1" t="s">
        <v>91</v>
      </c>
      <c r="P243" s="1" t="s">
        <v>92</v>
      </c>
      <c r="Q243" s="1" t="s">
        <v>38</v>
      </c>
      <c r="R243" s="1" t="s">
        <v>5182</v>
      </c>
      <c r="S243" s="3">
        <v>918821000000</v>
      </c>
      <c r="T243" s="1" t="s">
        <v>86</v>
      </c>
      <c r="U243" s="1">
        <v>62</v>
      </c>
      <c r="V243" s="1">
        <v>64</v>
      </c>
      <c r="W243" s="1" t="s">
        <v>41</v>
      </c>
      <c r="X243" s="1">
        <v>603986</v>
      </c>
      <c r="Y243" s="2">
        <v>37570</v>
      </c>
      <c r="Z243" s="1">
        <v>-12.8210262828535</v>
      </c>
      <c r="AA243" s="1">
        <v>21</v>
      </c>
      <c r="AB243" s="1">
        <v>676000</v>
      </c>
      <c r="AC243" s="1">
        <f t="shared" si="3"/>
        <v>736000</v>
      </c>
    </row>
    <row r="244" spans="1:29" x14ac:dyDescent="0.25">
      <c r="A244" s="1" t="s">
        <v>5197</v>
      </c>
      <c r="B244" s="1" t="s">
        <v>5198</v>
      </c>
      <c r="C244" s="1" t="s">
        <v>5199</v>
      </c>
      <c r="D244" s="1">
        <v>2018</v>
      </c>
      <c r="E244" s="1" t="s">
        <v>31</v>
      </c>
      <c r="F244" s="1">
        <v>4</v>
      </c>
      <c r="G244" s="1" t="s">
        <v>32</v>
      </c>
      <c r="H244" s="1" t="s">
        <v>210</v>
      </c>
      <c r="I244" s="1">
        <v>169000</v>
      </c>
      <c r="J244" s="1">
        <v>154000</v>
      </c>
      <c r="K244" s="1">
        <v>15000</v>
      </c>
      <c r="L244" s="1">
        <v>0</v>
      </c>
      <c r="M244" s="1" t="s">
        <v>34</v>
      </c>
      <c r="N244" s="1" t="s">
        <v>35</v>
      </c>
      <c r="O244" s="1" t="s">
        <v>103</v>
      </c>
      <c r="P244" s="1" t="s">
        <v>104</v>
      </c>
      <c r="Q244" s="1" t="s">
        <v>38</v>
      </c>
      <c r="R244" s="1" t="s">
        <v>5200</v>
      </c>
      <c r="S244" s="3">
        <v>918159000000</v>
      </c>
      <c r="T244" s="1" t="s">
        <v>40</v>
      </c>
      <c r="U244" s="1">
        <v>62</v>
      </c>
      <c r="V244" s="1">
        <v>80</v>
      </c>
      <c r="W244" s="1" t="s">
        <v>41</v>
      </c>
      <c r="X244" s="1">
        <v>390018</v>
      </c>
      <c r="Y244" s="2">
        <v>36989</v>
      </c>
      <c r="Z244" s="1">
        <v>-12.8210262828535</v>
      </c>
      <c r="AA244" s="1">
        <v>23</v>
      </c>
      <c r="AB244" s="1">
        <v>676000</v>
      </c>
      <c r="AC244" s="1">
        <f t="shared" si="3"/>
        <v>736000</v>
      </c>
    </row>
    <row r="245" spans="1:29" x14ac:dyDescent="0.25">
      <c r="A245" s="1" t="s">
        <v>5205</v>
      </c>
      <c r="B245" s="1" t="s">
        <v>2983</v>
      </c>
      <c r="C245" s="1" t="s">
        <v>2984</v>
      </c>
      <c r="D245" s="1">
        <v>2018</v>
      </c>
      <c r="E245" s="1" t="s">
        <v>31</v>
      </c>
      <c r="F245" s="1">
        <v>4</v>
      </c>
      <c r="G245" s="1" t="s">
        <v>32</v>
      </c>
      <c r="H245" s="1" t="s">
        <v>122</v>
      </c>
      <c r="I245" s="1">
        <v>169000</v>
      </c>
      <c r="J245" s="1">
        <v>154000</v>
      </c>
      <c r="K245" s="1">
        <v>15000</v>
      </c>
      <c r="L245" s="1">
        <v>0</v>
      </c>
      <c r="M245" s="1" t="s">
        <v>34</v>
      </c>
      <c r="N245" s="1" t="s">
        <v>63</v>
      </c>
      <c r="O245" s="1" t="s">
        <v>84</v>
      </c>
      <c r="P245" s="1" t="s">
        <v>65</v>
      </c>
      <c r="Q245" s="1" t="s">
        <v>38</v>
      </c>
      <c r="R245" s="1" t="s">
        <v>5206</v>
      </c>
      <c r="S245" s="3">
        <v>917619000000</v>
      </c>
      <c r="T245" s="1" t="s">
        <v>86</v>
      </c>
      <c r="U245" s="1">
        <v>62</v>
      </c>
      <c r="V245" s="1">
        <v>76</v>
      </c>
      <c r="W245" s="1" t="s">
        <v>41</v>
      </c>
      <c r="X245" s="1">
        <v>580032</v>
      </c>
      <c r="Y245" s="2">
        <v>36857</v>
      </c>
      <c r="Z245" s="1">
        <v>-12.8210262828535</v>
      </c>
      <c r="AA245" s="1">
        <v>23</v>
      </c>
      <c r="AB245" s="1">
        <v>676000</v>
      </c>
      <c r="AC245" s="1">
        <f t="shared" si="3"/>
        <v>736000</v>
      </c>
    </row>
    <row r="246" spans="1:29" x14ac:dyDescent="0.25">
      <c r="A246" s="1" t="s">
        <v>5239</v>
      </c>
      <c r="B246" s="1" t="s">
        <v>5240</v>
      </c>
      <c r="C246" s="1" t="s">
        <v>5241</v>
      </c>
      <c r="D246" s="1">
        <v>2018</v>
      </c>
      <c r="E246" s="1" t="s">
        <v>31</v>
      </c>
      <c r="F246" s="1">
        <v>4</v>
      </c>
      <c r="G246" s="1" t="s">
        <v>32</v>
      </c>
      <c r="H246" s="1" t="s">
        <v>47</v>
      </c>
      <c r="I246" s="1">
        <v>169000</v>
      </c>
      <c r="J246" s="1">
        <v>154000</v>
      </c>
      <c r="K246" s="1">
        <v>15000</v>
      </c>
      <c r="L246" s="1">
        <v>0</v>
      </c>
      <c r="M246" s="1" t="s">
        <v>34</v>
      </c>
      <c r="N246" s="1" t="s">
        <v>35</v>
      </c>
      <c r="O246" s="1" t="s">
        <v>84</v>
      </c>
      <c r="P246" s="1" t="s">
        <v>65</v>
      </c>
      <c r="Q246" s="1" t="s">
        <v>38</v>
      </c>
      <c r="R246" s="1" t="s">
        <v>5242</v>
      </c>
      <c r="S246" s="3">
        <v>918768000000</v>
      </c>
      <c r="T246" s="1" t="s">
        <v>98</v>
      </c>
      <c r="U246" s="1">
        <v>62</v>
      </c>
      <c r="V246" s="1">
        <v>84</v>
      </c>
      <c r="W246" s="1" t="s">
        <v>41</v>
      </c>
      <c r="X246" s="1">
        <v>148462</v>
      </c>
      <c r="Y246" s="2">
        <v>38493</v>
      </c>
      <c r="Z246" s="1">
        <v>-12.8210262828535</v>
      </c>
      <c r="AA246" s="1">
        <v>19</v>
      </c>
      <c r="AB246" s="1">
        <v>676000</v>
      </c>
      <c r="AC246" s="1">
        <f t="shared" si="3"/>
        <v>736000</v>
      </c>
    </row>
    <row r="247" spans="1:29" x14ac:dyDescent="0.25">
      <c r="A247" s="1" t="s">
        <v>5251</v>
      </c>
      <c r="B247" s="1" t="s">
        <v>5252</v>
      </c>
      <c r="C247" s="1" t="s">
        <v>5253</v>
      </c>
      <c r="D247" s="1">
        <v>2018</v>
      </c>
      <c r="E247" s="1" t="s">
        <v>31</v>
      </c>
      <c r="F247" s="1">
        <v>4</v>
      </c>
      <c r="G247" s="1" t="s">
        <v>32</v>
      </c>
      <c r="H247" s="1" t="s">
        <v>151</v>
      </c>
      <c r="I247" s="1">
        <v>169000</v>
      </c>
      <c r="J247" s="1">
        <v>154000</v>
      </c>
      <c r="K247" s="1">
        <v>15000</v>
      </c>
      <c r="L247" s="1">
        <v>0</v>
      </c>
      <c r="M247" s="1" t="s">
        <v>34</v>
      </c>
      <c r="N247" s="1" t="s">
        <v>35</v>
      </c>
      <c r="O247" s="1" t="s">
        <v>36</v>
      </c>
      <c r="P247" s="1" t="s">
        <v>37</v>
      </c>
      <c r="Q247" s="1" t="s">
        <v>38</v>
      </c>
      <c r="R247" s="1" t="s">
        <v>5254</v>
      </c>
      <c r="S247" s="3">
        <v>919432000000</v>
      </c>
      <c r="T247" s="1" t="s">
        <v>40</v>
      </c>
      <c r="U247" s="1">
        <v>62</v>
      </c>
      <c r="V247" s="1">
        <v>77</v>
      </c>
      <c r="W247" s="1" t="s">
        <v>52</v>
      </c>
      <c r="X247" s="1">
        <v>482639</v>
      </c>
      <c r="Y247" s="2">
        <v>38362</v>
      </c>
      <c r="Z247" s="1">
        <v>-12.8210262828535</v>
      </c>
      <c r="AA247" s="1">
        <v>19</v>
      </c>
      <c r="AB247" s="1">
        <v>676000</v>
      </c>
      <c r="AC247" s="1">
        <f t="shared" si="3"/>
        <v>736000</v>
      </c>
    </row>
    <row r="248" spans="1:29" x14ac:dyDescent="0.25">
      <c r="A248" s="1" t="s">
        <v>5265</v>
      </c>
      <c r="B248" s="1" t="s">
        <v>158</v>
      </c>
      <c r="C248" s="1" t="s">
        <v>159</v>
      </c>
      <c r="D248" s="1">
        <v>2018</v>
      </c>
      <c r="E248" s="1" t="s">
        <v>31</v>
      </c>
      <c r="F248" s="1">
        <v>4</v>
      </c>
      <c r="G248" s="1" t="s">
        <v>32</v>
      </c>
      <c r="H248" s="1" t="s">
        <v>151</v>
      </c>
      <c r="I248" s="1">
        <v>169000</v>
      </c>
      <c r="J248" s="1">
        <v>154000</v>
      </c>
      <c r="K248" s="1">
        <v>15000</v>
      </c>
      <c r="L248" s="1">
        <v>0</v>
      </c>
      <c r="M248" s="1" t="s">
        <v>34</v>
      </c>
      <c r="N248" s="1" t="s">
        <v>70</v>
      </c>
      <c r="O248" s="1" t="s">
        <v>64</v>
      </c>
      <c r="P248" s="1" t="s">
        <v>65</v>
      </c>
      <c r="Q248" s="1" t="s">
        <v>38</v>
      </c>
      <c r="R248" s="1" t="s">
        <v>5266</v>
      </c>
      <c r="S248" s="3">
        <v>917220000000</v>
      </c>
      <c r="T248" s="1" t="s">
        <v>40</v>
      </c>
      <c r="U248" s="1">
        <v>62</v>
      </c>
      <c r="V248" s="1">
        <v>85</v>
      </c>
      <c r="W248" s="1" t="s">
        <v>41</v>
      </c>
      <c r="X248" s="1">
        <v>594188</v>
      </c>
      <c r="Y248" s="2">
        <v>38424</v>
      </c>
      <c r="Z248" s="1">
        <v>-12.8210262828535</v>
      </c>
      <c r="AA248" s="1">
        <v>19</v>
      </c>
      <c r="AB248" s="1">
        <v>676000</v>
      </c>
      <c r="AC248" s="1">
        <f t="shared" si="3"/>
        <v>736000</v>
      </c>
    </row>
    <row r="249" spans="1:29" x14ac:dyDescent="0.25">
      <c r="A249" s="1" t="s">
        <v>5283</v>
      </c>
      <c r="B249" s="1" t="s">
        <v>5284</v>
      </c>
      <c r="C249" s="1" t="s">
        <v>5285</v>
      </c>
      <c r="D249" s="1">
        <v>2018</v>
      </c>
      <c r="E249" s="1" t="s">
        <v>31</v>
      </c>
      <c r="F249" s="1">
        <v>4</v>
      </c>
      <c r="G249" s="1" t="s">
        <v>32</v>
      </c>
      <c r="H249" s="1" t="s">
        <v>56</v>
      </c>
      <c r="I249" s="1">
        <v>169000</v>
      </c>
      <c r="J249" s="1">
        <v>154000</v>
      </c>
      <c r="K249" s="1">
        <v>15000</v>
      </c>
      <c r="L249" s="1">
        <v>0</v>
      </c>
      <c r="M249" s="1" t="s">
        <v>34</v>
      </c>
      <c r="N249" s="1" t="s">
        <v>70</v>
      </c>
      <c r="O249" s="1" t="s">
        <v>103</v>
      </c>
      <c r="P249" s="1" t="s">
        <v>104</v>
      </c>
      <c r="Q249" s="1" t="s">
        <v>38</v>
      </c>
      <c r="R249" s="1" t="s">
        <v>5286</v>
      </c>
      <c r="S249" s="3">
        <v>919500000000</v>
      </c>
      <c r="T249" s="1" t="s">
        <v>74</v>
      </c>
      <c r="U249" s="1">
        <v>62</v>
      </c>
      <c r="V249" s="1">
        <v>63</v>
      </c>
      <c r="W249" s="1" t="s">
        <v>41</v>
      </c>
      <c r="X249" s="1">
        <v>102365</v>
      </c>
      <c r="Y249" s="2">
        <v>38698</v>
      </c>
      <c r="Z249" s="1">
        <v>-12.8210262828535</v>
      </c>
      <c r="AA249" s="1">
        <v>18</v>
      </c>
      <c r="AB249" s="1">
        <v>676000</v>
      </c>
      <c r="AC249" s="1">
        <f t="shared" si="3"/>
        <v>736000</v>
      </c>
    </row>
    <row r="250" spans="1:29" x14ac:dyDescent="0.25">
      <c r="A250" s="1" t="s">
        <v>1450</v>
      </c>
      <c r="B250" s="1" t="s">
        <v>2662</v>
      </c>
      <c r="C250" s="1" t="s">
        <v>2663</v>
      </c>
      <c r="D250" s="1">
        <v>2018</v>
      </c>
      <c r="E250" s="1" t="s">
        <v>45</v>
      </c>
      <c r="F250" s="1">
        <v>2</v>
      </c>
      <c r="G250" s="1" t="s">
        <v>46</v>
      </c>
      <c r="H250" s="1" t="s">
        <v>33</v>
      </c>
      <c r="I250" s="1">
        <v>92000</v>
      </c>
      <c r="J250" s="1">
        <v>77000</v>
      </c>
      <c r="K250" s="1">
        <v>15000</v>
      </c>
      <c r="L250" s="1">
        <v>0</v>
      </c>
      <c r="M250" s="1" t="s">
        <v>34</v>
      </c>
      <c r="N250" s="1" t="s">
        <v>63</v>
      </c>
      <c r="O250" s="1" t="s">
        <v>36</v>
      </c>
      <c r="P250" s="1" t="s">
        <v>37</v>
      </c>
      <c r="Q250" s="1" t="s">
        <v>38</v>
      </c>
      <c r="R250" s="1" t="s">
        <v>5312</v>
      </c>
      <c r="S250" s="3">
        <v>919802000000</v>
      </c>
      <c r="T250" s="1" t="s">
        <v>98</v>
      </c>
      <c r="U250" s="1">
        <v>62</v>
      </c>
      <c r="V250" s="1">
        <v>82</v>
      </c>
      <c r="W250" s="1" t="s">
        <v>41</v>
      </c>
      <c r="X250" s="1">
        <v>110646</v>
      </c>
      <c r="Y250" s="2">
        <v>36298</v>
      </c>
      <c r="Z250" s="1">
        <v>-12.8210262828535</v>
      </c>
      <c r="AA250" s="1">
        <v>25</v>
      </c>
      <c r="AB250" s="1">
        <v>184000</v>
      </c>
      <c r="AC250" s="1">
        <f t="shared" si="3"/>
        <v>214000</v>
      </c>
    </row>
    <row r="251" spans="1:29" x14ac:dyDescent="0.25">
      <c r="A251" s="1" t="s">
        <v>5327</v>
      </c>
      <c r="B251" s="1" t="s">
        <v>5328</v>
      </c>
      <c r="C251" s="1" t="s">
        <v>5329</v>
      </c>
      <c r="D251" s="1">
        <v>2018</v>
      </c>
      <c r="E251" s="1" t="s">
        <v>31</v>
      </c>
      <c r="F251" s="1">
        <v>4</v>
      </c>
      <c r="G251" s="1" t="s">
        <v>32</v>
      </c>
      <c r="H251" s="1" t="s">
        <v>62</v>
      </c>
      <c r="I251" s="1">
        <v>169000</v>
      </c>
      <c r="J251" s="1">
        <v>154000</v>
      </c>
      <c r="K251" s="1">
        <v>15000</v>
      </c>
      <c r="L251" s="1">
        <v>0</v>
      </c>
      <c r="M251" s="1" t="s">
        <v>34</v>
      </c>
      <c r="N251" s="1" t="s">
        <v>70</v>
      </c>
      <c r="O251" s="1" t="s">
        <v>78</v>
      </c>
      <c r="P251" s="1" t="s">
        <v>79</v>
      </c>
      <c r="Q251" s="1" t="s">
        <v>38</v>
      </c>
      <c r="R251" s="1" t="s">
        <v>5330</v>
      </c>
      <c r="S251" s="3">
        <v>917461000000</v>
      </c>
      <c r="T251" s="1" t="s">
        <v>86</v>
      </c>
      <c r="U251" s="1">
        <v>62</v>
      </c>
      <c r="V251" s="1">
        <v>75</v>
      </c>
      <c r="W251" s="1" t="s">
        <v>52</v>
      </c>
      <c r="X251" s="1">
        <v>369102</v>
      </c>
      <c r="Y251" s="2">
        <v>37811</v>
      </c>
      <c r="Z251" s="1">
        <v>-12.8210262828535</v>
      </c>
      <c r="AA251" s="1">
        <v>20</v>
      </c>
      <c r="AB251" s="1">
        <v>676000</v>
      </c>
      <c r="AC251" s="1">
        <f t="shared" si="3"/>
        <v>736000</v>
      </c>
    </row>
    <row r="252" spans="1:29" x14ac:dyDescent="0.25">
      <c r="A252" s="1" t="s">
        <v>5377</v>
      </c>
      <c r="B252" s="1" t="s">
        <v>5378</v>
      </c>
      <c r="C252" s="1" t="s">
        <v>5379</v>
      </c>
      <c r="D252" s="1">
        <v>2018</v>
      </c>
      <c r="E252" s="1" t="s">
        <v>31</v>
      </c>
      <c r="F252" s="1">
        <v>4</v>
      </c>
      <c r="G252" s="1" t="s">
        <v>32</v>
      </c>
      <c r="H252" s="1" t="s">
        <v>151</v>
      </c>
      <c r="I252" s="1">
        <v>169000</v>
      </c>
      <c r="J252" s="1">
        <v>154000</v>
      </c>
      <c r="K252" s="1">
        <v>15000</v>
      </c>
      <c r="L252" s="1">
        <v>0</v>
      </c>
      <c r="M252" s="1" t="s">
        <v>34</v>
      </c>
      <c r="N252" s="1" t="s">
        <v>63</v>
      </c>
      <c r="O252" s="1" t="s">
        <v>57</v>
      </c>
      <c r="P252" s="1" t="s">
        <v>57</v>
      </c>
      <c r="Q252" s="1" t="s">
        <v>38</v>
      </c>
      <c r="R252" s="1" t="s">
        <v>5380</v>
      </c>
      <c r="S252" s="3">
        <v>918577000000</v>
      </c>
      <c r="T252" s="1" t="s">
        <v>86</v>
      </c>
      <c r="U252" s="1">
        <v>61</v>
      </c>
      <c r="V252" s="1">
        <v>64</v>
      </c>
      <c r="W252" s="1" t="s">
        <v>52</v>
      </c>
      <c r="X252" s="1">
        <v>675030</v>
      </c>
      <c r="Y252" s="2">
        <v>38261</v>
      </c>
      <c r="Z252" s="1">
        <v>-13.8210262828535</v>
      </c>
      <c r="AA252" s="1">
        <v>19</v>
      </c>
      <c r="AB252" s="1">
        <v>676000</v>
      </c>
      <c r="AC252" s="1">
        <f t="shared" si="3"/>
        <v>736000</v>
      </c>
    </row>
    <row r="253" spans="1:29" x14ac:dyDescent="0.25">
      <c r="A253" s="1" t="s">
        <v>5407</v>
      </c>
      <c r="B253" s="1" t="s">
        <v>5408</v>
      </c>
      <c r="C253" s="1" t="s">
        <v>5409</v>
      </c>
      <c r="D253" s="1">
        <v>2018</v>
      </c>
      <c r="E253" s="1" t="s">
        <v>31</v>
      </c>
      <c r="F253" s="1">
        <v>4</v>
      </c>
      <c r="G253" s="1" t="s">
        <v>32</v>
      </c>
      <c r="H253" s="1" t="s">
        <v>62</v>
      </c>
      <c r="I253" s="1">
        <v>169000</v>
      </c>
      <c r="J253" s="1">
        <v>154000</v>
      </c>
      <c r="K253" s="1">
        <v>15000</v>
      </c>
      <c r="L253" s="1">
        <v>0</v>
      </c>
      <c r="M253" s="1" t="s">
        <v>34</v>
      </c>
      <c r="N253" s="1" t="s">
        <v>70</v>
      </c>
      <c r="O253" s="1" t="s">
        <v>188</v>
      </c>
      <c r="P253" s="1" t="s">
        <v>189</v>
      </c>
      <c r="Q253" s="1" t="s">
        <v>38</v>
      </c>
      <c r="R253" s="1" t="s">
        <v>5410</v>
      </c>
      <c r="S253" s="3">
        <v>919838000000</v>
      </c>
      <c r="T253" s="1" t="s">
        <v>74</v>
      </c>
      <c r="U253" s="1">
        <v>61</v>
      </c>
      <c r="V253" s="1">
        <v>82</v>
      </c>
      <c r="W253" s="1" t="s">
        <v>52</v>
      </c>
      <c r="X253" s="1">
        <v>494697</v>
      </c>
      <c r="Y253" s="2">
        <v>36839</v>
      </c>
      <c r="Z253" s="1">
        <v>-13.8210262828535</v>
      </c>
      <c r="AA253" s="1">
        <v>23</v>
      </c>
      <c r="AB253" s="1">
        <v>676000</v>
      </c>
      <c r="AC253" s="1">
        <f t="shared" si="3"/>
        <v>736000</v>
      </c>
    </row>
    <row r="254" spans="1:29" x14ac:dyDescent="0.25">
      <c r="A254" s="1" t="s">
        <v>5429</v>
      </c>
      <c r="B254" s="1" t="s">
        <v>3403</v>
      </c>
      <c r="C254" s="1" t="s">
        <v>3404</v>
      </c>
      <c r="D254" s="1">
        <v>2018</v>
      </c>
      <c r="E254" s="1" t="s">
        <v>31</v>
      </c>
      <c r="F254" s="1">
        <v>4</v>
      </c>
      <c r="G254" s="1" t="s">
        <v>32</v>
      </c>
      <c r="H254" s="1" t="s">
        <v>210</v>
      </c>
      <c r="I254" s="1">
        <v>169000</v>
      </c>
      <c r="J254" s="1">
        <v>154000</v>
      </c>
      <c r="K254" s="1">
        <v>15000</v>
      </c>
      <c r="L254" s="1">
        <v>0</v>
      </c>
      <c r="M254" s="1" t="s">
        <v>34</v>
      </c>
      <c r="N254" s="1" t="s">
        <v>35</v>
      </c>
      <c r="O254" s="1" t="s">
        <v>57</v>
      </c>
      <c r="P254" s="1" t="s">
        <v>57</v>
      </c>
      <c r="Q254" s="1" t="s">
        <v>38</v>
      </c>
      <c r="R254" s="1" t="s">
        <v>5430</v>
      </c>
      <c r="S254" s="3">
        <v>918808000000</v>
      </c>
      <c r="T254" s="1" t="s">
        <v>40</v>
      </c>
      <c r="U254" s="1">
        <v>61</v>
      </c>
      <c r="V254" s="1">
        <v>74</v>
      </c>
      <c r="W254" s="1" t="s">
        <v>41</v>
      </c>
      <c r="X254" s="1">
        <v>345891</v>
      </c>
      <c r="Y254" s="2">
        <v>37991</v>
      </c>
      <c r="Z254" s="1">
        <v>-13.8210262828535</v>
      </c>
      <c r="AA254" s="1">
        <v>20</v>
      </c>
      <c r="AB254" s="1">
        <v>676000</v>
      </c>
      <c r="AC254" s="1">
        <f t="shared" si="3"/>
        <v>736000</v>
      </c>
    </row>
    <row r="255" spans="1:29" x14ac:dyDescent="0.25">
      <c r="A255" s="1" t="s">
        <v>5445</v>
      </c>
      <c r="B255" s="1" t="s">
        <v>5446</v>
      </c>
      <c r="C255" s="1" t="s">
        <v>5447</v>
      </c>
      <c r="D255" s="1">
        <v>2018</v>
      </c>
      <c r="E255" s="1" t="s">
        <v>31</v>
      </c>
      <c r="F255" s="1">
        <v>4</v>
      </c>
      <c r="G255" s="1" t="s">
        <v>32</v>
      </c>
      <c r="H255" s="1" t="s">
        <v>151</v>
      </c>
      <c r="I255" s="1">
        <v>169000</v>
      </c>
      <c r="J255" s="1">
        <v>154000</v>
      </c>
      <c r="K255" s="1">
        <v>15000</v>
      </c>
      <c r="L255" s="1">
        <v>0</v>
      </c>
      <c r="M255" s="1" t="s">
        <v>34</v>
      </c>
      <c r="N255" s="1" t="s">
        <v>63</v>
      </c>
      <c r="O255" s="1" t="s">
        <v>71</v>
      </c>
      <c r="P255" s="1" t="s">
        <v>72</v>
      </c>
      <c r="Q255" s="1" t="s">
        <v>38</v>
      </c>
      <c r="R255" s="1" t="s">
        <v>5448</v>
      </c>
      <c r="S255" s="3">
        <v>918080000000</v>
      </c>
      <c r="T255" s="1" t="s">
        <v>74</v>
      </c>
      <c r="U255" s="1">
        <v>61</v>
      </c>
      <c r="V255" s="1">
        <v>85</v>
      </c>
      <c r="W255" s="1" t="s">
        <v>52</v>
      </c>
      <c r="X255" s="1">
        <v>588928</v>
      </c>
      <c r="Y255" s="2">
        <v>38589</v>
      </c>
      <c r="Z255" s="1">
        <v>-13.8210262828535</v>
      </c>
      <c r="AA255" s="1">
        <v>18</v>
      </c>
      <c r="AB255" s="1">
        <v>676000</v>
      </c>
      <c r="AC255" s="1">
        <f t="shared" si="3"/>
        <v>736000</v>
      </c>
    </row>
    <row r="256" spans="1:29" x14ac:dyDescent="0.25">
      <c r="A256" s="1" t="s">
        <v>5479</v>
      </c>
      <c r="B256" s="1" t="s">
        <v>3681</v>
      </c>
      <c r="C256" s="1" t="s">
        <v>3682</v>
      </c>
      <c r="D256" s="1">
        <v>2018</v>
      </c>
      <c r="E256" s="1" t="s">
        <v>31</v>
      </c>
      <c r="F256" s="1">
        <v>4</v>
      </c>
      <c r="G256" s="1" t="s">
        <v>32</v>
      </c>
      <c r="H256" s="1" t="s">
        <v>210</v>
      </c>
      <c r="I256" s="1">
        <v>169000</v>
      </c>
      <c r="J256" s="1">
        <v>154000</v>
      </c>
      <c r="K256" s="1">
        <v>15000</v>
      </c>
      <c r="L256" s="1">
        <v>0</v>
      </c>
      <c r="M256" s="1" t="s">
        <v>34</v>
      </c>
      <c r="N256" s="1" t="s">
        <v>35</v>
      </c>
      <c r="O256" s="1" t="s">
        <v>48</v>
      </c>
      <c r="P256" s="1" t="s">
        <v>49</v>
      </c>
      <c r="Q256" s="1" t="s">
        <v>38</v>
      </c>
      <c r="R256" s="1" t="s">
        <v>5480</v>
      </c>
      <c r="S256" s="3">
        <v>917943000000</v>
      </c>
      <c r="T256" s="1" t="s">
        <v>74</v>
      </c>
      <c r="U256" s="1">
        <v>61</v>
      </c>
      <c r="V256" s="1">
        <v>88</v>
      </c>
      <c r="W256" s="1" t="s">
        <v>52</v>
      </c>
      <c r="X256" s="1">
        <v>474783</v>
      </c>
      <c r="Y256" s="2">
        <v>37044</v>
      </c>
      <c r="Z256" s="1">
        <v>-13.8210262828535</v>
      </c>
      <c r="AA256" s="1">
        <v>23</v>
      </c>
      <c r="AB256" s="1">
        <v>676000</v>
      </c>
      <c r="AC256" s="1">
        <f t="shared" si="3"/>
        <v>736000</v>
      </c>
    </row>
    <row r="257" spans="1:29" x14ac:dyDescent="0.25">
      <c r="A257" s="1" t="s">
        <v>5495</v>
      </c>
      <c r="B257" s="1" t="s">
        <v>5496</v>
      </c>
      <c r="C257" s="1" t="s">
        <v>5497</v>
      </c>
      <c r="D257" s="1">
        <v>2018</v>
      </c>
      <c r="E257" s="1" t="s">
        <v>31</v>
      </c>
      <c r="F257" s="1">
        <v>4</v>
      </c>
      <c r="G257" s="1" t="s">
        <v>32</v>
      </c>
      <c r="H257" s="1" t="s">
        <v>33</v>
      </c>
      <c r="I257" s="1">
        <v>169000</v>
      </c>
      <c r="J257" s="1">
        <v>154000</v>
      </c>
      <c r="K257" s="1">
        <v>15000</v>
      </c>
      <c r="L257" s="1">
        <v>0</v>
      </c>
      <c r="M257" s="1" t="s">
        <v>34</v>
      </c>
      <c r="N257" s="1" t="s">
        <v>63</v>
      </c>
      <c r="O257" s="1" t="s">
        <v>103</v>
      </c>
      <c r="P257" s="1" t="s">
        <v>104</v>
      </c>
      <c r="Q257" s="1" t="s">
        <v>38</v>
      </c>
      <c r="R257" s="1" t="s">
        <v>5498</v>
      </c>
      <c r="S257" s="3">
        <v>919087000000</v>
      </c>
      <c r="T257" s="1" t="s">
        <v>98</v>
      </c>
      <c r="U257" s="1">
        <v>60</v>
      </c>
      <c r="V257" s="1">
        <v>64</v>
      </c>
      <c r="W257" s="1" t="s">
        <v>52</v>
      </c>
      <c r="X257" s="1">
        <v>798873</v>
      </c>
      <c r="Y257" s="2">
        <v>38133</v>
      </c>
      <c r="Z257" s="1">
        <v>-14.8210262828535</v>
      </c>
      <c r="AA257" s="1">
        <v>20</v>
      </c>
      <c r="AB257" s="1">
        <v>676000</v>
      </c>
      <c r="AC257" s="1">
        <f t="shared" si="3"/>
        <v>736000</v>
      </c>
    </row>
    <row r="258" spans="1:29" x14ac:dyDescent="0.25">
      <c r="A258" s="1" t="s">
        <v>5523</v>
      </c>
      <c r="B258" s="1" t="s">
        <v>5524</v>
      </c>
      <c r="C258" s="1" t="s">
        <v>5525</v>
      </c>
      <c r="D258" s="1">
        <v>2018</v>
      </c>
      <c r="E258" s="1" t="s">
        <v>31</v>
      </c>
      <c r="F258" s="1">
        <v>4</v>
      </c>
      <c r="G258" s="1" t="s">
        <v>32</v>
      </c>
      <c r="H258" s="1" t="s">
        <v>90</v>
      </c>
      <c r="I258" s="1">
        <v>169000</v>
      </c>
      <c r="J258" s="1">
        <v>154000</v>
      </c>
      <c r="K258" s="1">
        <v>15000</v>
      </c>
      <c r="L258" s="1">
        <v>0</v>
      </c>
      <c r="M258" s="1" t="s">
        <v>34</v>
      </c>
      <c r="N258" s="1" t="s">
        <v>35</v>
      </c>
      <c r="O258" s="1" t="s">
        <v>103</v>
      </c>
      <c r="P258" s="1" t="s">
        <v>104</v>
      </c>
      <c r="Q258" s="1" t="s">
        <v>38</v>
      </c>
      <c r="R258" s="1" t="s">
        <v>5526</v>
      </c>
      <c r="S258" s="3">
        <v>919622000000</v>
      </c>
      <c r="T258" s="1" t="s">
        <v>51</v>
      </c>
      <c r="U258" s="1">
        <v>60</v>
      </c>
      <c r="V258" s="1">
        <v>75</v>
      </c>
      <c r="W258" s="1" t="s">
        <v>52</v>
      </c>
      <c r="X258" s="1">
        <v>751013</v>
      </c>
      <c r="Y258" s="2">
        <v>38863</v>
      </c>
      <c r="Z258" s="1">
        <v>-14.8210262828535</v>
      </c>
      <c r="AA258" s="1">
        <v>18</v>
      </c>
      <c r="AB258" s="1">
        <v>676000</v>
      </c>
      <c r="AC258" s="1">
        <f t="shared" si="3"/>
        <v>736000</v>
      </c>
    </row>
    <row r="259" spans="1:29" x14ac:dyDescent="0.25">
      <c r="A259" s="1" t="s">
        <v>5565</v>
      </c>
      <c r="B259" s="1" t="s">
        <v>5352</v>
      </c>
      <c r="C259" s="1" t="s">
        <v>5353</v>
      </c>
      <c r="D259" s="1">
        <v>2018</v>
      </c>
      <c r="E259" s="1" t="s">
        <v>45</v>
      </c>
      <c r="F259" s="1">
        <v>2</v>
      </c>
      <c r="G259" s="1" t="s">
        <v>46</v>
      </c>
      <c r="H259" s="1" t="s">
        <v>33</v>
      </c>
      <c r="I259" s="1">
        <v>92000</v>
      </c>
      <c r="J259" s="1">
        <v>77000</v>
      </c>
      <c r="K259" s="1">
        <v>15000</v>
      </c>
      <c r="L259" s="1">
        <v>0</v>
      </c>
      <c r="M259" s="1" t="s">
        <v>34</v>
      </c>
      <c r="N259" s="1" t="s">
        <v>70</v>
      </c>
      <c r="O259" s="1" t="s">
        <v>71</v>
      </c>
      <c r="P259" s="1" t="s">
        <v>72</v>
      </c>
      <c r="Q259" s="1" t="s">
        <v>38</v>
      </c>
      <c r="R259" s="1" t="s">
        <v>5566</v>
      </c>
      <c r="S259" s="3">
        <v>918103000000</v>
      </c>
      <c r="T259" s="1" t="s">
        <v>40</v>
      </c>
      <c r="U259" s="1">
        <v>60</v>
      </c>
      <c r="V259" s="1">
        <v>91</v>
      </c>
      <c r="W259" s="1" t="s">
        <v>52</v>
      </c>
      <c r="X259" s="1">
        <v>469735</v>
      </c>
      <c r="Y259" s="2">
        <v>36947</v>
      </c>
      <c r="Z259" s="1">
        <v>-14.8210262828535</v>
      </c>
      <c r="AA259" s="1">
        <v>23</v>
      </c>
      <c r="AB259" s="1">
        <v>184000</v>
      </c>
      <c r="AC259" s="1">
        <f t="shared" si="3"/>
        <v>214000</v>
      </c>
    </row>
    <row r="260" spans="1:29" x14ac:dyDescent="0.25">
      <c r="A260" s="1" t="s">
        <v>5573</v>
      </c>
      <c r="B260" s="1" t="s">
        <v>1301</v>
      </c>
      <c r="C260" s="1" t="s">
        <v>1302</v>
      </c>
      <c r="D260" s="1">
        <v>2018</v>
      </c>
      <c r="E260" s="1" t="s">
        <v>31</v>
      </c>
      <c r="F260" s="1">
        <v>4</v>
      </c>
      <c r="G260" s="1" t="s">
        <v>32</v>
      </c>
      <c r="H260" s="1" t="s">
        <v>210</v>
      </c>
      <c r="I260" s="1">
        <v>169000</v>
      </c>
      <c r="J260" s="1">
        <v>154000</v>
      </c>
      <c r="K260" s="1">
        <v>15000</v>
      </c>
      <c r="L260" s="1">
        <v>0</v>
      </c>
      <c r="M260" s="1" t="s">
        <v>34</v>
      </c>
      <c r="N260" s="1" t="s">
        <v>35</v>
      </c>
      <c r="O260" s="1" t="s">
        <v>78</v>
      </c>
      <c r="P260" s="1" t="s">
        <v>79</v>
      </c>
      <c r="Q260" s="1" t="s">
        <v>38</v>
      </c>
      <c r="R260" s="1" t="s">
        <v>5574</v>
      </c>
      <c r="S260" s="3">
        <v>919366000000</v>
      </c>
      <c r="T260" s="1" t="s">
        <v>86</v>
      </c>
      <c r="U260" s="1">
        <v>60</v>
      </c>
      <c r="V260" s="1">
        <v>70</v>
      </c>
      <c r="W260" s="1" t="s">
        <v>41</v>
      </c>
      <c r="X260" s="1">
        <v>369272</v>
      </c>
      <c r="Y260" s="2">
        <v>37162</v>
      </c>
      <c r="Z260" s="1">
        <v>-14.8210262828535</v>
      </c>
      <c r="AA260" s="1">
        <v>22</v>
      </c>
      <c r="AB260" s="1">
        <v>676000</v>
      </c>
      <c r="AC260" s="1">
        <f t="shared" si="3"/>
        <v>736000</v>
      </c>
    </row>
    <row r="261" spans="1:29" x14ac:dyDescent="0.25">
      <c r="A261" s="1" t="s">
        <v>5583</v>
      </c>
      <c r="B261" s="1" t="s">
        <v>5584</v>
      </c>
      <c r="C261" s="1" t="s">
        <v>5585</v>
      </c>
      <c r="D261" s="1">
        <v>2018</v>
      </c>
      <c r="E261" s="1" t="s">
        <v>31</v>
      </c>
      <c r="F261" s="1">
        <v>4</v>
      </c>
      <c r="G261" s="1" t="s">
        <v>32</v>
      </c>
      <c r="H261" s="1" t="s">
        <v>47</v>
      </c>
      <c r="I261" s="1">
        <v>169000</v>
      </c>
      <c r="J261" s="1">
        <v>154000</v>
      </c>
      <c r="K261" s="1">
        <v>15000</v>
      </c>
      <c r="L261" s="1">
        <v>0</v>
      </c>
      <c r="M261" s="1" t="s">
        <v>34</v>
      </c>
      <c r="N261" s="1" t="s">
        <v>63</v>
      </c>
      <c r="O261" s="1" t="s">
        <v>48</v>
      </c>
      <c r="P261" s="1" t="s">
        <v>49</v>
      </c>
      <c r="Q261" s="1" t="s">
        <v>38</v>
      </c>
      <c r="R261" s="1" t="s">
        <v>5586</v>
      </c>
      <c r="S261" s="3">
        <v>918332000000</v>
      </c>
      <c r="T261" s="1" t="s">
        <v>74</v>
      </c>
      <c r="U261" s="1">
        <v>60</v>
      </c>
      <c r="V261" s="1">
        <v>60</v>
      </c>
      <c r="W261" s="1" t="s">
        <v>41</v>
      </c>
      <c r="X261" s="1">
        <v>488146</v>
      </c>
      <c r="Y261" s="2">
        <v>38650</v>
      </c>
      <c r="Z261" s="1">
        <v>-14.8210262828535</v>
      </c>
      <c r="AA261" s="1">
        <v>18</v>
      </c>
      <c r="AB261" s="1">
        <v>676000</v>
      </c>
      <c r="AC261" s="1">
        <f t="shared" si="3"/>
        <v>736000</v>
      </c>
    </row>
    <row r="262" spans="1:29" x14ac:dyDescent="0.25">
      <c r="A262" s="1" t="s">
        <v>5593</v>
      </c>
      <c r="B262" s="1" t="s">
        <v>1637</v>
      </c>
      <c r="C262" s="1" t="s">
        <v>1638</v>
      </c>
      <c r="D262" s="1">
        <v>2018</v>
      </c>
      <c r="E262" s="1" t="s">
        <v>31</v>
      </c>
      <c r="F262" s="1">
        <v>4</v>
      </c>
      <c r="G262" s="1" t="s">
        <v>32</v>
      </c>
      <c r="H262" s="1" t="s">
        <v>90</v>
      </c>
      <c r="I262" s="1">
        <v>169000</v>
      </c>
      <c r="J262" s="1">
        <v>154000</v>
      </c>
      <c r="K262" s="1">
        <v>15000</v>
      </c>
      <c r="L262" s="1">
        <v>0</v>
      </c>
      <c r="M262" s="1" t="s">
        <v>34</v>
      </c>
      <c r="N262" s="1" t="s">
        <v>35</v>
      </c>
      <c r="O262" s="1" t="s">
        <v>36</v>
      </c>
      <c r="P262" s="1" t="s">
        <v>37</v>
      </c>
      <c r="Q262" s="1" t="s">
        <v>38</v>
      </c>
      <c r="R262" s="1" t="s">
        <v>5594</v>
      </c>
      <c r="S262" s="3">
        <v>917409000000</v>
      </c>
      <c r="T262" s="1" t="s">
        <v>86</v>
      </c>
      <c r="U262" s="1">
        <v>60</v>
      </c>
      <c r="V262" s="1">
        <v>76</v>
      </c>
      <c r="W262" s="1" t="s">
        <v>41</v>
      </c>
      <c r="X262" s="1">
        <v>724132</v>
      </c>
      <c r="Y262" s="2">
        <v>37440</v>
      </c>
      <c r="Z262" s="1">
        <v>-14.8210262828535</v>
      </c>
      <c r="AA262" s="1">
        <v>22</v>
      </c>
      <c r="AB262" s="1">
        <v>676000</v>
      </c>
      <c r="AC262" s="1">
        <f t="shared" ref="AC262:AC325" si="4">IF(F262 = 2, AB262+30000,AB262+60000)</f>
        <v>736000</v>
      </c>
    </row>
    <row r="263" spans="1:29" x14ac:dyDescent="0.25">
      <c r="A263" s="1" t="s">
        <v>5615</v>
      </c>
      <c r="B263" s="1" t="s">
        <v>5616</v>
      </c>
      <c r="C263" s="1" t="s">
        <v>5617</v>
      </c>
      <c r="D263" s="1">
        <v>2018</v>
      </c>
      <c r="E263" s="1" t="s">
        <v>31</v>
      </c>
      <c r="F263" s="1">
        <v>4</v>
      </c>
      <c r="G263" s="1" t="s">
        <v>32</v>
      </c>
      <c r="H263" s="1" t="s">
        <v>33</v>
      </c>
      <c r="I263" s="1">
        <v>169000</v>
      </c>
      <c r="J263" s="1">
        <v>154000</v>
      </c>
      <c r="K263" s="1">
        <v>15000</v>
      </c>
      <c r="L263" s="1">
        <v>0</v>
      </c>
      <c r="M263" s="1" t="s">
        <v>34</v>
      </c>
      <c r="N263" s="1" t="s">
        <v>63</v>
      </c>
      <c r="O263" s="1" t="s">
        <v>103</v>
      </c>
      <c r="P263" s="1" t="s">
        <v>104</v>
      </c>
      <c r="Q263" s="1" t="s">
        <v>38</v>
      </c>
      <c r="R263" s="1" t="s">
        <v>5618</v>
      </c>
      <c r="S263" s="3">
        <v>919654000000</v>
      </c>
      <c r="T263" s="1" t="s">
        <v>40</v>
      </c>
      <c r="U263" s="1">
        <v>60</v>
      </c>
      <c r="V263" s="1">
        <v>66</v>
      </c>
      <c r="W263" s="1" t="s">
        <v>41</v>
      </c>
      <c r="X263" s="1">
        <v>645768</v>
      </c>
      <c r="Y263" s="2">
        <v>38520</v>
      </c>
      <c r="Z263" s="1">
        <v>-14.8210262828535</v>
      </c>
      <c r="AA263" s="1">
        <v>19</v>
      </c>
      <c r="AB263" s="1">
        <v>676000</v>
      </c>
      <c r="AC263" s="1">
        <f t="shared" si="4"/>
        <v>736000</v>
      </c>
    </row>
    <row r="264" spans="1:29" x14ac:dyDescent="0.25">
      <c r="A264" s="1" t="s">
        <v>5623</v>
      </c>
      <c r="B264" s="1" t="s">
        <v>1872</v>
      </c>
      <c r="C264" s="1" t="s">
        <v>1873</v>
      </c>
      <c r="D264" s="1">
        <v>2018</v>
      </c>
      <c r="E264" s="1" t="s">
        <v>45</v>
      </c>
      <c r="F264" s="1">
        <v>2</v>
      </c>
      <c r="G264" s="1" t="s">
        <v>46</v>
      </c>
      <c r="H264" s="1" t="s">
        <v>90</v>
      </c>
      <c r="I264" s="1">
        <v>92000</v>
      </c>
      <c r="J264" s="1">
        <v>77000</v>
      </c>
      <c r="K264" s="1">
        <v>15000</v>
      </c>
      <c r="L264" s="1">
        <v>0</v>
      </c>
      <c r="M264" s="1" t="s">
        <v>34</v>
      </c>
      <c r="N264" s="1" t="s">
        <v>63</v>
      </c>
      <c r="O264" s="1" t="s">
        <v>84</v>
      </c>
      <c r="P264" s="1" t="s">
        <v>65</v>
      </c>
      <c r="Q264" s="1" t="s">
        <v>38</v>
      </c>
      <c r="R264" s="1" t="s">
        <v>5624</v>
      </c>
      <c r="S264" s="3">
        <v>917942000000</v>
      </c>
      <c r="T264" s="1" t="s">
        <v>86</v>
      </c>
      <c r="U264" s="1">
        <v>60</v>
      </c>
      <c r="V264" s="1">
        <v>89</v>
      </c>
      <c r="W264" s="1" t="s">
        <v>52</v>
      </c>
      <c r="X264" s="1">
        <v>792894</v>
      </c>
      <c r="Y264" s="2">
        <v>35650</v>
      </c>
      <c r="Z264" s="1">
        <v>-14.8210262828535</v>
      </c>
      <c r="AA264" s="1">
        <v>26</v>
      </c>
      <c r="AB264" s="1">
        <v>184000</v>
      </c>
      <c r="AC264" s="1">
        <f t="shared" si="4"/>
        <v>214000</v>
      </c>
    </row>
    <row r="265" spans="1:29" x14ac:dyDescent="0.25">
      <c r="A265" s="1" t="s">
        <v>5639</v>
      </c>
      <c r="B265" s="1" t="s">
        <v>5640</v>
      </c>
      <c r="C265" s="1" t="s">
        <v>5641</v>
      </c>
      <c r="D265" s="1">
        <v>2018</v>
      </c>
      <c r="E265" s="1" t="s">
        <v>31</v>
      </c>
      <c r="F265" s="1">
        <v>4</v>
      </c>
      <c r="G265" s="1" t="s">
        <v>32</v>
      </c>
      <c r="H265" s="1" t="s">
        <v>113</v>
      </c>
      <c r="I265" s="1">
        <v>169000</v>
      </c>
      <c r="J265" s="1">
        <v>154000</v>
      </c>
      <c r="K265" s="1">
        <v>15000</v>
      </c>
      <c r="L265" s="1">
        <v>0</v>
      </c>
      <c r="M265" s="1" t="s">
        <v>34</v>
      </c>
      <c r="N265" s="1" t="s">
        <v>63</v>
      </c>
      <c r="O265" s="1" t="s">
        <v>57</v>
      </c>
      <c r="P265" s="1" t="s">
        <v>57</v>
      </c>
      <c r="Q265" s="1" t="s">
        <v>38</v>
      </c>
      <c r="R265" s="1" t="s">
        <v>5642</v>
      </c>
      <c r="S265" s="3">
        <v>918441000000</v>
      </c>
      <c r="T265" s="1" t="s">
        <v>40</v>
      </c>
      <c r="U265" s="1">
        <v>60</v>
      </c>
      <c r="V265" s="1">
        <v>84</v>
      </c>
      <c r="W265" s="1" t="s">
        <v>52</v>
      </c>
      <c r="X265" s="1">
        <v>468889</v>
      </c>
      <c r="Y265" s="2">
        <v>37767</v>
      </c>
      <c r="Z265" s="1">
        <v>-14.8210262828535</v>
      </c>
      <c r="AA265" s="1">
        <v>21</v>
      </c>
      <c r="AB265" s="1">
        <v>676000</v>
      </c>
      <c r="AC265" s="1">
        <f t="shared" si="4"/>
        <v>736000</v>
      </c>
    </row>
    <row r="266" spans="1:29" x14ac:dyDescent="0.25">
      <c r="A266" s="1" t="s">
        <v>28</v>
      </c>
      <c r="B266" s="1" t="s">
        <v>29</v>
      </c>
      <c r="C266" s="1" t="s">
        <v>30</v>
      </c>
      <c r="D266" s="1">
        <v>2019</v>
      </c>
      <c r="E266" s="1" t="s">
        <v>31</v>
      </c>
      <c r="F266" s="1">
        <v>4</v>
      </c>
      <c r="G266" s="1" t="s">
        <v>32</v>
      </c>
      <c r="H266" s="1" t="s">
        <v>33</v>
      </c>
      <c r="I266" s="1">
        <v>169000</v>
      </c>
      <c r="J266" s="1">
        <v>154000</v>
      </c>
      <c r="K266" s="1">
        <v>15000</v>
      </c>
      <c r="L266" s="1">
        <v>0</v>
      </c>
      <c r="M266" s="1" t="s">
        <v>34</v>
      </c>
      <c r="N266" s="1" t="s">
        <v>35</v>
      </c>
      <c r="O266" s="1" t="s">
        <v>36</v>
      </c>
      <c r="P266" s="1" t="s">
        <v>37</v>
      </c>
      <c r="Q266" s="1" t="s">
        <v>38</v>
      </c>
      <c r="R266" s="1" t="s">
        <v>39</v>
      </c>
      <c r="S266" s="3">
        <v>917483000000</v>
      </c>
      <c r="T266" s="1" t="s">
        <v>40</v>
      </c>
      <c r="U266" s="1">
        <v>90</v>
      </c>
      <c r="V266" s="1">
        <v>78</v>
      </c>
      <c r="W266" s="1" t="s">
        <v>41</v>
      </c>
      <c r="X266" s="1">
        <v>400412</v>
      </c>
      <c r="Y266" s="2">
        <v>37050</v>
      </c>
      <c r="Z266" s="1">
        <v>15.1789737171464</v>
      </c>
      <c r="AA266" s="1">
        <v>23</v>
      </c>
      <c r="AB266" s="1">
        <v>676000</v>
      </c>
      <c r="AC266" s="1">
        <f t="shared" si="4"/>
        <v>736000</v>
      </c>
    </row>
    <row r="267" spans="1:29" x14ac:dyDescent="0.25">
      <c r="A267" s="1" t="s">
        <v>75</v>
      </c>
      <c r="B267" s="1" t="s">
        <v>76</v>
      </c>
      <c r="C267" s="1" t="s">
        <v>77</v>
      </c>
      <c r="D267" s="1">
        <v>2019</v>
      </c>
      <c r="E267" s="1" t="s">
        <v>31</v>
      </c>
      <c r="F267" s="1">
        <v>4</v>
      </c>
      <c r="G267" s="1" t="s">
        <v>32</v>
      </c>
      <c r="H267" s="1" t="s">
        <v>47</v>
      </c>
      <c r="I267" s="1">
        <v>169000</v>
      </c>
      <c r="J267" s="1">
        <v>154000</v>
      </c>
      <c r="K267" s="1">
        <v>15000</v>
      </c>
      <c r="L267" s="1">
        <v>0</v>
      </c>
      <c r="M267" s="1" t="s">
        <v>34</v>
      </c>
      <c r="N267" s="1" t="s">
        <v>35</v>
      </c>
      <c r="O267" s="1" t="s">
        <v>78</v>
      </c>
      <c r="P267" s="1" t="s">
        <v>79</v>
      </c>
      <c r="Q267" s="1" t="s">
        <v>38</v>
      </c>
      <c r="R267" s="1" t="s">
        <v>80</v>
      </c>
      <c r="S267" s="3">
        <v>918162000000</v>
      </c>
      <c r="T267" s="1" t="s">
        <v>40</v>
      </c>
      <c r="U267" s="1">
        <v>90</v>
      </c>
      <c r="V267" s="1">
        <v>81</v>
      </c>
      <c r="W267" s="1" t="s">
        <v>52</v>
      </c>
      <c r="X267" s="1">
        <v>107672</v>
      </c>
      <c r="Y267" s="2">
        <v>38684</v>
      </c>
      <c r="Z267" s="1">
        <v>15.1789737171464</v>
      </c>
      <c r="AA267" s="1">
        <v>18</v>
      </c>
      <c r="AB267" s="1">
        <v>676000</v>
      </c>
      <c r="AC267" s="1">
        <f t="shared" si="4"/>
        <v>736000</v>
      </c>
    </row>
    <row r="268" spans="1:29" x14ac:dyDescent="0.25">
      <c r="A268" s="1" t="s">
        <v>81</v>
      </c>
      <c r="B268" s="1" t="s">
        <v>82</v>
      </c>
      <c r="C268" s="1" t="s">
        <v>83</v>
      </c>
      <c r="D268" s="1">
        <v>2019</v>
      </c>
      <c r="E268" s="1" t="s">
        <v>31</v>
      </c>
      <c r="F268" s="1">
        <v>4</v>
      </c>
      <c r="G268" s="1" t="s">
        <v>32</v>
      </c>
      <c r="H268" s="1" t="s">
        <v>33</v>
      </c>
      <c r="I268" s="1">
        <v>169000</v>
      </c>
      <c r="J268" s="1">
        <v>154000</v>
      </c>
      <c r="K268" s="1">
        <v>15000</v>
      </c>
      <c r="L268" s="1">
        <v>0</v>
      </c>
      <c r="M268" s="1" t="s">
        <v>34</v>
      </c>
      <c r="N268" s="1" t="s">
        <v>35</v>
      </c>
      <c r="O268" s="1" t="s">
        <v>84</v>
      </c>
      <c r="P268" s="1" t="s">
        <v>65</v>
      </c>
      <c r="Q268" s="1" t="s">
        <v>38</v>
      </c>
      <c r="R268" s="1" t="s">
        <v>85</v>
      </c>
      <c r="S268" s="3">
        <v>918593000000</v>
      </c>
      <c r="T268" s="1" t="s">
        <v>86</v>
      </c>
      <c r="U268" s="1">
        <v>90</v>
      </c>
      <c r="V268" s="1">
        <v>73</v>
      </c>
      <c r="W268" s="1" t="s">
        <v>52</v>
      </c>
      <c r="X268" s="1">
        <v>197539</v>
      </c>
      <c r="Y268" s="2">
        <v>36815</v>
      </c>
      <c r="Z268" s="1">
        <v>15.1789737171464</v>
      </c>
      <c r="AA268" s="1">
        <v>23</v>
      </c>
      <c r="AB268" s="1">
        <v>676000</v>
      </c>
      <c r="AC268" s="1">
        <f t="shared" si="4"/>
        <v>736000</v>
      </c>
    </row>
    <row r="269" spans="1:29" x14ac:dyDescent="0.25">
      <c r="A269" s="1" t="s">
        <v>119</v>
      </c>
      <c r="B269" s="1" t="s">
        <v>120</v>
      </c>
      <c r="C269" s="1" t="s">
        <v>121</v>
      </c>
      <c r="D269" s="1">
        <v>2019</v>
      </c>
      <c r="E269" s="1" t="s">
        <v>31</v>
      </c>
      <c r="F269" s="1">
        <v>4</v>
      </c>
      <c r="G269" s="1" t="s">
        <v>32</v>
      </c>
      <c r="H269" s="1" t="s">
        <v>122</v>
      </c>
      <c r="I269" s="1">
        <v>169000</v>
      </c>
      <c r="J269" s="1">
        <v>154000</v>
      </c>
      <c r="K269" s="1">
        <v>15000</v>
      </c>
      <c r="L269" s="1">
        <v>0</v>
      </c>
      <c r="M269" s="1" t="s">
        <v>5649</v>
      </c>
      <c r="N269" s="1" t="s">
        <v>35</v>
      </c>
      <c r="O269" s="1" t="s">
        <v>64</v>
      </c>
      <c r="P269" s="1" t="s">
        <v>65</v>
      </c>
      <c r="Q269" s="1" t="s">
        <v>38</v>
      </c>
      <c r="R269" s="1" t="s">
        <v>123</v>
      </c>
      <c r="S269" s="3">
        <v>919592000000</v>
      </c>
      <c r="T269" s="1" t="s">
        <v>98</v>
      </c>
      <c r="U269" s="1">
        <v>90</v>
      </c>
      <c r="V269" s="1">
        <v>88</v>
      </c>
      <c r="W269" s="1" t="s">
        <v>52</v>
      </c>
      <c r="X269" s="1">
        <v>763942</v>
      </c>
      <c r="Y269" s="2">
        <v>36790</v>
      </c>
      <c r="Z269" s="1">
        <v>15.1789737171464</v>
      </c>
      <c r="AA269" s="1">
        <v>23</v>
      </c>
      <c r="AB269" s="1">
        <v>676000</v>
      </c>
      <c r="AC269" s="1">
        <f t="shared" si="4"/>
        <v>736000</v>
      </c>
    </row>
    <row r="270" spans="1:29" x14ac:dyDescent="0.25">
      <c r="A270" s="1" t="s">
        <v>124</v>
      </c>
      <c r="B270" s="1" t="s">
        <v>125</v>
      </c>
      <c r="C270" s="1" t="s">
        <v>126</v>
      </c>
      <c r="D270" s="1">
        <v>2019</v>
      </c>
      <c r="E270" s="1" t="s">
        <v>31</v>
      </c>
      <c r="F270" s="1">
        <v>4</v>
      </c>
      <c r="G270" s="1" t="s">
        <v>32</v>
      </c>
      <c r="H270" s="1" t="s">
        <v>62</v>
      </c>
      <c r="I270" s="1">
        <v>169000</v>
      </c>
      <c r="J270" s="1">
        <v>154000</v>
      </c>
      <c r="K270" s="1">
        <v>15000</v>
      </c>
      <c r="L270" s="1">
        <v>0</v>
      </c>
      <c r="M270" s="1" t="s">
        <v>5649</v>
      </c>
      <c r="N270" s="1" t="s">
        <v>63</v>
      </c>
      <c r="O270" s="1" t="s">
        <v>36</v>
      </c>
      <c r="P270" s="1" t="s">
        <v>37</v>
      </c>
      <c r="Q270" s="1" t="s">
        <v>38</v>
      </c>
      <c r="R270" s="1" t="s">
        <v>127</v>
      </c>
      <c r="S270" s="3">
        <v>917650000000</v>
      </c>
      <c r="T270" s="1" t="s">
        <v>40</v>
      </c>
      <c r="U270" s="1">
        <v>90</v>
      </c>
      <c r="V270" s="1">
        <v>87</v>
      </c>
      <c r="W270" s="1" t="s">
        <v>52</v>
      </c>
      <c r="X270" s="1">
        <v>301076</v>
      </c>
      <c r="Y270" s="2">
        <v>38858</v>
      </c>
      <c r="Z270" s="1">
        <v>15.1789737171464</v>
      </c>
      <c r="AA270" s="1">
        <v>18</v>
      </c>
      <c r="AB270" s="1">
        <v>676000</v>
      </c>
      <c r="AC270" s="1">
        <f t="shared" si="4"/>
        <v>736000</v>
      </c>
    </row>
    <row r="271" spans="1:29" x14ac:dyDescent="0.25">
      <c r="A271" s="1" t="s">
        <v>144</v>
      </c>
      <c r="B271" s="1" t="s">
        <v>145</v>
      </c>
      <c r="C271" s="1" t="s">
        <v>146</v>
      </c>
      <c r="D271" s="1">
        <v>2019</v>
      </c>
      <c r="E271" s="1" t="s">
        <v>31</v>
      </c>
      <c r="F271" s="1">
        <v>4</v>
      </c>
      <c r="G271" s="1" t="s">
        <v>32</v>
      </c>
      <c r="H271" s="1" t="s">
        <v>33</v>
      </c>
      <c r="I271" s="1">
        <v>169000</v>
      </c>
      <c r="J271" s="1">
        <v>154000</v>
      </c>
      <c r="K271" s="1">
        <v>15000</v>
      </c>
      <c r="L271" s="1">
        <v>0</v>
      </c>
      <c r="M271" s="1" t="s">
        <v>34</v>
      </c>
      <c r="N271" s="1" t="s">
        <v>63</v>
      </c>
      <c r="O271" s="1" t="s">
        <v>71</v>
      </c>
      <c r="P271" s="1" t="s">
        <v>72</v>
      </c>
      <c r="Q271" s="1" t="s">
        <v>38</v>
      </c>
      <c r="R271" s="1" t="s">
        <v>147</v>
      </c>
      <c r="S271" s="3">
        <v>917832000000</v>
      </c>
      <c r="T271" s="1" t="s">
        <v>51</v>
      </c>
      <c r="U271" s="1">
        <v>90</v>
      </c>
      <c r="V271" s="1">
        <v>62</v>
      </c>
      <c r="W271" s="1" t="s">
        <v>41</v>
      </c>
      <c r="X271" s="1">
        <v>212410</v>
      </c>
      <c r="Y271" s="2">
        <v>37888</v>
      </c>
      <c r="Z271" s="1">
        <v>15.1789737171464</v>
      </c>
      <c r="AA271" s="1">
        <v>20</v>
      </c>
      <c r="AB271" s="1">
        <v>676000</v>
      </c>
      <c r="AC271" s="1">
        <f t="shared" si="4"/>
        <v>736000</v>
      </c>
    </row>
    <row r="272" spans="1:29" x14ac:dyDescent="0.25">
      <c r="A272" s="1" t="s">
        <v>161</v>
      </c>
      <c r="B272" s="1" t="s">
        <v>162</v>
      </c>
      <c r="C272" s="1" t="s">
        <v>163</v>
      </c>
      <c r="D272" s="1">
        <v>2019</v>
      </c>
      <c r="E272" s="1" t="s">
        <v>45</v>
      </c>
      <c r="F272" s="1">
        <v>2</v>
      </c>
      <c r="G272" s="1" t="s">
        <v>46</v>
      </c>
      <c r="H272" s="1" t="s">
        <v>62</v>
      </c>
      <c r="I272" s="1">
        <v>92000</v>
      </c>
      <c r="J272" s="1">
        <v>77000</v>
      </c>
      <c r="K272" s="1">
        <v>15000</v>
      </c>
      <c r="L272" s="1">
        <v>0</v>
      </c>
      <c r="M272" s="1" t="s">
        <v>34</v>
      </c>
      <c r="N272" s="1" t="s">
        <v>35</v>
      </c>
      <c r="O272" s="1" t="s">
        <v>57</v>
      </c>
      <c r="P272" s="1" t="s">
        <v>57</v>
      </c>
      <c r="Q272" s="1" t="s">
        <v>38</v>
      </c>
      <c r="R272" s="1" t="s">
        <v>164</v>
      </c>
      <c r="S272" s="3">
        <v>917116000000</v>
      </c>
      <c r="T272" s="1" t="s">
        <v>51</v>
      </c>
      <c r="U272" s="1">
        <v>90</v>
      </c>
      <c r="V272" s="1">
        <v>61</v>
      </c>
      <c r="W272" s="1" t="s">
        <v>52</v>
      </c>
      <c r="X272" s="1">
        <v>448181</v>
      </c>
      <c r="Y272" s="2">
        <v>37132</v>
      </c>
      <c r="Z272" s="1">
        <v>15.1789737171464</v>
      </c>
      <c r="AA272" s="1">
        <v>22</v>
      </c>
      <c r="AB272" s="1">
        <v>184000</v>
      </c>
      <c r="AC272" s="1">
        <f t="shared" si="4"/>
        <v>214000</v>
      </c>
    </row>
    <row r="273" spans="1:29" x14ac:dyDescent="0.25">
      <c r="A273" s="1" t="s">
        <v>203</v>
      </c>
      <c r="B273" s="1" t="s">
        <v>204</v>
      </c>
      <c r="C273" s="1" t="s">
        <v>205</v>
      </c>
      <c r="D273" s="1">
        <v>2019</v>
      </c>
      <c r="E273" s="1" t="s">
        <v>31</v>
      </c>
      <c r="F273" s="1">
        <v>4</v>
      </c>
      <c r="G273" s="1" t="s">
        <v>32</v>
      </c>
      <c r="H273" s="1" t="s">
        <v>47</v>
      </c>
      <c r="I273" s="1">
        <v>169000</v>
      </c>
      <c r="J273" s="1">
        <v>154000</v>
      </c>
      <c r="K273" s="1">
        <v>15000</v>
      </c>
      <c r="L273" s="1">
        <v>0</v>
      </c>
      <c r="M273" s="1" t="s">
        <v>34</v>
      </c>
      <c r="N273" s="1" t="s">
        <v>63</v>
      </c>
      <c r="O273" s="1" t="s">
        <v>78</v>
      </c>
      <c r="P273" s="1" t="s">
        <v>79</v>
      </c>
      <c r="Q273" s="1" t="s">
        <v>38</v>
      </c>
      <c r="R273" s="1" t="s">
        <v>206</v>
      </c>
      <c r="S273" s="3">
        <v>918529000000</v>
      </c>
      <c r="T273" s="1" t="s">
        <v>40</v>
      </c>
      <c r="U273" s="1">
        <v>90</v>
      </c>
      <c r="V273" s="1">
        <v>62</v>
      </c>
      <c r="W273" s="1" t="s">
        <v>41</v>
      </c>
      <c r="X273" s="1">
        <v>388069</v>
      </c>
      <c r="Y273" s="2">
        <v>37797</v>
      </c>
      <c r="Z273" s="1">
        <v>15.1789737171464</v>
      </c>
      <c r="AA273" s="1">
        <v>21</v>
      </c>
      <c r="AB273" s="1">
        <v>676000</v>
      </c>
      <c r="AC273" s="1">
        <f t="shared" si="4"/>
        <v>736000</v>
      </c>
    </row>
    <row r="274" spans="1:29" x14ac:dyDescent="0.25">
      <c r="A274" s="1" t="s">
        <v>228</v>
      </c>
      <c r="B274" s="1" t="s">
        <v>229</v>
      </c>
      <c r="C274" s="1" t="s">
        <v>230</v>
      </c>
      <c r="D274" s="1">
        <v>2019</v>
      </c>
      <c r="E274" s="1" t="s">
        <v>31</v>
      </c>
      <c r="F274" s="1">
        <v>4</v>
      </c>
      <c r="G274" s="1" t="s">
        <v>32</v>
      </c>
      <c r="H274" s="1" t="s">
        <v>102</v>
      </c>
      <c r="I274" s="1">
        <v>169000</v>
      </c>
      <c r="J274" s="1">
        <v>154000</v>
      </c>
      <c r="K274" s="1">
        <v>15000</v>
      </c>
      <c r="L274" s="1">
        <v>0</v>
      </c>
      <c r="M274" s="1" t="s">
        <v>34</v>
      </c>
      <c r="N274" s="1" t="s">
        <v>35</v>
      </c>
      <c r="O274" s="1" t="s">
        <v>103</v>
      </c>
      <c r="P274" s="1" t="s">
        <v>104</v>
      </c>
      <c r="Q274" s="1" t="s">
        <v>38</v>
      </c>
      <c r="R274" s="1" t="s">
        <v>231</v>
      </c>
      <c r="S274" s="3">
        <v>917719000000</v>
      </c>
      <c r="T274" s="1" t="s">
        <v>98</v>
      </c>
      <c r="U274" s="1">
        <v>90</v>
      </c>
      <c r="V274" s="1">
        <v>68</v>
      </c>
      <c r="W274" s="1" t="s">
        <v>41</v>
      </c>
      <c r="X274" s="1">
        <v>435405</v>
      </c>
      <c r="Y274" s="2">
        <v>37671</v>
      </c>
      <c r="Z274" s="1">
        <v>15.1789737171464</v>
      </c>
      <c r="AA274" s="1">
        <v>21</v>
      </c>
      <c r="AB274" s="1">
        <v>676000</v>
      </c>
      <c r="AC274" s="1">
        <f t="shared" si="4"/>
        <v>736000</v>
      </c>
    </row>
    <row r="275" spans="1:29" x14ac:dyDescent="0.25">
      <c r="A275" s="1" t="s">
        <v>236</v>
      </c>
      <c r="B275" s="1" t="s">
        <v>237</v>
      </c>
      <c r="C275" s="1" t="s">
        <v>238</v>
      </c>
      <c r="D275" s="1">
        <v>2019</v>
      </c>
      <c r="E275" s="1" t="s">
        <v>45</v>
      </c>
      <c r="F275" s="1">
        <v>2</v>
      </c>
      <c r="G275" s="1" t="s">
        <v>46</v>
      </c>
      <c r="H275" s="1" t="s">
        <v>47</v>
      </c>
      <c r="I275" s="1">
        <v>92000</v>
      </c>
      <c r="J275" s="1">
        <v>77000</v>
      </c>
      <c r="K275" s="1">
        <v>15000</v>
      </c>
      <c r="L275" s="1">
        <v>0</v>
      </c>
      <c r="M275" s="1" t="s">
        <v>34</v>
      </c>
      <c r="N275" s="1" t="s">
        <v>63</v>
      </c>
      <c r="O275" s="1" t="s">
        <v>84</v>
      </c>
      <c r="P275" s="1" t="s">
        <v>65</v>
      </c>
      <c r="Q275" s="1" t="s">
        <v>38</v>
      </c>
      <c r="R275" s="1" t="s">
        <v>239</v>
      </c>
      <c r="S275" s="3">
        <v>919402000000</v>
      </c>
      <c r="T275" s="1" t="s">
        <v>98</v>
      </c>
      <c r="U275" s="1">
        <v>90</v>
      </c>
      <c r="V275" s="1">
        <v>77</v>
      </c>
      <c r="W275" s="1" t="s">
        <v>52</v>
      </c>
      <c r="X275" s="1">
        <v>191348</v>
      </c>
      <c r="Y275" s="2">
        <v>35766</v>
      </c>
      <c r="Z275" s="1">
        <v>15.1789737171464</v>
      </c>
      <c r="AA275" s="1">
        <v>26</v>
      </c>
      <c r="AB275" s="1">
        <v>184000</v>
      </c>
      <c r="AC275" s="1">
        <f t="shared" si="4"/>
        <v>214000</v>
      </c>
    </row>
    <row r="276" spans="1:29" x14ac:dyDescent="0.25">
      <c r="A276" s="1" t="s">
        <v>240</v>
      </c>
      <c r="B276" s="1" t="s">
        <v>241</v>
      </c>
      <c r="C276" s="1" t="s">
        <v>242</v>
      </c>
      <c r="D276" s="1">
        <v>2019</v>
      </c>
      <c r="E276" s="1" t="s">
        <v>31</v>
      </c>
      <c r="F276" s="1">
        <v>4</v>
      </c>
      <c r="G276" s="1" t="s">
        <v>32</v>
      </c>
      <c r="H276" s="1" t="s">
        <v>122</v>
      </c>
      <c r="I276" s="1">
        <v>169000</v>
      </c>
      <c r="J276" s="1">
        <v>154000</v>
      </c>
      <c r="K276" s="1">
        <v>15000</v>
      </c>
      <c r="L276" s="1">
        <v>0</v>
      </c>
      <c r="M276" s="1" t="s">
        <v>34</v>
      </c>
      <c r="N276" s="1" t="s">
        <v>70</v>
      </c>
      <c r="O276" s="1" t="s">
        <v>48</v>
      </c>
      <c r="P276" s="1" t="s">
        <v>49</v>
      </c>
      <c r="Q276" s="1" t="s">
        <v>38</v>
      </c>
      <c r="R276" s="1" t="s">
        <v>243</v>
      </c>
      <c r="S276" s="3">
        <v>919447000000</v>
      </c>
      <c r="T276" s="1" t="s">
        <v>74</v>
      </c>
      <c r="U276" s="1">
        <v>90</v>
      </c>
      <c r="V276" s="1">
        <v>87</v>
      </c>
      <c r="W276" s="1" t="s">
        <v>52</v>
      </c>
      <c r="X276" s="1">
        <v>608847</v>
      </c>
      <c r="Y276" s="2">
        <v>38417</v>
      </c>
      <c r="Z276" s="1">
        <v>15.1789737171464</v>
      </c>
      <c r="AA276" s="1">
        <v>19</v>
      </c>
      <c r="AB276" s="1">
        <v>676000</v>
      </c>
      <c r="AC276" s="1">
        <f t="shared" si="4"/>
        <v>736000</v>
      </c>
    </row>
    <row r="277" spans="1:29" x14ac:dyDescent="0.25">
      <c r="A277" s="1" t="s">
        <v>244</v>
      </c>
      <c r="B277" s="1" t="s">
        <v>245</v>
      </c>
      <c r="C277" s="1" t="s">
        <v>246</v>
      </c>
      <c r="D277" s="1">
        <v>2019</v>
      </c>
      <c r="E277" s="1" t="s">
        <v>31</v>
      </c>
      <c r="F277" s="1">
        <v>4</v>
      </c>
      <c r="G277" s="1" t="s">
        <v>32</v>
      </c>
      <c r="H277" s="1" t="s">
        <v>47</v>
      </c>
      <c r="I277" s="1">
        <v>169000</v>
      </c>
      <c r="J277" s="1">
        <v>154000</v>
      </c>
      <c r="K277" s="1">
        <v>15000</v>
      </c>
      <c r="L277" s="1">
        <v>0</v>
      </c>
      <c r="M277" s="1" t="s">
        <v>34</v>
      </c>
      <c r="N277" s="1" t="s">
        <v>63</v>
      </c>
      <c r="O277" s="1" t="s">
        <v>91</v>
      </c>
      <c r="P277" s="1" t="s">
        <v>92</v>
      </c>
      <c r="Q277" s="1" t="s">
        <v>38</v>
      </c>
      <c r="R277" s="1" t="s">
        <v>247</v>
      </c>
      <c r="S277" s="3">
        <v>917451000000</v>
      </c>
      <c r="T277" s="1" t="s">
        <v>98</v>
      </c>
      <c r="U277" s="1">
        <v>90</v>
      </c>
      <c r="V277" s="1">
        <v>84</v>
      </c>
      <c r="W277" s="1" t="s">
        <v>41</v>
      </c>
      <c r="X277" s="1">
        <v>645038</v>
      </c>
      <c r="Y277" s="2">
        <v>38078</v>
      </c>
      <c r="Z277" s="1">
        <v>15.1789737171464</v>
      </c>
      <c r="AA277" s="1">
        <v>20</v>
      </c>
      <c r="AB277" s="1">
        <v>676000</v>
      </c>
      <c r="AC277" s="1">
        <f t="shared" si="4"/>
        <v>736000</v>
      </c>
    </row>
    <row r="278" spans="1:29" x14ac:dyDescent="0.25">
      <c r="A278" s="1" t="s">
        <v>252</v>
      </c>
      <c r="B278" s="1" t="s">
        <v>253</v>
      </c>
      <c r="C278" s="1" t="s">
        <v>254</v>
      </c>
      <c r="D278" s="1">
        <v>2019</v>
      </c>
      <c r="E278" s="1" t="s">
        <v>31</v>
      </c>
      <c r="F278" s="1">
        <v>4</v>
      </c>
      <c r="G278" s="1" t="s">
        <v>32</v>
      </c>
      <c r="H278" s="1" t="s">
        <v>210</v>
      </c>
      <c r="I278" s="1">
        <v>169000</v>
      </c>
      <c r="J278" s="1">
        <v>154000</v>
      </c>
      <c r="K278" s="1">
        <v>15000</v>
      </c>
      <c r="L278" s="1">
        <v>0</v>
      </c>
      <c r="M278" s="1" t="s">
        <v>34</v>
      </c>
      <c r="N278" s="1" t="s">
        <v>63</v>
      </c>
      <c r="O278" s="1" t="s">
        <v>91</v>
      </c>
      <c r="P278" s="1" t="s">
        <v>92</v>
      </c>
      <c r="Q278" s="1" t="s">
        <v>38</v>
      </c>
      <c r="R278" s="1" t="s">
        <v>255</v>
      </c>
      <c r="S278" s="3">
        <v>918512000000</v>
      </c>
      <c r="T278" s="1" t="s">
        <v>98</v>
      </c>
      <c r="U278" s="1">
        <v>90</v>
      </c>
      <c r="V278" s="1">
        <v>89</v>
      </c>
      <c r="W278" s="1" t="s">
        <v>41</v>
      </c>
      <c r="X278" s="1">
        <v>331718</v>
      </c>
      <c r="Y278" s="2">
        <v>38845</v>
      </c>
      <c r="Z278" s="1">
        <v>15.1789737171464</v>
      </c>
      <c r="AA278" s="1">
        <v>18</v>
      </c>
      <c r="AB278" s="1">
        <v>676000</v>
      </c>
      <c r="AC278" s="1">
        <f t="shared" si="4"/>
        <v>736000</v>
      </c>
    </row>
    <row r="279" spans="1:29" x14ac:dyDescent="0.25">
      <c r="A279" s="1" t="s">
        <v>312</v>
      </c>
      <c r="B279" s="1" t="s">
        <v>313</v>
      </c>
      <c r="C279" s="1" t="s">
        <v>314</v>
      </c>
      <c r="D279" s="1">
        <v>2019</v>
      </c>
      <c r="E279" s="1" t="s">
        <v>31</v>
      </c>
      <c r="F279" s="1">
        <v>4</v>
      </c>
      <c r="G279" s="1" t="s">
        <v>32</v>
      </c>
      <c r="H279" s="1" t="s">
        <v>122</v>
      </c>
      <c r="I279" s="1">
        <v>169000</v>
      </c>
      <c r="J279" s="1">
        <v>154000</v>
      </c>
      <c r="K279" s="1">
        <v>15000</v>
      </c>
      <c r="L279" s="1">
        <v>0</v>
      </c>
      <c r="M279" s="1" t="s">
        <v>34</v>
      </c>
      <c r="N279" s="1" t="s">
        <v>63</v>
      </c>
      <c r="O279" s="1" t="s">
        <v>57</v>
      </c>
      <c r="P279" s="1" t="s">
        <v>57</v>
      </c>
      <c r="Q279" s="1" t="s">
        <v>38</v>
      </c>
      <c r="R279" s="1" t="s">
        <v>315</v>
      </c>
      <c r="S279" s="3">
        <v>918504000000</v>
      </c>
      <c r="T279" s="1" t="s">
        <v>51</v>
      </c>
      <c r="U279" s="1">
        <v>89</v>
      </c>
      <c r="V279" s="1">
        <v>77</v>
      </c>
      <c r="W279" s="1" t="s">
        <v>41</v>
      </c>
      <c r="X279" s="1">
        <v>236024</v>
      </c>
      <c r="Y279" s="2">
        <v>37711</v>
      </c>
      <c r="Z279" s="1">
        <v>14.1789737171464</v>
      </c>
      <c r="AA279" s="1">
        <v>21</v>
      </c>
      <c r="AB279" s="1">
        <v>676000</v>
      </c>
      <c r="AC279" s="1">
        <f t="shared" si="4"/>
        <v>736000</v>
      </c>
    </row>
    <row r="280" spans="1:29" x14ac:dyDescent="0.25">
      <c r="A280" s="1" t="s">
        <v>348</v>
      </c>
      <c r="B280" s="1" t="s">
        <v>349</v>
      </c>
      <c r="C280" s="1" t="s">
        <v>350</v>
      </c>
      <c r="D280" s="1">
        <v>2019</v>
      </c>
      <c r="E280" s="1" t="s">
        <v>45</v>
      </c>
      <c r="F280" s="1">
        <v>2</v>
      </c>
      <c r="G280" s="1" t="s">
        <v>46</v>
      </c>
      <c r="H280" s="1" t="s">
        <v>90</v>
      </c>
      <c r="I280" s="1">
        <v>92000</v>
      </c>
      <c r="J280" s="1">
        <v>77000</v>
      </c>
      <c r="K280" s="1">
        <v>15000</v>
      </c>
      <c r="L280" s="1">
        <v>0</v>
      </c>
      <c r="M280" s="1" t="s">
        <v>34</v>
      </c>
      <c r="N280" s="1" t="s">
        <v>70</v>
      </c>
      <c r="O280" s="1" t="s">
        <v>48</v>
      </c>
      <c r="P280" s="1" t="s">
        <v>49</v>
      </c>
      <c r="Q280" s="1" t="s">
        <v>38</v>
      </c>
      <c r="R280" s="1" t="s">
        <v>351</v>
      </c>
      <c r="S280" s="3">
        <v>917370000000</v>
      </c>
      <c r="T280" s="1" t="s">
        <v>51</v>
      </c>
      <c r="U280" s="1">
        <v>89</v>
      </c>
      <c r="V280" s="1">
        <v>72</v>
      </c>
      <c r="W280" s="1" t="s">
        <v>41</v>
      </c>
      <c r="X280" s="1">
        <v>323368</v>
      </c>
      <c r="Y280" s="2">
        <v>36289</v>
      </c>
      <c r="Z280" s="1">
        <v>14.1789737171464</v>
      </c>
      <c r="AA280" s="1">
        <v>25</v>
      </c>
      <c r="AB280" s="1">
        <v>184000</v>
      </c>
      <c r="AC280" s="1">
        <f t="shared" si="4"/>
        <v>214000</v>
      </c>
    </row>
    <row r="281" spans="1:29" x14ac:dyDescent="0.25">
      <c r="A281" s="1" t="s">
        <v>384</v>
      </c>
      <c r="B281" s="1" t="s">
        <v>385</v>
      </c>
      <c r="C281" s="1" t="s">
        <v>386</v>
      </c>
      <c r="D281" s="1">
        <v>2019</v>
      </c>
      <c r="E281" s="1" t="s">
        <v>31</v>
      </c>
      <c r="F281" s="1">
        <v>4</v>
      </c>
      <c r="G281" s="1" t="s">
        <v>32</v>
      </c>
      <c r="H281" s="1" t="s">
        <v>62</v>
      </c>
      <c r="I281" s="1">
        <v>169000</v>
      </c>
      <c r="J281" s="1">
        <v>154000</v>
      </c>
      <c r="K281" s="1">
        <v>15000</v>
      </c>
      <c r="L281" s="1">
        <v>0</v>
      </c>
      <c r="M281" s="1" t="s">
        <v>34</v>
      </c>
      <c r="N281" s="1" t="s">
        <v>63</v>
      </c>
      <c r="O281" s="1" t="s">
        <v>36</v>
      </c>
      <c r="P281" s="1" t="s">
        <v>37</v>
      </c>
      <c r="Q281" s="1" t="s">
        <v>38</v>
      </c>
      <c r="R281" s="1" t="s">
        <v>387</v>
      </c>
      <c r="S281" s="3">
        <v>919367000000</v>
      </c>
      <c r="T281" s="1" t="s">
        <v>98</v>
      </c>
      <c r="U281" s="1">
        <v>89</v>
      </c>
      <c r="V281" s="1">
        <v>85</v>
      </c>
      <c r="W281" s="1" t="s">
        <v>52</v>
      </c>
      <c r="X281" s="1">
        <v>209588</v>
      </c>
      <c r="Y281" s="2">
        <v>38029</v>
      </c>
      <c r="Z281" s="1">
        <v>14.1789737171464</v>
      </c>
      <c r="AA281" s="1">
        <v>20</v>
      </c>
      <c r="AB281" s="1">
        <v>676000</v>
      </c>
      <c r="AC281" s="1">
        <f t="shared" si="4"/>
        <v>736000</v>
      </c>
    </row>
    <row r="282" spans="1:29" x14ac:dyDescent="0.25">
      <c r="A282" s="1" t="s">
        <v>404</v>
      </c>
      <c r="B282" s="1" t="s">
        <v>405</v>
      </c>
      <c r="C282" s="1" t="s">
        <v>406</v>
      </c>
      <c r="D282" s="1">
        <v>2019</v>
      </c>
      <c r="E282" s="1" t="s">
        <v>31</v>
      </c>
      <c r="F282" s="1">
        <v>4</v>
      </c>
      <c r="G282" s="1" t="s">
        <v>32</v>
      </c>
      <c r="H282" s="1" t="s">
        <v>122</v>
      </c>
      <c r="I282" s="1">
        <v>169000</v>
      </c>
      <c r="J282" s="1">
        <v>154000</v>
      </c>
      <c r="K282" s="1">
        <v>15000</v>
      </c>
      <c r="L282" s="1">
        <v>0</v>
      </c>
      <c r="M282" s="1" t="s">
        <v>34</v>
      </c>
      <c r="N282" s="1" t="s">
        <v>63</v>
      </c>
      <c r="O282" s="1" t="s">
        <v>188</v>
      </c>
      <c r="P282" s="1" t="s">
        <v>189</v>
      </c>
      <c r="Q282" s="1" t="s">
        <v>38</v>
      </c>
      <c r="R282" s="1" t="s">
        <v>407</v>
      </c>
      <c r="S282" s="3">
        <v>918320000000</v>
      </c>
      <c r="T282" s="1" t="s">
        <v>86</v>
      </c>
      <c r="U282" s="1">
        <v>89</v>
      </c>
      <c r="V282" s="1">
        <v>76</v>
      </c>
      <c r="W282" s="1" t="s">
        <v>52</v>
      </c>
      <c r="X282" s="1">
        <v>452491</v>
      </c>
      <c r="Y282" s="2">
        <v>37864</v>
      </c>
      <c r="Z282" s="1">
        <v>14.1789737171464</v>
      </c>
      <c r="AA282" s="1">
        <v>20</v>
      </c>
      <c r="AB282" s="1">
        <v>676000</v>
      </c>
      <c r="AC282" s="1">
        <f t="shared" si="4"/>
        <v>736000</v>
      </c>
    </row>
    <row r="283" spans="1:29" x14ac:dyDescent="0.25">
      <c r="A283" s="1" t="s">
        <v>436</v>
      </c>
      <c r="B283" s="1" t="s">
        <v>437</v>
      </c>
      <c r="C283" s="1" t="s">
        <v>438</v>
      </c>
      <c r="D283" s="1">
        <v>2019</v>
      </c>
      <c r="E283" s="1" t="s">
        <v>45</v>
      </c>
      <c r="F283" s="1">
        <v>2</v>
      </c>
      <c r="G283" s="1" t="s">
        <v>46</v>
      </c>
      <c r="H283" s="1" t="s">
        <v>90</v>
      </c>
      <c r="I283" s="1">
        <v>92000</v>
      </c>
      <c r="J283" s="1">
        <v>77000</v>
      </c>
      <c r="K283" s="1">
        <v>15000</v>
      </c>
      <c r="L283" s="1">
        <v>0</v>
      </c>
      <c r="M283" s="1" t="s">
        <v>5649</v>
      </c>
      <c r="N283" s="1" t="s">
        <v>70</v>
      </c>
      <c r="O283" s="1" t="s">
        <v>91</v>
      </c>
      <c r="P283" s="1" t="s">
        <v>92</v>
      </c>
      <c r="Q283" s="1" t="s">
        <v>38</v>
      </c>
      <c r="R283" s="1" t="s">
        <v>439</v>
      </c>
      <c r="S283" s="3">
        <v>917489000000</v>
      </c>
      <c r="T283" s="1" t="s">
        <v>51</v>
      </c>
      <c r="U283" s="1">
        <v>89</v>
      </c>
      <c r="V283" s="1">
        <v>72</v>
      </c>
      <c r="W283" s="1" t="s">
        <v>52</v>
      </c>
      <c r="X283" s="1">
        <v>710749</v>
      </c>
      <c r="Y283" s="2">
        <v>36149</v>
      </c>
      <c r="Z283" s="1">
        <v>14.1789737171464</v>
      </c>
      <c r="AA283" s="1">
        <v>25</v>
      </c>
      <c r="AB283" s="1">
        <v>184000</v>
      </c>
      <c r="AC283" s="1">
        <f t="shared" si="4"/>
        <v>214000</v>
      </c>
    </row>
    <row r="284" spans="1:29" x14ac:dyDescent="0.25">
      <c r="A284" s="1" t="s">
        <v>444</v>
      </c>
      <c r="B284" s="1" t="s">
        <v>445</v>
      </c>
      <c r="C284" s="1" t="s">
        <v>446</v>
      </c>
      <c r="D284" s="1">
        <v>2019</v>
      </c>
      <c r="E284" s="1" t="s">
        <v>31</v>
      </c>
      <c r="F284" s="1">
        <v>4</v>
      </c>
      <c r="G284" s="1" t="s">
        <v>32</v>
      </c>
      <c r="H284" s="1" t="s">
        <v>102</v>
      </c>
      <c r="I284" s="1">
        <v>169000</v>
      </c>
      <c r="J284" s="1">
        <v>154000</v>
      </c>
      <c r="K284" s="1">
        <v>15000</v>
      </c>
      <c r="L284" s="1">
        <v>0</v>
      </c>
      <c r="M284" s="1" t="s">
        <v>5649</v>
      </c>
      <c r="N284" s="1" t="s">
        <v>35</v>
      </c>
      <c r="O284" s="1" t="s">
        <v>64</v>
      </c>
      <c r="P284" s="1" t="s">
        <v>65</v>
      </c>
      <c r="Q284" s="1" t="s">
        <v>38</v>
      </c>
      <c r="R284" s="1" t="s">
        <v>447</v>
      </c>
      <c r="S284" s="3">
        <v>917649000000</v>
      </c>
      <c r="T284" s="1" t="s">
        <v>51</v>
      </c>
      <c r="U284" s="1">
        <v>89</v>
      </c>
      <c r="V284" s="1">
        <v>82</v>
      </c>
      <c r="W284" s="1" t="s">
        <v>52</v>
      </c>
      <c r="X284" s="1">
        <v>634566</v>
      </c>
      <c r="Y284" s="2">
        <v>37301</v>
      </c>
      <c r="Z284" s="1">
        <v>14.1789737171464</v>
      </c>
      <c r="AA284" s="1">
        <v>22</v>
      </c>
      <c r="AB284" s="1">
        <v>676000</v>
      </c>
      <c r="AC284" s="1">
        <f t="shared" si="4"/>
        <v>736000</v>
      </c>
    </row>
    <row r="285" spans="1:29" x14ac:dyDescent="0.25">
      <c r="A285" s="1" t="s">
        <v>492</v>
      </c>
      <c r="B285" s="1" t="s">
        <v>493</v>
      </c>
      <c r="C285" s="1" t="s">
        <v>494</v>
      </c>
      <c r="D285" s="1">
        <v>2019</v>
      </c>
      <c r="E285" s="1" t="s">
        <v>45</v>
      </c>
      <c r="F285" s="1">
        <v>2</v>
      </c>
      <c r="G285" s="1" t="s">
        <v>46</v>
      </c>
      <c r="H285" s="1" t="s">
        <v>33</v>
      </c>
      <c r="I285" s="1">
        <v>92000</v>
      </c>
      <c r="J285" s="1">
        <v>77000</v>
      </c>
      <c r="K285" s="1">
        <v>15000</v>
      </c>
      <c r="L285" s="1">
        <v>0</v>
      </c>
      <c r="M285" s="1" t="s">
        <v>34</v>
      </c>
      <c r="N285" s="1" t="s">
        <v>70</v>
      </c>
      <c r="O285" s="1" t="s">
        <v>78</v>
      </c>
      <c r="P285" s="1" t="s">
        <v>79</v>
      </c>
      <c r="Q285" s="1" t="s">
        <v>38</v>
      </c>
      <c r="R285" s="1" t="s">
        <v>495</v>
      </c>
      <c r="S285" s="3">
        <v>918244000000</v>
      </c>
      <c r="T285" s="1" t="s">
        <v>98</v>
      </c>
      <c r="U285" s="1">
        <v>88</v>
      </c>
      <c r="V285" s="1">
        <v>86</v>
      </c>
      <c r="W285" s="1" t="s">
        <v>52</v>
      </c>
      <c r="X285" s="1">
        <v>484476</v>
      </c>
      <c r="Y285" s="2">
        <v>35672</v>
      </c>
      <c r="Z285" s="1">
        <v>13.1789737171464</v>
      </c>
      <c r="AA285" s="1">
        <v>26</v>
      </c>
      <c r="AB285" s="1">
        <v>184000</v>
      </c>
      <c r="AC285" s="1">
        <f t="shared" si="4"/>
        <v>214000</v>
      </c>
    </row>
    <row r="286" spans="1:29" x14ac:dyDescent="0.25">
      <c r="A286" s="1" t="s">
        <v>534</v>
      </c>
      <c r="B286" s="1" t="s">
        <v>535</v>
      </c>
      <c r="C286" s="1" t="s">
        <v>536</v>
      </c>
      <c r="D286" s="1">
        <v>2019</v>
      </c>
      <c r="E286" s="1" t="s">
        <v>45</v>
      </c>
      <c r="F286" s="1">
        <v>2</v>
      </c>
      <c r="G286" s="1" t="s">
        <v>46</v>
      </c>
      <c r="H286" s="1" t="s">
        <v>62</v>
      </c>
      <c r="I286" s="1">
        <v>92000</v>
      </c>
      <c r="J286" s="1">
        <v>77000</v>
      </c>
      <c r="K286" s="1">
        <v>15000</v>
      </c>
      <c r="L286" s="1">
        <v>0</v>
      </c>
      <c r="M286" s="1" t="s">
        <v>34</v>
      </c>
      <c r="N286" s="1" t="s">
        <v>70</v>
      </c>
      <c r="O286" s="1" t="s">
        <v>64</v>
      </c>
      <c r="P286" s="1" t="s">
        <v>65</v>
      </c>
      <c r="Q286" s="1" t="s">
        <v>38</v>
      </c>
      <c r="R286" s="1" t="s">
        <v>537</v>
      </c>
      <c r="S286" s="3">
        <v>919045000000</v>
      </c>
      <c r="T286" s="1" t="s">
        <v>51</v>
      </c>
      <c r="U286" s="1">
        <v>88</v>
      </c>
      <c r="V286" s="1">
        <v>82</v>
      </c>
      <c r="W286" s="1" t="s">
        <v>52</v>
      </c>
      <c r="X286" s="1">
        <v>320889</v>
      </c>
      <c r="Y286" s="2">
        <v>35721</v>
      </c>
      <c r="Z286" s="1">
        <v>13.1789737171464</v>
      </c>
      <c r="AA286" s="1">
        <v>26</v>
      </c>
      <c r="AB286" s="1">
        <v>184000</v>
      </c>
      <c r="AC286" s="1">
        <f t="shared" si="4"/>
        <v>214000</v>
      </c>
    </row>
    <row r="287" spans="1:29" x14ac:dyDescent="0.25">
      <c r="A287" s="1" t="s">
        <v>622</v>
      </c>
      <c r="B287" s="1" t="s">
        <v>623</v>
      </c>
      <c r="C287" s="1" t="s">
        <v>624</v>
      </c>
      <c r="D287" s="1">
        <v>2019</v>
      </c>
      <c r="E287" s="1" t="s">
        <v>31</v>
      </c>
      <c r="F287" s="1">
        <v>4</v>
      </c>
      <c r="G287" s="1" t="s">
        <v>32</v>
      </c>
      <c r="H287" s="1" t="s">
        <v>56</v>
      </c>
      <c r="I287" s="1">
        <v>169000</v>
      </c>
      <c r="J287" s="1">
        <v>154000</v>
      </c>
      <c r="K287" s="1">
        <v>15000</v>
      </c>
      <c r="L287" s="1">
        <v>0</v>
      </c>
      <c r="M287" s="1" t="s">
        <v>34</v>
      </c>
      <c r="N287" s="1" t="s">
        <v>70</v>
      </c>
      <c r="O287" s="1" t="s">
        <v>48</v>
      </c>
      <c r="P287" s="1" t="s">
        <v>49</v>
      </c>
      <c r="Q287" s="1" t="s">
        <v>38</v>
      </c>
      <c r="R287" s="1" t="s">
        <v>625</v>
      </c>
      <c r="S287" s="3">
        <v>919431000000</v>
      </c>
      <c r="T287" s="1" t="s">
        <v>51</v>
      </c>
      <c r="U287" s="1">
        <v>88</v>
      </c>
      <c r="V287" s="1">
        <v>79</v>
      </c>
      <c r="W287" s="1" t="s">
        <v>41</v>
      </c>
      <c r="X287" s="1">
        <v>780134</v>
      </c>
      <c r="Y287" s="2">
        <v>37672</v>
      </c>
      <c r="Z287" s="1">
        <v>13.1789737171464</v>
      </c>
      <c r="AA287" s="1">
        <v>21</v>
      </c>
      <c r="AB287" s="1">
        <v>676000</v>
      </c>
      <c r="AC287" s="1">
        <f t="shared" si="4"/>
        <v>736000</v>
      </c>
    </row>
    <row r="288" spans="1:29" x14ac:dyDescent="0.25">
      <c r="A288" s="1" t="s">
        <v>634</v>
      </c>
      <c r="B288" s="1" t="s">
        <v>635</v>
      </c>
      <c r="C288" s="1" t="s">
        <v>636</v>
      </c>
      <c r="D288" s="1">
        <v>2019</v>
      </c>
      <c r="E288" s="1" t="s">
        <v>31</v>
      </c>
      <c r="F288" s="1">
        <v>4</v>
      </c>
      <c r="G288" s="1" t="s">
        <v>32</v>
      </c>
      <c r="H288" s="1" t="s">
        <v>151</v>
      </c>
      <c r="I288" s="1">
        <v>169000</v>
      </c>
      <c r="J288" s="1">
        <v>154000</v>
      </c>
      <c r="K288" s="1">
        <v>15000</v>
      </c>
      <c r="L288" s="1">
        <v>0</v>
      </c>
      <c r="M288" s="1" t="s">
        <v>34</v>
      </c>
      <c r="N288" s="1" t="s">
        <v>35</v>
      </c>
      <c r="O288" s="1" t="s">
        <v>84</v>
      </c>
      <c r="P288" s="1" t="s">
        <v>65</v>
      </c>
      <c r="Q288" s="1" t="s">
        <v>38</v>
      </c>
      <c r="R288" s="1" t="s">
        <v>637</v>
      </c>
      <c r="S288" s="3">
        <v>919872000000</v>
      </c>
      <c r="T288" s="1" t="s">
        <v>51</v>
      </c>
      <c r="U288" s="1">
        <v>88</v>
      </c>
      <c r="V288" s="1">
        <v>90</v>
      </c>
      <c r="W288" s="1" t="s">
        <v>41</v>
      </c>
      <c r="X288" s="1">
        <v>346825</v>
      </c>
      <c r="Y288" s="2">
        <v>37769</v>
      </c>
      <c r="Z288" s="1">
        <v>13.1789737171464</v>
      </c>
      <c r="AA288" s="1">
        <v>21</v>
      </c>
      <c r="AB288" s="1">
        <v>676000</v>
      </c>
      <c r="AC288" s="1">
        <f t="shared" si="4"/>
        <v>736000</v>
      </c>
    </row>
    <row r="289" spans="1:29" x14ac:dyDescent="0.25">
      <c r="A289" s="1" t="s">
        <v>638</v>
      </c>
      <c r="B289" s="1" t="s">
        <v>141</v>
      </c>
      <c r="C289" s="1" t="s">
        <v>142</v>
      </c>
      <c r="D289" s="1">
        <v>2019</v>
      </c>
      <c r="E289" s="1" t="s">
        <v>45</v>
      </c>
      <c r="F289" s="1">
        <v>2</v>
      </c>
      <c r="G289" s="1" t="s">
        <v>46</v>
      </c>
      <c r="H289" s="1" t="s">
        <v>113</v>
      </c>
      <c r="I289" s="1">
        <v>92000</v>
      </c>
      <c r="J289" s="1">
        <v>77000</v>
      </c>
      <c r="K289" s="1">
        <v>15000</v>
      </c>
      <c r="L289" s="1">
        <v>0</v>
      </c>
      <c r="M289" s="1" t="s">
        <v>34</v>
      </c>
      <c r="N289" s="1" t="s">
        <v>70</v>
      </c>
      <c r="O289" s="1" t="s">
        <v>188</v>
      </c>
      <c r="P289" s="1" t="s">
        <v>189</v>
      </c>
      <c r="Q289" s="1" t="s">
        <v>38</v>
      </c>
      <c r="R289" s="1" t="s">
        <v>639</v>
      </c>
      <c r="S289" s="3">
        <v>917560000000</v>
      </c>
      <c r="T289" s="1" t="s">
        <v>86</v>
      </c>
      <c r="U289" s="1">
        <v>88</v>
      </c>
      <c r="V289" s="1">
        <v>71</v>
      </c>
      <c r="W289" s="1" t="s">
        <v>52</v>
      </c>
      <c r="X289" s="1">
        <v>250975</v>
      </c>
      <c r="Y289" s="2">
        <v>37022</v>
      </c>
      <c r="Z289" s="1">
        <v>13.1789737171464</v>
      </c>
      <c r="AA289" s="1">
        <v>23</v>
      </c>
      <c r="AB289" s="1">
        <v>184000</v>
      </c>
      <c r="AC289" s="1">
        <f t="shared" si="4"/>
        <v>214000</v>
      </c>
    </row>
    <row r="290" spans="1:29" x14ac:dyDescent="0.25">
      <c r="A290" s="1" t="s">
        <v>660</v>
      </c>
      <c r="B290" s="1" t="s">
        <v>661</v>
      </c>
      <c r="C290" s="1" t="s">
        <v>662</v>
      </c>
      <c r="D290" s="1">
        <v>2019</v>
      </c>
      <c r="E290" s="1" t="s">
        <v>31</v>
      </c>
      <c r="F290" s="1">
        <v>4</v>
      </c>
      <c r="G290" s="1" t="s">
        <v>32</v>
      </c>
      <c r="H290" s="1" t="s">
        <v>151</v>
      </c>
      <c r="I290" s="1">
        <v>169000</v>
      </c>
      <c r="J290" s="1">
        <v>154000</v>
      </c>
      <c r="K290" s="1">
        <v>15000</v>
      </c>
      <c r="L290" s="1">
        <v>0</v>
      </c>
      <c r="M290" s="1" t="s">
        <v>34</v>
      </c>
      <c r="N290" s="1" t="s">
        <v>63</v>
      </c>
      <c r="O290" s="1" t="s">
        <v>84</v>
      </c>
      <c r="P290" s="1" t="s">
        <v>65</v>
      </c>
      <c r="Q290" s="1" t="s">
        <v>38</v>
      </c>
      <c r="R290" s="1" t="s">
        <v>663</v>
      </c>
      <c r="S290" s="3">
        <v>919278000000</v>
      </c>
      <c r="T290" s="1" t="s">
        <v>86</v>
      </c>
      <c r="U290" s="1">
        <v>87</v>
      </c>
      <c r="V290" s="1">
        <v>83</v>
      </c>
      <c r="W290" s="1" t="s">
        <v>52</v>
      </c>
      <c r="X290" s="1">
        <v>210635</v>
      </c>
      <c r="Y290" s="2">
        <v>38851</v>
      </c>
      <c r="Z290" s="1">
        <v>12.1789737171464</v>
      </c>
      <c r="AA290" s="1">
        <v>18</v>
      </c>
      <c r="AB290" s="1">
        <v>676000</v>
      </c>
      <c r="AC290" s="1">
        <f t="shared" si="4"/>
        <v>736000</v>
      </c>
    </row>
    <row r="291" spans="1:29" x14ac:dyDescent="0.25">
      <c r="A291" s="1" t="s">
        <v>664</v>
      </c>
      <c r="B291" s="1" t="s">
        <v>665</v>
      </c>
      <c r="C291" s="1" t="s">
        <v>666</v>
      </c>
      <c r="D291" s="1">
        <v>2019</v>
      </c>
      <c r="E291" s="1" t="s">
        <v>31</v>
      </c>
      <c r="F291" s="1">
        <v>4</v>
      </c>
      <c r="G291" s="1" t="s">
        <v>32</v>
      </c>
      <c r="H291" s="1" t="s">
        <v>113</v>
      </c>
      <c r="I291" s="1">
        <v>169000</v>
      </c>
      <c r="J291" s="1">
        <v>154000</v>
      </c>
      <c r="K291" s="1">
        <v>15000</v>
      </c>
      <c r="L291" s="1">
        <v>0</v>
      </c>
      <c r="M291" s="1" t="s">
        <v>34</v>
      </c>
      <c r="N291" s="1" t="s">
        <v>63</v>
      </c>
      <c r="O291" s="1" t="s">
        <v>57</v>
      </c>
      <c r="P291" s="1" t="s">
        <v>57</v>
      </c>
      <c r="Q291" s="1" t="s">
        <v>38</v>
      </c>
      <c r="R291" s="1" t="s">
        <v>667</v>
      </c>
      <c r="S291" s="3">
        <v>919029000000</v>
      </c>
      <c r="T291" s="1" t="s">
        <v>40</v>
      </c>
      <c r="U291" s="1">
        <v>87</v>
      </c>
      <c r="V291" s="1">
        <v>82</v>
      </c>
      <c r="W291" s="1" t="s">
        <v>52</v>
      </c>
      <c r="X291" s="1">
        <v>711038</v>
      </c>
      <c r="Y291" s="2">
        <v>38513</v>
      </c>
      <c r="Z291" s="1">
        <v>12.1789737171464</v>
      </c>
      <c r="AA291" s="1">
        <v>19</v>
      </c>
      <c r="AB291" s="1">
        <v>676000</v>
      </c>
      <c r="AC291" s="1">
        <f t="shared" si="4"/>
        <v>736000</v>
      </c>
    </row>
    <row r="292" spans="1:29" x14ac:dyDescent="0.25">
      <c r="A292" s="1" t="s">
        <v>708</v>
      </c>
      <c r="B292" s="1" t="s">
        <v>709</v>
      </c>
      <c r="C292" s="1" t="s">
        <v>710</v>
      </c>
      <c r="D292" s="1">
        <v>2019</v>
      </c>
      <c r="E292" s="1" t="s">
        <v>31</v>
      </c>
      <c r="F292" s="1">
        <v>4</v>
      </c>
      <c r="G292" s="1" t="s">
        <v>32</v>
      </c>
      <c r="H292" s="1" t="s">
        <v>62</v>
      </c>
      <c r="I292" s="1">
        <v>169000</v>
      </c>
      <c r="J292" s="1">
        <v>154000</v>
      </c>
      <c r="K292" s="1">
        <v>15000</v>
      </c>
      <c r="L292" s="1">
        <v>0</v>
      </c>
      <c r="M292" s="1" t="s">
        <v>34</v>
      </c>
      <c r="N292" s="1" t="s">
        <v>70</v>
      </c>
      <c r="O292" s="1" t="s">
        <v>78</v>
      </c>
      <c r="P292" s="1" t="s">
        <v>79</v>
      </c>
      <c r="Q292" s="1" t="s">
        <v>38</v>
      </c>
      <c r="R292" s="1" t="s">
        <v>711</v>
      </c>
      <c r="S292" s="3">
        <v>919880000000</v>
      </c>
      <c r="T292" s="1" t="s">
        <v>40</v>
      </c>
      <c r="U292" s="1">
        <v>87</v>
      </c>
      <c r="V292" s="1">
        <v>75</v>
      </c>
      <c r="W292" s="1" t="s">
        <v>52</v>
      </c>
      <c r="X292" s="1">
        <v>767168</v>
      </c>
      <c r="Y292" s="2">
        <v>38621</v>
      </c>
      <c r="Z292" s="1">
        <v>12.1789737171464</v>
      </c>
      <c r="AA292" s="1">
        <v>18</v>
      </c>
      <c r="AB292" s="1">
        <v>676000</v>
      </c>
      <c r="AC292" s="1">
        <f t="shared" si="4"/>
        <v>736000</v>
      </c>
    </row>
    <row r="293" spans="1:29" x14ac:dyDescent="0.25">
      <c r="A293" s="1" t="s">
        <v>716</v>
      </c>
      <c r="B293" s="1" t="s">
        <v>717</v>
      </c>
      <c r="C293" s="1" t="s">
        <v>718</v>
      </c>
      <c r="D293" s="1">
        <v>2019</v>
      </c>
      <c r="E293" s="1" t="s">
        <v>45</v>
      </c>
      <c r="F293" s="1">
        <v>2</v>
      </c>
      <c r="G293" s="1" t="s">
        <v>46</v>
      </c>
      <c r="H293" s="1" t="s">
        <v>102</v>
      </c>
      <c r="I293" s="1">
        <v>92000</v>
      </c>
      <c r="J293" s="1">
        <v>77000</v>
      </c>
      <c r="K293" s="1">
        <v>15000</v>
      </c>
      <c r="L293" s="1">
        <v>0</v>
      </c>
      <c r="M293" s="1" t="s">
        <v>34</v>
      </c>
      <c r="N293" s="1" t="s">
        <v>70</v>
      </c>
      <c r="O293" s="1" t="s">
        <v>78</v>
      </c>
      <c r="P293" s="1" t="s">
        <v>79</v>
      </c>
      <c r="Q293" s="1" t="s">
        <v>38</v>
      </c>
      <c r="R293" s="1" t="s">
        <v>719</v>
      </c>
      <c r="S293" s="3">
        <v>919055000000</v>
      </c>
      <c r="T293" s="1" t="s">
        <v>98</v>
      </c>
      <c r="U293" s="1">
        <v>87</v>
      </c>
      <c r="V293" s="1">
        <v>77</v>
      </c>
      <c r="W293" s="1" t="s">
        <v>41</v>
      </c>
      <c r="X293" s="1">
        <v>621647</v>
      </c>
      <c r="Y293" s="2">
        <v>35640</v>
      </c>
      <c r="Z293" s="1">
        <v>12.1789737171464</v>
      </c>
      <c r="AA293" s="1">
        <v>26</v>
      </c>
      <c r="AB293" s="1">
        <v>184000</v>
      </c>
      <c r="AC293" s="1">
        <f t="shared" si="4"/>
        <v>214000</v>
      </c>
    </row>
    <row r="294" spans="1:29" x14ac:dyDescent="0.25">
      <c r="A294" s="1" t="s">
        <v>814</v>
      </c>
      <c r="B294" s="1" t="s">
        <v>815</v>
      </c>
      <c r="C294" s="1" t="s">
        <v>816</v>
      </c>
      <c r="D294" s="1">
        <v>2019</v>
      </c>
      <c r="E294" s="1" t="s">
        <v>31</v>
      </c>
      <c r="F294" s="1">
        <v>4</v>
      </c>
      <c r="G294" s="1" t="s">
        <v>32</v>
      </c>
      <c r="H294" s="1" t="s">
        <v>47</v>
      </c>
      <c r="I294" s="1">
        <v>169000</v>
      </c>
      <c r="J294" s="1">
        <v>154000</v>
      </c>
      <c r="K294" s="1">
        <v>15000</v>
      </c>
      <c r="L294" s="1">
        <v>0</v>
      </c>
      <c r="M294" s="1" t="s">
        <v>34</v>
      </c>
      <c r="N294" s="1" t="s">
        <v>70</v>
      </c>
      <c r="O294" s="1" t="s">
        <v>36</v>
      </c>
      <c r="P294" s="1" t="s">
        <v>37</v>
      </c>
      <c r="Q294" s="1" t="s">
        <v>38</v>
      </c>
      <c r="R294" s="1" t="s">
        <v>817</v>
      </c>
      <c r="S294" s="3">
        <v>917074000000</v>
      </c>
      <c r="T294" s="1" t="s">
        <v>74</v>
      </c>
      <c r="U294" s="1">
        <v>87</v>
      </c>
      <c r="V294" s="1">
        <v>76</v>
      </c>
      <c r="W294" s="1" t="s">
        <v>41</v>
      </c>
      <c r="X294" s="1">
        <v>165536</v>
      </c>
      <c r="Y294" s="2">
        <v>36813</v>
      </c>
      <c r="Z294" s="1">
        <v>12.1789737171464</v>
      </c>
      <c r="AA294" s="1">
        <v>23</v>
      </c>
      <c r="AB294" s="1">
        <v>676000</v>
      </c>
      <c r="AC294" s="1">
        <f t="shared" si="4"/>
        <v>736000</v>
      </c>
    </row>
    <row r="295" spans="1:29" x14ac:dyDescent="0.25">
      <c r="A295" s="1" t="s">
        <v>870</v>
      </c>
      <c r="B295" s="1" t="s">
        <v>871</v>
      </c>
      <c r="C295" s="1" t="s">
        <v>872</v>
      </c>
      <c r="D295" s="1">
        <v>2019</v>
      </c>
      <c r="E295" s="1" t="s">
        <v>31</v>
      </c>
      <c r="F295" s="1">
        <v>4</v>
      </c>
      <c r="G295" s="1" t="s">
        <v>32</v>
      </c>
      <c r="H295" s="1" t="s">
        <v>47</v>
      </c>
      <c r="I295" s="1">
        <v>169000</v>
      </c>
      <c r="J295" s="1">
        <v>154000</v>
      </c>
      <c r="K295" s="1">
        <v>15000</v>
      </c>
      <c r="L295" s="1">
        <v>0</v>
      </c>
      <c r="M295" s="1" t="s">
        <v>34</v>
      </c>
      <c r="N295" s="1" t="s">
        <v>35</v>
      </c>
      <c r="O295" s="1" t="s">
        <v>103</v>
      </c>
      <c r="P295" s="1" t="s">
        <v>104</v>
      </c>
      <c r="Q295" s="1" t="s">
        <v>38</v>
      </c>
      <c r="R295" s="1" t="s">
        <v>873</v>
      </c>
      <c r="S295" s="3">
        <v>917409000000</v>
      </c>
      <c r="T295" s="1" t="s">
        <v>98</v>
      </c>
      <c r="U295" s="1">
        <v>86</v>
      </c>
      <c r="V295" s="1">
        <v>86</v>
      </c>
      <c r="W295" s="1" t="s">
        <v>41</v>
      </c>
      <c r="X295" s="1">
        <v>106995</v>
      </c>
      <c r="Y295" s="2">
        <v>38697</v>
      </c>
      <c r="Z295" s="1">
        <v>11.1789737171464</v>
      </c>
      <c r="AA295" s="1">
        <v>18</v>
      </c>
      <c r="AB295" s="1">
        <v>676000</v>
      </c>
      <c r="AC295" s="1">
        <f t="shared" si="4"/>
        <v>736000</v>
      </c>
    </row>
    <row r="296" spans="1:29" x14ac:dyDescent="0.25">
      <c r="A296" s="1" t="s">
        <v>882</v>
      </c>
      <c r="B296" s="1" t="s">
        <v>883</v>
      </c>
      <c r="C296" s="1" t="s">
        <v>884</v>
      </c>
      <c r="D296" s="1">
        <v>2019</v>
      </c>
      <c r="E296" s="1" t="s">
        <v>31</v>
      </c>
      <c r="F296" s="1">
        <v>4</v>
      </c>
      <c r="G296" s="1" t="s">
        <v>32</v>
      </c>
      <c r="H296" s="1" t="s">
        <v>102</v>
      </c>
      <c r="I296" s="1">
        <v>169000</v>
      </c>
      <c r="J296" s="1">
        <v>154000</v>
      </c>
      <c r="K296" s="1">
        <v>15000</v>
      </c>
      <c r="L296" s="1">
        <v>0</v>
      </c>
      <c r="M296" s="1" t="s">
        <v>34</v>
      </c>
      <c r="N296" s="1" t="s">
        <v>35</v>
      </c>
      <c r="O296" s="1" t="s">
        <v>78</v>
      </c>
      <c r="P296" s="1" t="s">
        <v>79</v>
      </c>
      <c r="Q296" s="1" t="s">
        <v>38</v>
      </c>
      <c r="R296" s="1" t="s">
        <v>885</v>
      </c>
      <c r="S296" s="3">
        <v>917265000000</v>
      </c>
      <c r="T296" s="1" t="s">
        <v>74</v>
      </c>
      <c r="U296" s="1">
        <v>86</v>
      </c>
      <c r="V296" s="1">
        <v>89</v>
      </c>
      <c r="W296" s="1" t="s">
        <v>52</v>
      </c>
      <c r="X296" s="1">
        <v>432962</v>
      </c>
      <c r="Y296" s="2">
        <v>37376</v>
      </c>
      <c r="Z296" s="1">
        <v>11.1789737171464</v>
      </c>
      <c r="AA296" s="1">
        <v>22</v>
      </c>
      <c r="AB296" s="1">
        <v>676000</v>
      </c>
      <c r="AC296" s="1">
        <f t="shared" si="4"/>
        <v>736000</v>
      </c>
    </row>
    <row r="297" spans="1:29" x14ac:dyDescent="0.25">
      <c r="A297" s="1" t="s">
        <v>886</v>
      </c>
      <c r="B297" s="1" t="s">
        <v>887</v>
      </c>
      <c r="C297" s="1" t="s">
        <v>888</v>
      </c>
      <c r="D297" s="1">
        <v>2019</v>
      </c>
      <c r="E297" s="1" t="s">
        <v>31</v>
      </c>
      <c r="F297" s="1">
        <v>4</v>
      </c>
      <c r="G297" s="1" t="s">
        <v>32</v>
      </c>
      <c r="H297" s="1" t="s">
        <v>56</v>
      </c>
      <c r="I297" s="1">
        <v>169000</v>
      </c>
      <c r="J297" s="1">
        <v>154000</v>
      </c>
      <c r="K297" s="1">
        <v>15000</v>
      </c>
      <c r="L297" s="1">
        <v>0</v>
      </c>
      <c r="M297" s="1" t="s">
        <v>34</v>
      </c>
      <c r="N297" s="1" t="s">
        <v>35</v>
      </c>
      <c r="O297" s="1" t="s">
        <v>91</v>
      </c>
      <c r="P297" s="1" t="s">
        <v>92</v>
      </c>
      <c r="Q297" s="1" t="s">
        <v>38</v>
      </c>
      <c r="R297" s="1" t="s">
        <v>889</v>
      </c>
      <c r="S297" s="3">
        <v>917666000000</v>
      </c>
      <c r="T297" s="1" t="s">
        <v>98</v>
      </c>
      <c r="U297" s="1">
        <v>86</v>
      </c>
      <c r="V297" s="1">
        <v>75</v>
      </c>
      <c r="W297" s="1" t="s">
        <v>52</v>
      </c>
      <c r="X297" s="1">
        <v>373258</v>
      </c>
      <c r="Y297" s="2">
        <v>36723</v>
      </c>
      <c r="Z297" s="1">
        <v>11.1789737171464</v>
      </c>
      <c r="AA297" s="1">
        <v>23</v>
      </c>
      <c r="AB297" s="1">
        <v>676000</v>
      </c>
      <c r="AC297" s="1">
        <f t="shared" si="4"/>
        <v>736000</v>
      </c>
    </row>
    <row r="298" spans="1:29" x14ac:dyDescent="0.25">
      <c r="A298" s="1" t="s">
        <v>894</v>
      </c>
      <c r="B298" s="1" t="s">
        <v>895</v>
      </c>
      <c r="C298" s="1" t="s">
        <v>896</v>
      </c>
      <c r="D298" s="1">
        <v>2019</v>
      </c>
      <c r="E298" s="1" t="s">
        <v>31</v>
      </c>
      <c r="F298" s="1">
        <v>4</v>
      </c>
      <c r="G298" s="1" t="s">
        <v>32</v>
      </c>
      <c r="H298" s="1" t="s">
        <v>102</v>
      </c>
      <c r="I298" s="1">
        <v>169000</v>
      </c>
      <c r="J298" s="1">
        <v>154000</v>
      </c>
      <c r="K298" s="1">
        <v>15000</v>
      </c>
      <c r="L298" s="1">
        <v>0</v>
      </c>
      <c r="M298" s="1" t="s">
        <v>34</v>
      </c>
      <c r="N298" s="1" t="s">
        <v>35</v>
      </c>
      <c r="O298" s="1" t="s">
        <v>57</v>
      </c>
      <c r="P298" s="1" t="s">
        <v>57</v>
      </c>
      <c r="Q298" s="1" t="s">
        <v>38</v>
      </c>
      <c r="R298" s="1" t="s">
        <v>897</v>
      </c>
      <c r="S298" s="3">
        <v>917458000000</v>
      </c>
      <c r="T298" s="1" t="s">
        <v>98</v>
      </c>
      <c r="U298" s="1">
        <v>86</v>
      </c>
      <c r="V298" s="1">
        <v>69</v>
      </c>
      <c r="W298" s="1" t="s">
        <v>41</v>
      </c>
      <c r="X298" s="1">
        <v>400383</v>
      </c>
      <c r="Y298" s="2">
        <v>37214</v>
      </c>
      <c r="Z298" s="1">
        <v>11.1789737171464</v>
      </c>
      <c r="AA298" s="1">
        <v>22</v>
      </c>
      <c r="AB298" s="1">
        <v>676000</v>
      </c>
      <c r="AC298" s="1">
        <f t="shared" si="4"/>
        <v>736000</v>
      </c>
    </row>
    <row r="299" spans="1:29" x14ac:dyDescent="0.25">
      <c r="A299" s="1" t="s">
        <v>898</v>
      </c>
      <c r="B299" s="1" t="s">
        <v>899</v>
      </c>
      <c r="C299" s="1" t="s">
        <v>900</v>
      </c>
      <c r="D299" s="1">
        <v>2019</v>
      </c>
      <c r="E299" s="1" t="s">
        <v>31</v>
      </c>
      <c r="F299" s="1">
        <v>4</v>
      </c>
      <c r="G299" s="1" t="s">
        <v>32</v>
      </c>
      <c r="H299" s="1" t="s">
        <v>47</v>
      </c>
      <c r="I299" s="1">
        <v>169000</v>
      </c>
      <c r="J299" s="1">
        <v>154000</v>
      </c>
      <c r="K299" s="1">
        <v>15000</v>
      </c>
      <c r="L299" s="1">
        <v>0</v>
      </c>
      <c r="M299" s="1" t="s">
        <v>34</v>
      </c>
      <c r="N299" s="1" t="s">
        <v>63</v>
      </c>
      <c r="O299" s="1" t="s">
        <v>91</v>
      </c>
      <c r="P299" s="1" t="s">
        <v>92</v>
      </c>
      <c r="Q299" s="1" t="s">
        <v>38</v>
      </c>
      <c r="R299" s="1" t="s">
        <v>901</v>
      </c>
      <c r="S299" s="3">
        <v>919433000000</v>
      </c>
      <c r="T299" s="1" t="s">
        <v>51</v>
      </c>
      <c r="U299" s="1">
        <v>86</v>
      </c>
      <c r="V299" s="1">
        <v>92</v>
      </c>
      <c r="W299" s="1" t="s">
        <v>52</v>
      </c>
      <c r="X299" s="1">
        <v>549301</v>
      </c>
      <c r="Y299" s="2">
        <v>38606</v>
      </c>
      <c r="Z299" s="1">
        <v>11.1789737171464</v>
      </c>
      <c r="AA299" s="1">
        <v>18</v>
      </c>
      <c r="AB299" s="1">
        <v>676000</v>
      </c>
      <c r="AC299" s="1">
        <f t="shared" si="4"/>
        <v>736000</v>
      </c>
    </row>
    <row r="300" spans="1:29" x14ac:dyDescent="0.25">
      <c r="A300" s="1" t="s">
        <v>954</v>
      </c>
      <c r="B300" s="1" t="s">
        <v>955</v>
      </c>
      <c r="C300" s="1" t="s">
        <v>956</v>
      </c>
      <c r="D300" s="1">
        <v>2019</v>
      </c>
      <c r="E300" s="1" t="s">
        <v>31</v>
      </c>
      <c r="F300" s="1">
        <v>4</v>
      </c>
      <c r="G300" s="1" t="s">
        <v>32</v>
      </c>
      <c r="H300" s="1" t="s">
        <v>47</v>
      </c>
      <c r="I300" s="1">
        <v>169000</v>
      </c>
      <c r="J300" s="1">
        <v>154000</v>
      </c>
      <c r="K300" s="1">
        <v>15000</v>
      </c>
      <c r="L300" s="1">
        <v>0</v>
      </c>
      <c r="M300" s="1" t="s">
        <v>34</v>
      </c>
      <c r="N300" s="1" t="s">
        <v>63</v>
      </c>
      <c r="O300" s="1" t="s">
        <v>48</v>
      </c>
      <c r="P300" s="1" t="s">
        <v>49</v>
      </c>
      <c r="Q300" s="1" t="s">
        <v>38</v>
      </c>
      <c r="R300" s="1" t="s">
        <v>957</v>
      </c>
      <c r="S300" s="3">
        <v>917013000000</v>
      </c>
      <c r="T300" s="1" t="s">
        <v>86</v>
      </c>
      <c r="U300" s="1">
        <v>86</v>
      </c>
      <c r="V300" s="1">
        <v>92</v>
      </c>
      <c r="W300" s="1" t="s">
        <v>41</v>
      </c>
      <c r="X300" s="1">
        <v>787429</v>
      </c>
      <c r="Y300" s="2">
        <v>37501</v>
      </c>
      <c r="Z300" s="1">
        <v>11.1789737171464</v>
      </c>
      <c r="AA300" s="1">
        <v>21</v>
      </c>
      <c r="AB300" s="1">
        <v>676000</v>
      </c>
      <c r="AC300" s="1">
        <f t="shared" si="4"/>
        <v>736000</v>
      </c>
    </row>
    <row r="301" spans="1:29" x14ac:dyDescent="0.25">
      <c r="A301" s="1" t="s">
        <v>966</v>
      </c>
      <c r="B301" s="1" t="s">
        <v>967</v>
      </c>
      <c r="C301" s="1" t="s">
        <v>968</v>
      </c>
      <c r="D301" s="1">
        <v>2019</v>
      </c>
      <c r="E301" s="1" t="s">
        <v>31</v>
      </c>
      <c r="F301" s="1">
        <v>4</v>
      </c>
      <c r="G301" s="1" t="s">
        <v>32</v>
      </c>
      <c r="H301" s="1" t="s">
        <v>151</v>
      </c>
      <c r="I301" s="1">
        <v>169000</v>
      </c>
      <c r="J301" s="1">
        <v>154000</v>
      </c>
      <c r="K301" s="1">
        <v>15000</v>
      </c>
      <c r="L301" s="1">
        <v>0</v>
      </c>
      <c r="M301" s="1" t="s">
        <v>34</v>
      </c>
      <c r="N301" s="1" t="s">
        <v>35</v>
      </c>
      <c r="O301" s="1" t="s">
        <v>103</v>
      </c>
      <c r="P301" s="1" t="s">
        <v>104</v>
      </c>
      <c r="Q301" s="1" t="s">
        <v>38</v>
      </c>
      <c r="R301" s="1" t="s">
        <v>969</v>
      </c>
      <c r="S301" s="3">
        <v>919287000000</v>
      </c>
      <c r="T301" s="1" t="s">
        <v>51</v>
      </c>
      <c r="U301" s="1">
        <v>86</v>
      </c>
      <c r="V301" s="1">
        <v>82</v>
      </c>
      <c r="W301" s="1" t="s">
        <v>52</v>
      </c>
      <c r="X301" s="1">
        <v>190338</v>
      </c>
      <c r="Y301" s="2">
        <v>38676</v>
      </c>
      <c r="Z301" s="1">
        <v>11.1789737171464</v>
      </c>
      <c r="AA301" s="1">
        <v>18</v>
      </c>
      <c r="AB301" s="1">
        <v>676000</v>
      </c>
      <c r="AC301" s="1">
        <f t="shared" si="4"/>
        <v>736000</v>
      </c>
    </row>
    <row r="302" spans="1:29" x14ac:dyDescent="0.25">
      <c r="A302" s="1" t="s">
        <v>978</v>
      </c>
      <c r="B302" s="1" t="s">
        <v>979</v>
      </c>
      <c r="C302" s="1" t="s">
        <v>980</v>
      </c>
      <c r="D302" s="1">
        <v>2019</v>
      </c>
      <c r="E302" s="1" t="s">
        <v>31</v>
      </c>
      <c r="F302" s="1">
        <v>4</v>
      </c>
      <c r="G302" s="1" t="s">
        <v>32</v>
      </c>
      <c r="H302" s="1" t="s">
        <v>33</v>
      </c>
      <c r="I302" s="1">
        <v>169000</v>
      </c>
      <c r="J302" s="1">
        <v>154000</v>
      </c>
      <c r="K302" s="1">
        <v>15000</v>
      </c>
      <c r="L302" s="1">
        <v>0</v>
      </c>
      <c r="M302" s="1" t="s">
        <v>34</v>
      </c>
      <c r="N302" s="1" t="s">
        <v>35</v>
      </c>
      <c r="O302" s="1" t="s">
        <v>64</v>
      </c>
      <c r="P302" s="1" t="s">
        <v>65</v>
      </c>
      <c r="Q302" s="1" t="s">
        <v>38</v>
      </c>
      <c r="R302" s="1" t="s">
        <v>981</v>
      </c>
      <c r="S302" s="3">
        <v>919638000000</v>
      </c>
      <c r="T302" s="1" t="s">
        <v>98</v>
      </c>
      <c r="U302" s="1">
        <v>86</v>
      </c>
      <c r="V302" s="1">
        <v>62</v>
      </c>
      <c r="W302" s="1" t="s">
        <v>52</v>
      </c>
      <c r="X302" s="1">
        <v>612800</v>
      </c>
      <c r="Y302" s="2">
        <v>38322</v>
      </c>
      <c r="Z302" s="1">
        <v>11.1789737171464</v>
      </c>
      <c r="AA302" s="1">
        <v>19</v>
      </c>
      <c r="AB302" s="1">
        <v>676000</v>
      </c>
      <c r="AC302" s="1">
        <f t="shared" si="4"/>
        <v>736000</v>
      </c>
    </row>
    <row r="303" spans="1:29" x14ac:dyDescent="0.25">
      <c r="A303" s="1" t="s">
        <v>1006</v>
      </c>
      <c r="B303" s="1" t="s">
        <v>1007</v>
      </c>
      <c r="C303" s="1" t="s">
        <v>1008</v>
      </c>
      <c r="D303" s="1">
        <v>2019</v>
      </c>
      <c r="E303" s="1" t="s">
        <v>31</v>
      </c>
      <c r="F303" s="1">
        <v>4</v>
      </c>
      <c r="G303" s="1" t="s">
        <v>32</v>
      </c>
      <c r="H303" s="1" t="s">
        <v>47</v>
      </c>
      <c r="I303" s="1">
        <v>169000</v>
      </c>
      <c r="J303" s="1">
        <v>154000</v>
      </c>
      <c r="K303" s="1">
        <v>15000</v>
      </c>
      <c r="L303" s="1">
        <v>0</v>
      </c>
      <c r="M303" s="1" t="s">
        <v>34</v>
      </c>
      <c r="N303" s="1" t="s">
        <v>63</v>
      </c>
      <c r="O303" s="1" t="s">
        <v>48</v>
      </c>
      <c r="P303" s="1" t="s">
        <v>49</v>
      </c>
      <c r="Q303" s="1" t="s">
        <v>38</v>
      </c>
      <c r="R303" s="1" t="s">
        <v>1009</v>
      </c>
      <c r="S303" s="3">
        <v>918810000000</v>
      </c>
      <c r="T303" s="1" t="s">
        <v>74</v>
      </c>
      <c r="U303" s="1">
        <v>86</v>
      </c>
      <c r="V303" s="1">
        <v>85</v>
      </c>
      <c r="W303" s="1" t="s">
        <v>41</v>
      </c>
      <c r="X303" s="1">
        <v>149542</v>
      </c>
      <c r="Y303" s="2">
        <v>37396</v>
      </c>
      <c r="Z303" s="1">
        <v>11.1789737171464</v>
      </c>
      <c r="AA303" s="1">
        <v>22</v>
      </c>
      <c r="AB303" s="1">
        <v>676000</v>
      </c>
      <c r="AC303" s="1">
        <f t="shared" si="4"/>
        <v>736000</v>
      </c>
    </row>
    <row r="304" spans="1:29" x14ac:dyDescent="0.25">
      <c r="A304" s="1" t="s">
        <v>1014</v>
      </c>
      <c r="B304" s="1" t="s">
        <v>1015</v>
      </c>
      <c r="C304" s="1" t="s">
        <v>1016</v>
      </c>
      <c r="D304" s="1">
        <v>2019</v>
      </c>
      <c r="E304" s="1" t="s">
        <v>45</v>
      </c>
      <c r="F304" s="1">
        <v>2</v>
      </c>
      <c r="G304" s="1" t="s">
        <v>46</v>
      </c>
      <c r="H304" s="1" t="s">
        <v>33</v>
      </c>
      <c r="I304" s="1">
        <v>92000</v>
      </c>
      <c r="J304" s="1">
        <v>77000</v>
      </c>
      <c r="K304" s="1">
        <v>15000</v>
      </c>
      <c r="L304" s="1">
        <v>0</v>
      </c>
      <c r="M304" s="1" t="s">
        <v>34</v>
      </c>
      <c r="N304" s="1" t="s">
        <v>63</v>
      </c>
      <c r="O304" s="1" t="s">
        <v>103</v>
      </c>
      <c r="P304" s="1" t="s">
        <v>104</v>
      </c>
      <c r="Q304" s="1" t="s">
        <v>38</v>
      </c>
      <c r="R304" s="1" t="s">
        <v>1017</v>
      </c>
      <c r="S304" s="3">
        <v>919407000000</v>
      </c>
      <c r="T304" s="1" t="s">
        <v>51</v>
      </c>
      <c r="U304" s="1">
        <v>86</v>
      </c>
      <c r="V304" s="1">
        <v>80</v>
      </c>
      <c r="W304" s="1" t="s">
        <v>41</v>
      </c>
      <c r="X304" s="1">
        <v>782526</v>
      </c>
      <c r="Y304" s="2">
        <v>36907</v>
      </c>
      <c r="Z304" s="1">
        <v>11.1789737171464</v>
      </c>
      <c r="AA304" s="1">
        <v>23</v>
      </c>
      <c r="AB304" s="1">
        <v>184000</v>
      </c>
      <c r="AC304" s="1">
        <f t="shared" si="4"/>
        <v>214000</v>
      </c>
    </row>
    <row r="305" spans="1:29" x14ac:dyDescent="0.25">
      <c r="A305" s="1" t="s">
        <v>1030</v>
      </c>
      <c r="B305" s="1" t="s">
        <v>1031</v>
      </c>
      <c r="C305" s="1" t="s">
        <v>1032</v>
      </c>
      <c r="D305" s="1">
        <v>2019</v>
      </c>
      <c r="E305" s="1" t="s">
        <v>31</v>
      </c>
      <c r="F305" s="1">
        <v>4</v>
      </c>
      <c r="G305" s="1" t="s">
        <v>32</v>
      </c>
      <c r="H305" s="1" t="s">
        <v>151</v>
      </c>
      <c r="I305" s="1">
        <v>169000</v>
      </c>
      <c r="J305" s="1">
        <v>154000</v>
      </c>
      <c r="K305" s="1">
        <v>15000</v>
      </c>
      <c r="L305" s="1">
        <v>0</v>
      </c>
      <c r="M305" s="1" t="s">
        <v>34</v>
      </c>
      <c r="N305" s="1" t="s">
        <v>35</v>
      </c>
      <c r="O305" s="1" t="s">
        <v>84</v>
      </c>
      <c r="P305" s="1" t="s">
        <v>65</v>
      </c>
      <c r="Q305" s="1" t="s">
        <v>38</v>
      </c>
      <c r="R305" s="1" t="s">
        <v>1033</v>
      </c>
      <c r="S305" s="3">
        <v>918560000000</v>
      </c>
      <c r="T305" s="1" t="s">
        <v>86</v>
      </c>
      <c r="U305" s="1">
        <v>86</v>
      </c>
      <c r="V305" s="1">
        <v>90</v>
      </c>
      <c r="W305" s="1" t="s">
        <v>52</v>
      </c>
      <c r="X305" s="1">
        <v>388351</v>
      </c>
      <c r="Y305" s="2">
        <v>37933</v>
      </c>
      <c r="Z305" s="1">
        <v>11.1789737171464</v>
      </c>
      <c r="AA305" s="1">
        <v>20</v>
      </c>
      <c r="AB305" s="1">
        <v>676000</v>
      </c>
      <c r="AC305" s="1">
        <f t="shared" si="4"/>
        <v>736000</v>
      </c>
    </row>
    <row r="306" spans="1:29" x14ac:dyDescent="0.25">
      <c r="A306" s="1" t="s">
        <v>1042</v>
      </c>
      <c r="B306" s="1" t="s">
        <v>1043</v>
      </c>
      <c r="C306" s="1" t="s">
        <v>1044</v>
      </c>
      <c r="D306" s="1">
        <v>2019</v>
      </c>
      <c r="E306" s="1" t="s">
        <v>31</v>
      </c>
      <c r="F306" s="1">
        <v>4</v>
      </c>
      <c r="G306" s="1" t="s">
        <v>32</v>
      </c>
      <c r="H306" s="1" t="s">
        <v>33</v>
      </c>
      <c r="I306" s="1">
        <v>169000</v>
      </c>
      <c r="J306" s="1">
        <v>154000</v>
      </c>
      <c r="K306" s="1">
        <v>15000</v>
      </c>
      <c r="L306" s="1">
        <v>0</v>
      </c>
      <c r="M306" s="1" t="s">
        <v>34</v>
      </c>
      <c r="N306" s="1" t="s">
        <v>63</v>
      </c>
      <c r="O306" s="1" t="s">
        <v>103</v>
      </c>
      <c r="P306" s="1" t="s">
        <v>104</v>
      </c>
      <c r="Q306" s="1" t="s">
        <v>38</v>
      </c>
      <c r="R306" s="1" t="s">
        <v>1045</v>
      </c>
      <c r="S306" s="3">
        <v>917691000000</v>
      </c>
      <c r="T306" s="1" t="s">
        <v>74</v>
      </c>
      <c r="U306" s="1">
        <v>86</v>
      </c>
      <c r="V306" s="1">
        <v>65</v>
      </c>
      <c r="W306" s="1" t="s">
        <v>52</v>
      </c>
      <c r="X306" s="1">
        <v>451882</v>
      </c>
      <c r="Y306" s="2">
        <v>38121</v>
      </c>
      <c r="Z306" s="1">
        <v>11.1789737171464</v>
      </c>
      <c r="AA306" s="1">
        <v>20</v>
      </c>
      <c r="AB306" s="1">
        <v>676000</v>
      </c>
      <c r="AC306" s="1">
        <f t="shared" si="4"/>
        <v>736000</v>
      </c>
    </row>
    <row r="307" spans="1:29" x14ac:dyDescent="0.25">
      <c r="A307" s="1" t="s">
        <v>1076</v>
      </c>
      <c r="B307" s="1" t="s">
        <v>1077</v>
      </c>
      <c r="C307" s="1" t="s">
        <v>1078</v>
      </c>
      <c r="D307" s="1">
        <v>2019</v>
      </c>
      <c r="E307" s="1" t="s">
        <v>31</v>
      </c>
      <c r="F307" s="1">
        <v>4</v>
      </c>
      <c r="G307" s="1" t="s">
        <v>32</v>
      </c>
      <c r="H307" s="1" t="s">
        <v>47</v>
      </c>
      <c r="I307" s="1">
        <v>169000</v>
      </c>
      <c r="J307" s="1">
        <v>154000</v>
      </c>
      <c r="K307" s="1">
        <v>15000</v>
      </c>
      <c r="L307" s="1">
        <v>0</v>
      </c>
      <c r="M307" s="1" t="s">
        <v>34</v>
      </c>
      <c r="N307" s="1" t="s">
        <v>63</v>
      </c>
      <c r="O307" s="1" t="s">
        <v>71</v>
      </c>
      <c r="P307" s="1" t="s">
        <v>72</v>
      </c>
      <c r="Q307" s="1" t="s">
        <v>38</v>
      </c>
      <c r="R307" s="1" t="s">
        <v>1079</v>
      </c>
      <c r="S307" s="3">
        <v>917325000000</v>
      </c>
      <c r="T307" s="1" t="s">
        <v>40</v>
      </c>
      <c r="U307" s="1">
        <v>86</v>
      </c>
      <c r="V307" s="1">
        <v>90</v>
      </c>
      <c r="W307" s="1" t="s">
        <v>41</v>
      </c>
      <c r="X307" s="1">
        <v>566983</v>
      </c>
      <c r="Y307" s="2">
        <v>37161</v>
      </c>
      <c r="Z307" s="1">
        <v>11.1789737171464</v>
      </c>
      <c r="AA307" s="1">
        <v>22</v>
      </c>
      <c r="AB307" s="1">
        <v>676000</v>
      </c>
      <c r="AC307" s="1">
        <f t="shared" si="4"/>
        <v>736000</v>
      </c>
    </row>
    <row r="308" spans="1:29" x14ac:dyDescent="0.25">
      <c r="A308" s="1" t="s">
        <v>1080</v>
      </c>
      <c r="B308" s="1" t="s">
        <v>129</v>
      </c>
      <c r="C308" s="1" t="s">
        <v>130</v>
      </c>
      <c r="D308" s="1">
        <v>2019</v>
      </c>
      <c r="E308" s="1" t="s">
        <v>45</v>
      </c>
      <c r="F308" s="1">
        <v>2</v>
      </c>
      <c r="G308" s="1" t="s">
        <v>46</v>
      </c>
      <c r="H308" s="1" t="s">
        <v>47</v>
      </c>
      <c r="I308" s="1">
        <v>92000</v>
      </c>
      <c r="J308" s="1">
        <v>77000</v>
      </c>
      <c r="K308" s="1">
        <v>15000</v>
      </c>
      <c r="L308" s="1">
        <v>0</v>
      </c>
      <c r="M308" s="1" t="s">
        <v>34</v>
      </c>
      <c r="N308" s="1" t="s">
        <v>35</v>
      </c>
      <c r="O308" s="1" t="s">
        <v>57</v>
      </c>
      <c r="P308" s="1" t="s">
        <v>57</v>
      </c>
      <c r="Q308" s="1" t="s">
        <v>38</v>
      </c>
      <c r="R308" s="1" t="s">
        <v>1081</v>
      </c>
      <c r="S308" s="3">
        <v>919183000000</v>
      </c>
      <c r="T308" s="1" t="s">
        <v>40</v>
      </c>
      <c r="U308" s="1">
        <v>86</v>
      </c>
      <c r="V308" s="1">
        <v>63</v>
      </c>
      <c r="W308" s="1" t="s">
        <v>52</v>
      </c>
      <c r="X308" s="1">
        <v>183480</v>
      </c>
      <c r="Y308" s="2">
        <v>35799</v>
      </c>
      <c r="Z308" s="1">
        <v>11.1789737171464</v>
      </c>
      <c r="AA308" s="1">
        <v>26</v>
      </c>
      <c r="AB308" s="1">
        <v>184000</v>
      </c>
      <c r="AC308" s="1">
        <f t="shared" si="4"/>
        <v>214000</v>
      </c>
    </row>
    <row r="309" spans="1:29" x14ac:dyDescent="0.25">
      <c r="A309" s="1" t="s">
        <v>1086</v>
      </c>
      <c r="B309" s="1" t="s">
        <v>1087</v>
      </c>
      <c r="C309" s="1" t="s">
        <v>1088</v>
      </c>
      <c r="D309" s="1">
        <v>2019</v>
      </c>
      <c r="E309" s="1" t="s">
        <v>45</v>
      </c>
      <c r="F309" s="1">
        <v>2</v>
      </c>
      <c r="G309" s="1" t="s">
        <v>46</v>
      </c>
      <c r="H309" s="1" t="s">
        <v>113</v>
      </c>
      <c r="I309" s="1">
        <v>92000</v>
      </c>
      <c r="J309" s="1">
        <v>77000</v>
      </c>
      <c r="K309" s="1">
        <v>15000</v>
      </c>
      <c r="L309" s="1">
        <v>0</v>
      </c>
      <c r="M309" s="1" t="s">
        <v>34</v>
      </c>
      <c r="N309" s="1" t="s">
        <v>35</v>
      </c>
      <c r="O309" s="1" t="s">
        <v>188</v>
      </c>
      <c r="P309" s="1" t="s">
        <v>189</v>
      </c>
      <c r="Q309" s="1" t="s">
        <v>38</v>
      </c>
      <c r="R309" s="1" t="s">
        <v>1089</v>
      </c>
      <c r="S309" s="3">
        <v>917031000000</v>
      </c>
      <c r="T309" s="1" t="s">
        <v>74</v>
      </c>
      <c r="U309" s="1">
        <v>86</v>
      </c>
      <c r="V309" s="1">
        <v>61</v>
      </c>
      <c r="W309" s="1" t="s">
        <v>41</v>
      </c>
      <c r="X309" s="1">
        <v>688903</v>
      </c>
      <c r="Y309" s="2">
        <v>36405</v>
      </c>
      <c r="Z309" s="1">
        <v>11.1789737171464</v>
      </c>
      <c r="AA309" s="1">
        <v>24</v>
      </c>
      <c r="AB309" s="1">
        <v>184000</v>
      </c>
      <c r="AC309" s="1">
        <f t="shared" si="4"/>
        <v>214000</v>
      </c>
    </row>
    <row r="310" spans="1:29" x14ac:dyDescent="0.25">
      <c r="A310" s="1" t="s">
        <v>1106</v>
      </c>
      <c r="B310" s="1" t="s">
        <v>349</v>
      </c>
      <c r="C310" s="1" t="s">
        <v>350</v>
      </c>
      <c r="D310" s="1">
        <v>2019</v>
      </c>
      <c r="E310" s="1" t="s">
        <v>31</v>
      </c>
      <c r="F310" s="1">
        <v>4</v>
      </c>
      <c r="G310" s="1" t="s">
        <v>32</v>
      </c>
      <c r="H310" s="1" t="s">
        <v>33</v>
      </c>
      <c r="I310" s="1">
        <v>169000</v>
      </c>
      <c r="J310" s="1">
        <v>154000</v>
      </c>
      <c r="K310" s="1">
        <v>15000</v>
      </c>
      <c r="L310" s="1">
        <v>0</v>
      </c>
      <c r="M310" s="1" t="s">
        <v>34</v>
      </c>
      <c r="N310" s="1" t="s">
        <v>70</v>
      </c>
      <c r="O310" s="1" t="s">
        <v>48</v>
      </c>
      <c r="P310" s="1" t="s">
        <v>49</v>
      </c>
      <c r="Q310" s="1" t="s">
        <v>38</v>
      </c>
      <c r="R310" s="1" t="s">
        <v>1107</v>
      </c>
      <c r="S310" s="3">
        <v>917615000000</v>
      </c>
      <c r="T310" s="1" t="s">
        <v>98</v>
      </c>
      <c r="U310" s="1">
        <v>86</v>
      </c>
      <c r="V310" s="1">
        <v>78</v>
      </c>
      <c r="W310" s="1" t="s">
        <v>52</v>
      </c>
      <c r="X310" s="1">
        <v>563939</v>
      </c>
      <c r="Y310" s="2">
        <v>37035</v>
      </c>
      <c r="Z310" s="1">
        <v>11.1789737171464</v>
      </c>
      <c r="AA310" s="1">
        <v>23</v>
      </c>
      <c r="AB310" s="1">
        <v>676000</v>
      </c>
      <c r="AC310" s="1">
        <f t="shared" si="4"/>
        <v>736000</v>
      </c>
    </row>
    <row r="311" spans="1:29" x14ac:dyDescent="0.25">
      <c r="A311" s="1" t="s">
        <v>1144</v>
      </c>
      <c r="B311" s="1" t="s">
        <v>1145</v>
      </c>
      <c r="C311" s="1" t="s">
        <v>1146</v>
      </c>
      <c r="D311" s="1">
        <v>2019</v>
      </c>
      <c r="E311" s="1" t="s">
        <v>45</v>
      </c>
      <c r="F311" s="1">
        <v>2</v>
      </c>
      <c r="G311" s="1" t="s">
        <v>46</v>
      </c>
      <c r="H311" s="1" t="s">
        <v>33</v>
      </c>
      <c r="I311" s="1">
        <v>92000</v>
      </c>
      <c r="J311" s="1">
        <v>77000</v>
      </c>
      <c r="K311" s="1">
        <v>15000</v>
      </c>
      <c r="L311" s="1">
        <v>0</v>
      </c>
      <c r="M311" s="1" t="s">
        <v>34</v>
      </c>
      <c r="N311" s="1" t="s">
        <v>63</v>
      </c>
      <c r="O311" s="1" t="s">
        <v>48</v>
      </c>
      <c r="P311" s="1" t="s">
        <v>49</v>
      </c>
      <c r="Q311" s="1" t="s">
        <v>38</v>
      </c>
      <c r="R311" s="1" t="s">
        <v>1147</v>
      </c>
      <c r="S311" s="3">
        <v>919028000000</v>
      </c>
      <c r="T311" s="1" t="s">
        <v>74</v>
      </c>
      <c r="U311" s="1">
        <v>85</v>
      </c>
      <c r="V311" s="1">
        <v>66</v>
      </c>
      <c r="W311" s="1" t="s">
        <v>52</v>
      </c>
      <c r="X311" s="1">
        <v>526690</v>
      </c>
      <c r="Y311" s="2">
        <v>35499</v>
      </c>
      <c r="Z311" s="1">
        <v>10.1789737171464</v>
      </c>
      <c r="AA311" s="1">
        <v>27</v>
      </c>
      <c r="AB311" s="1">
        <v>184000</v>
      </c>
      <c r="AC311" s="1">
        <f t="shared" si="4"/>
        <v>214000</v>
      </c>
    </row>
    <row r="312" spans="1:29" x14ac:dyDescent="0.25">
      <c r="A312" s="1" t="s">
        <v>1156</v>
      </c>
      <c r="B312" s="1" t="s">
        <v>1157</v>
      </c>
      <c r="C312" s="1" t="s">
        <v>1158</v>
      </c>
      <c r="D312" s="1">
        <v>2019</v>
      </c>
      <c r="E312" s="1" t="s">
        <v>45</v>
      </c>
      <c r="F312" s="1">
        <v>2</v>
      </c>
      <c r="G312" s="1" t="s">
        <v>46</v>
      </c>
      <c r="H312" s="1" t="s">
        <v>113</v>
      </c>
      <c r="I312" s="1">
        <v>92000</v>
      </c>
      <c r="J312" s="1">
        <v>77000</v>
      </c>
      <c r="K312" s="1">
        <v>15000</v>
      </c>
      <c r="L312" s="1">
        <v>0</v>
      </c>
      <c r="M312" s="1" t="s">
        <v>34</v>
      </c>
      <c r="N312" s="1" t="s">
        <v>63</v>
      </c>
      <c r="O312" s="1" t="s">
        <v>84</v>
      </c>
      <c r="P312" s="1" t="s">
        <v>65</v>
      </c>
      <c r="Q312" s="1" t="s">
        <v>38</v>
      </c>
      <c r="R312" s="1" t="s">
        <v>1159</v>
      </c>
      <c r="S312" s="3">
        <v>917593000000</v>
      </c>
      <c r="T312" s="1" t="s">
        <v>40</v>
      </c>
      <c r="U312" s="1">
        <v>85</v>
      </c>
      <c r="V312" s="1">
        <v>86</v>
      </c>
      <c r="W312" s="1" t="s">
        <v>41</v>
      </c>
      <c r="X312" s="1">
        <v>431670</v>
      </c>
      <c r="Y312" s="2">
        <v>36658</v>
      </c>
      <c r="Z312" s="1">
        <v>10.1789737171464</v>
      </c>
      <c r="AA312" s="1">
        <v>24</v>
      </c>
      <c r="AB312" s="1">
        <v>184000</v>
      </c>
      <c r="AC312" s="1">
        <f t="shared" si="4"/>
        <v>214000</v>
      </c>
    </row>
    <row r="313" spans="1:29" x14ac:dyDescent="0.25">
      <c r="A313" s="1" t="s">
        <v>1226</v>
      </c>
      <c r="B313" s="1" t="s">
        <v>1227</v>
      </c>
      <c r="C313" s="1" t="s">
        <v>1228</v>
      </c>
      <c r="D313" s="1">
        <v>2019</v>
      </c>
      <c r="E313" s="1" t="s">
        <v>31</v>
      </c>
      <c r="F313" s="1">
        <v>4</v>
      </c>
      <c r="G313" s="1" t="s">
        <v>32</v>
      </c>
      <c r="H313" s="1" t="s">
        <v>90</v>
      </c>
      <c r="I313" s="1">
        <v>169000</v>
      </c>
      <c r="J313" s="1">
        <v>154000</v>
      </c>
      <c r="K313" s="1">
        <v>15000</v>
      </c>
      <c r="L313" s="1">
        <v>0</v>
      </c>
      <c r="M313" s="1" t="s">
        <v>34</v>
      </c>
      <c r="N313" s="1" t="s">
        <v>35</v>
      </c>
      <c r="O313" s="1" t="s">
        <v>91</v>
      </c>
      <c r="P313" s="1" t="s">
        <v>92</v>
      </c>
      <c r="Q313" s="1" t="s">
        <v>38</v>
      </c>
      <c r="R313" s="1" t="s">
        <v>1229</v>
      </c>
      <c r="S313" s="3">
        <v>919221000000</v>
      </c>
      <c r="T313" s="1" t="s">
        <v>40</v>
      </c>
      <c r="U313" s="1">
        <v>85</v>
      </c>
      <c r="V313" s="1">
        <v>65</v>
      </c>
      <c r="W313" s="1" t="s">
        <v>52</v>
      </c>
      <c r="X313" s="1">
        <v>318253</v>
      </c>
      <c r="Y313" s="2">
        <v>37180</v>
      </c>
      <c r="Z313" s="1">
        <v>10.1789737171464</v>
      </c>
      <c r="AA313" s="1">
        <v>22</v>
      </c>
      <c r="AB313" s="1">
        <v>676000</v>
      </c>
      <c r="AC313" s="1">
        <f t="shared" si="4"/>
        <v>736000</v>
      </c>
    </row>
    <row r="314" spans="1:29" x14ac:dyDescent="0.25">
      <c r="A314" s="1" t="s">
        <v>1256</v>
      </c>
      <c r="B314" s="1" t="s">
        <v>1257</v>
      </c>
      <c r="C314" s="1" t="s">
        <v>1258</v>
      </c>
      <c r="D314" s="1">
        <v>2019</v>
      </c>
      <c r="E314" s="1" t="s">
        <v>45</v>
      </c>
      <c r="F314" s="1">
        <v>2</v>
      </c>
      <c r="G314" s="1" t="s">
        <v>46</v>
      </c>
      <c r="H314" s="1" t="s">
        <v>33</v>
      </c>
      <c r="I314" s="1">
        <v>92000</v>
      </c>
      <c r="J314" s="1">
        <v>77000</v>
      </c>
      <c r="K314" s="1">
        <v>15000</v>
      </c>
      <c r="L314" s="1">
        <v>0</v>
      </c>
      <c r="M314" s="1" t="s">
        <v>34</v>
      </c>
      <c r="N314" s="1" t="s">
        <v>63</v>
      </c>
      <c r="O314" s="1" t="s">
        <v>64</v>
      </c>
      <c r="P314" s="1" t="s">
        <v>65</v>
      </c>
      <c r="Q314" s="1" t="s">
        <v>38</v>
      </c>
      <c r="R314" s="1" t="s">
        <v>1259</v>
      </c>
      <c r="S314" s="3">
        <v>917927000000</v>
      </c>
      <c r="T314" s="1" t="s">
        <v>74</v>
      </c>
      <c r="U314" s="1">
        <v>85</v>
      </c>
      <c r="V314" s="1">
        <v>61</v>
      </c>
      <c r="W314" s="1" t="s">
        <v>52</v>
      </c>
      <c r="X314" s="1">
        <v>533503</v>
      </c>
      <c r="Y314" s="2">
        <v>35444</v>
      </c>
      <c r="Z314" s="1">
        <v>10.1789737171464</v>
      </c>
      <c r="AA314" s="1">
        <v>27</v>
      </c>
      <c r="AB314" s="1">
        <v>184000</v>
      </c>
      <c r="AC314" s="1">
        <f t="shared" si="4"/>
        <v>214000</v>
      </c>
    </row>
    <row r="315" spans="1:29" x14ac:dyDescent="0.25">
      <c r="A315" s="1" t="s">
        <v>1266</v>
      </c>
      <c r="B315" s="1" t="s">
        <v>983</v>
      </c>
      <c r="C315" s="1" t="s">
        <v>984</v>
      </c>
      <c r="D315" s="1">
        <v>2019</v>
      </c>
      <c r="E315" s="1" t="s">
        <v>45</v>
      </c>
      <c r="F315" s="1">
        <v>2</v>
      </c>
      <c r="G315" s="1" t="s">
        <v>46</v>
      </c>
      <c r="H315" s="1" t="s">
        <v>33</v>
      </c>
      <c r="I315" s="1">
        <v>92000</v>
      </c>
      <c r="J315" s="1">
        <v>77000</v>
      </c>
      <c r="K315" s="1">
        <v>15000</v>
      </c>
      <c r="L315" s="1">
        <v>0</v>
      </c>
      <c r="M315" s="1" t="s">
        <v>34</v>
      </c>
      <c r="N315" s="1" t="s">
        <v>63</v>
      </c>
      <c r="O315" s="1" t="s">
        <v>36</v>
      </c>
      <c r="P315" s="1" t="s">
        <v>37</v>
      </c>
      <c r="Q315" s="1" t="s">
        <v>38</v>
      </c>
      <c r="R315" s="1" t="s">
        <v>1267</v>
      </c>
      <c r="S315" s="3">
        <v>918883000000</v>
      </c>
      <c r="T315" s="1" t="s">
        <v>74</v>
      </c>
      <c r="U315" s="1">
        <v>85</v>
      </c>
      <c r="V315" s="1">
        <v>89</v>
      </c>
      <c r="W315" s="1" t="s">
        <v>52</v>
      </c>
      <c r="X315" s="1">
        <v>234012</v>
      </c>
      <c r="Y315" s="2">
        <v>35479</v>
      </c>
      <c r="Z315" s="1">
        <v>10.1789737171464</v>
      </c>
      <c r="AA315" s="1">
        <v>27</v>
      </c>
      <c r="AB315" s="1">
        <v>184000</v>
      </c>
      <c r="AC315" s="1">
        <f t="shared" si="4"/>
        <v>214000</v>
      </c>
    </row>
    <row r="316" spans="1:29" x14ac:dyDescent="0.25">
      <c r="A316" s="1" t="s">
        <v>1312</v>
      </c>
      <c r="B316" s="1" t="s">
        <v>1313</v>
      </c>
      <c r="C316" s="1" t="s">
        <v>1314</v>
      </c>
      <c r="D316" s="1">
        <v>2019</v>
      </c>
      <c r="E316" s="1" t="s">
        <v>31</v>
      </c>
      <c r="F316" s="1">
        <v>4</v>
      </c>
      <c r="G316" s="1" t="s">
        <v>32</v>
      </c>
      <c r="H316" s="1" t="s">
        <v>113</v>
      </c>
      <c r="I316" s="1">
        <v>169000</v>
      </c>
      <c r="J316" s="1">
        <v>154000</v>
      </c>
      <c r="K316" s="1">
        <v>15000</v>
      </c>
      <c r="L316" s="1">
        <v>0</v>
      </c>
      <c r="M316" s="1" t="s">
        <v>34</v>
      </c>
      <c r="N316" s="1" t="s">
        <v>35</v>
      </c>
      <c r="O316" s="1" t="s">
        <v>188</v>
      </c>
      <c r="P316" s="1" t="s">
        <v>189</v>
      </c>
      <c r="Q316" s="1" t="s">
        <v>38</v>
      </c>
      <c r="R316" s="1" t="s">
        <v>1315</v>
      </c>
      <c r="S316" s="3">
        <v>917859000000</v>
      </c>
      <c r="T316" s="1" t="s">
        <v>98</v>
      </c>
      <c r="U316" s="1">
        <v>84</v>
      </c>
      <c r="V316" s="1">
        <v>65</v>
      </c>
      <c r="W316" s="1" t="s">
        <v>41</v>
      </c>
      <c r="X316" s="1">
        <v>516688</v>
      </c>
      <c r="Y316" s="2">
        <v>37921</v>
      </c>
      <c r="Z316" s="1">
        <v>9.1789737171464303</v>
      </c>
      <c r="AA316" s="1">
        <v>20</v>
      </c>
      <c r="AB316" s="1">
        <v>676000</v>
      </c>
      <c r="AC316" s="1">
        <f t="shared" si="4"/>
        <v>736000</v>
      </c>
    </row>
    <row r="317" spans="1:29" x14ac:dyDescent="0.25">
      <c r="A317" s="1" t="s">
        <v>1320</v>
      </c>
      <c r="B317" s="1" t="s">
        <v>1321</v>
      </c>
      <c r="C317" s="1" t="s">
        <v>1322</v>
      </c>
      <c r="D317" s="1">
        <v>2019</v>
      </c>
      <c r="E317" s="1" t="s">
        <v>31</v>
      </c>
      <c r="F317" s="1">
        <v>4</v>
      </c>
      <c r="G317" s="1" t="s">
        <v>32</v>
      </c>
      <c r="H317" s="1" t="s">
        <v>122</v>
      </c>
      <c r="I317" s="1">
        <v>169000</v>
      </c>
      <c r="J317" s="1">
        <v>154000</v>
      </c>
      <c r="K317" s="1">
        <v>15000</v>
      </c>
      <c r="L317" s="1">
        <v>0</v>
      </c>
      <c r="M317" s="1" t="s">
        <v>34</v>
      </c>
      <c r="N317" s="1" t="s">
        <v>70</v>
      </c>
      <c r="O317" s="1" t="s">
        <v>84</v>
      </c>
      <c r="P317" s="1" t="s">
        <v>65</v>
      </c>
      <c r="Q317" s="1" t="s">
        <v>38</v>
      </c>
      <c r="R317" s="1" t="s">
        <v>1323</v>
      </c>
      <c r="S317" s="3">
        <v>919614000000</v>
      </c>
      <c r="T317" s="1" t="s">
        <v>51</v>
      </c>
      <c r="U317" s="1">
        <v>84</v>
      </c>
      <c r="V317" s="1">
        <v>92</v>
      </c>
      <c r="W317" s="1" t="s">
        <v>41</v>
      </c>
      <c r="X317" s="1">
        <v>100641</v>
      </c>
      <c r="Y317" s="2">
        <v>37492</v>
      </c>
      <c r="Z317" s="1">
        <v>9.1789737171464303</v>
      </c>
      <c r="AA317" s="1">
        <v>21</v>
      </c>
      <c r="AB317" s="1">
        <v>676000</v>
      </c>
      <c r="AC317" s="1">
        <f t="shared" si="4"/>
        <v>736000</v>
      </c>
    </row>
    <row r="318" spans="1:29" x14ac:dyDescent="0.25">
      <c r="A318" s="1" t="s">
        <v>1354</v>
      </c>
      <c r="B318" s="1" t="s">
        <v>1355</v>
      </c>
      <c r="C318" s="1" t="s">
        <v>1356</v>
      </c>
      <c r="D318" s="1">
        <v>2019</v>
      </c>
      <c r="E318" s="1" t="s">
        <v>31</v>
      </c>
      <c r="F318" s="1">
        <v>4</v>
      </c>
      <c r="G318" s="1" t="s">
        <v>32</v>
      </c>
      <c r="H318" s="1" t="s">
        <v>62</v>
      </c>
      <c r="I318" s="1">
        <v>169000</v>
      </c>
      <c r="J318" s="1">
        <v>154000</v>
      </c>
      <c r="K318" s="1">
        <v>15000</v>
      </c>
      <c r="L318" s="1">
        <v>0</v>
      </c>
      <c r="M318" s="1" t="s">
        <v>34</v>
      </c>
      <c r="N318" s="1" t="s">
        <v>35</v>
      </c>
      <c r="O318" s="1" t="s">
        <v>71</v>
      </c>
      <c r="P318" s="1" t="s">
        <v>72</v>
      </c>
      <c r="Q318" s="1" t="s">
        <v>38</v>
      </c>
      <c r="R318" s="1" t="s">
        <v>1357</v>
      </c>
      <c r="S318" s="3">
        <v>917524000000</v>
      </c>
      <c r="T318" s="1" t="s">
        <v>98</v>
      </c>
      <c r="U318" s="1">
        <v>84</v>
      </c>
      <c r="V318" s="1">
        <v>62</v>
      </c>
      <c r="W318" s="1" t="s">
        <v>52</v>
      </c>
      <c r="X318" s="1">
        <v>248187</v>
      </c>
      <c r="Y318" s="2">
        <v>36833</v>
      </c>
      <c r="Z318" s="1">
        <v>9.1789737171464303</v>
      </c>
      <c r="AA318" s="1">
        <v>23</v>
      </c>
      <c r="AB318" s="1">
        <v>676000</v>
      </c>
      <c r="AC318" s="1">
        <f t="shared" si="4"/>
        <v>736000</v>
      </c>
    </row>
    <row r="319" spans="1:29" x14ac:dyDescent="0.25">
      <c r="A319" s="1" t="s">
        <v>1404</v>
      </c>
      <c r="B319" s="1" t="s">
        <v>100</v>
      </c>
      <c r="C319" s="1" t="s">
        <v>101</v>
      </c>
      <c r="D319" s="1">
        <v>2019</v>
      </c>
      <c r="E319" s="1" t="s">
        <v>45</v>
      </c>
      <c r="F319" s="1">
        <v>2</v>
      </c>
      <c r="G319" s="1" t="s">
        <v>46</v>
      </c>
      <c r="H319" s="1" t="s">
        <v>47</v>
      </c>
      <c r="I319" s="1">
        <v>92000</v>
      </c>
      <c r="J319" s="1">
        <v>77000</v>
      </c>
      <c r="K319" s="1">
        <v>15000</v>
      </c>
      <c r="L319" s="1">
        <v>0</v>
      </c>
      <c r="M319" s="1" t="s">
        <v>34</v>
      </c>
      <c r="N319" s="1" t="s">
        <v>35</v>
      </c>
      <c r="O319" s="1" t="s">
        <v>36</v>
      </c>
      <c r="P319" s="1" t="s">
        <v>37</v>
      </c>
      <c r="Q319" s="1" t="s">
        <v>38</v>
      </c>
      <c r="R319" s="1" t="s">
        <v>1405</v>
      </c>
      <c r="S319" s="3">
        <v>918972000000</v>
      </c>
      <c r="T319" s="1" t="s">
        <v>98</v>
      </c>
      <c r="U319" s="1">
        <v>84</v>
      </c>
      <c r="V319" s="1">
        <v>62</v>
      </c>
      <c r="W319" s="1" t="s">
        <v>52</v>
      </c>
      <c r="X319" s="1">
        <v>422440</v>
      </c>
      <c r="Y319" s="2">
        <v>36361</v>
      </c>
      <c r="Z319" s="1">
        <v>9.1789737171464303</v>
      </c>
      <c r="AA319" s="1">
        <v>24</v>
      </c>
      <c r="AB319" s="1">
        <v>184000</v>
      </c>
      <c r="AC319" s="1">
        <f t="shared" si="4"/>
        <v>214000</v>
      </c>
    </row>
    <row r="320" spans="1:29" x14ac:dyDescent="0.25">
      <c r="A320" s="1" t="s">
        <v>1414</v>
      </c>
      <c r="B320" s="1" t="s">
        <v>1415</v>
      </c>
      <c r="C320" s="1" t="s">
        <v>1416</v>
      </c>
      <c r="D320" s="1">
        <v>2019</v>
      </c>
      <c r="E320" s="1" t="s">
        <v>31</v>
      </c>
      <c r="F320" s="1">
        <v>4</v>
      </c>
      <c r="G320" s="1" t="s">
        <v>32</v>
      </c>
      <c r="H320" s="1" t="s">
        <v>122</v>
      </c>
      <c r="I320" s="1">
        <v>169000</v>
      </c>
      <c r="J320" s="1">
        <v>154000</v>
      </c>
      <c r="K320" s="1">
        <v>15000</v>
      </c>
      <c r="L320" s="1">
        <v>0</v>
      </c>
      <c r="M320" s="1" t="s">
        <v>34</v>
      </c>
      <c r="N320" s="1" t="s">
        <v>35</v>
      </c>
      <c r="O320" s="1" t="s">
        <v>78</v>
      </c>
      <c r="P320" s="1" t="s">
        <v>79</v>
      </c>
      <c r="Q320" s="1" t="s">
        <v>38</v>
      </c>
      <c r="R320" s="1" t="s">
        <v>1417</v>
      </c>
      <c r="S320" s="3">
        <v>917244000000</v>
      </c>
      <c r="T320" s="1" t="s">
        <v>51</v>
      </c>
      <c r="U320" s="1">
        <v>84</v>
      </c>
      <c r="V320" s="1">
        <v>82</v>
      </c>
      <c r="W320" s="1" t="s">
        <v>41</v>
      </c>
      <c r="X320" s="1">
        <v>565290</v>
      </c>
      <c r="Y320" s="2">
        <v>37073</v>
      </c>
      <c r="Z320" s="1">
        <v>9.1789737171464303</v>
      </c>
      <c r="AA320" s="1">
        <v>23</v>
      </c>
      <c r="AB320" s="1">
        <v>676000</v>
      </c>
      <c r="AC320" s="1">
        <f t="shared" si="4"/>
        <v>736000</v>
      </c>
    </row>
    <row r="321" spans="1:29" x14ac:dyDescent="0.25">
      <c r="A321" s="1" t="s">
        <v>1436</v>
      </c>
      <c r="B321" s="1" t="s">
        <v>1437</v>
      </c>
      <c r="C321" s="1" t="s">
        <v>1438</v>
      </c>
      <c r="D321" s="1">
        <v>2019</v>
      </c>
      <c r="E321" s="1" t="s">
        <v>31</v>
      </c>
      <c r="F321" s="1">
        <v>4</v>
      </c>
      <c r="G321" s="1" t="s">
        <v>32</v>
      </c>
      <c r="H321" s="1" t="s">
        <v>102</v>
      </c>
      <c r="I321" s="1">
        <v>169000</v>
      </c>
      <c r="J321" s="1">
        <v>154000</v>
      </c>
      <c r="K321" s="1">
        <v>15000</v>
      </c>
      <c r="L321" s="1">
        <v>0</v>
      </c>
      <c r="M321" s="1" t="s">
        <v>34</v>
      </c>
      <c r="N321" s="1" t="s">
        <v>70</v>
      </c>
      <c r="O321" s="1" t="s">
        <v>188</v>
      </c>
      <c r="P321" s="1" t="s">
        <v>189</v>
      </c>
      <c r="Q321" s="1" t="s">
        <v>38</v>
      </c>
      <c r="R321" s="1" t="s">
        <v>1439</v>
      </c>
      <c r="S321" s="3">
        <v>919703000000</v>
      </c>
      <c r="T321" s="1" t="s">
        <v>74</v>
      </c>
      <c r="U321" s="1">
        <v>83</v>
      </c>
      <c r="V321" s="1">
        <v>91</v>
      </c>
      <c r="W321" s="1" t="s">
        <v>41</v>
      </c>
      <c r="X321" s="1">
        <v>115746</v>
      </c>
      <c r="Y321" s="2">
        <v>38320</v>
      </c>
      <c r="Z321" s="1">
        <v>8.1789737171464303</v>
      </c>
      <c r="AA321" s="1">
        <v>19</v>
      </c>
      <c r="AB321" s="1">
        <v>676000</v>
      </c>
      <c r="AC321" s="1">
        <f t="shared" si="4"/>
        <v>736000</v>
      </c>
    </row>
    <row r="322" spans="1:29" x14ac:dyDescent="0.25">
      <c r="A322" s="1" t="s">
        <v>1458</v>
      </c>
      <c r="B322" s="1" t="s">
        <v>1459</v>
      </c>
      <c r="C322" s="1" t="s">
        <v>1460</v>
      </c>
      <c r="D322" s="1">
        <v>2019</v>
      </c>
      <c r="E322" s="1" t="s">
        <v>31</v>
      </c>
      <c r="F322" s="1">
        <v>4</v>
      </c>
      <c r="G322" s="1" t="s">
        <v>32</v>
      </c>
      <c r="H322" s="1" t="s">
        <v>56</v>
      </c>
      <c r="I322" s="1">
        <v>169000</v>
      </c>
      <c r="J322" s="1">
        <v>154000</v>
      </c>
      <c r="K322" s="1">
        <v>15000</v>
      </c>
      <c r="L322" s="1">
        <v>0</v>
      </c>
      <c r="M322" s="1" t="s">
        <v>34</v>
      </c>
      <c r="N322" s="1" t="s">
        <v>70</v>
      </c>
      <c r="O322" s="1" t="s">
        <v>78</v>
      </c>
      <c r="P322" s="1" t="s">
        <v>79</v>
      </c>
      <c r="Q322" s="1" t="s">
        <v>38</v>
      </c>
      <c r="R322" s="1" t="s">
        <v>1461</v>
      </c>
      <c r="S322" s="3">
        <v>917931000000</v>
      </c>
      <c r="T322" s="1" t="s">
        <v>51</v>
      </c>
      <c r="U322" s="1">
        <v>83</v>
      </c>
      <c r="V322" s="1">
        <v>70</v>
      </c>
      <c r="W322" s="1" t="s">
        <v>41</v>
      </c>
      <c r="X322" s="1">
        <v>456213</v>
      </c>
      <c r="Y322" s="2">
        <v>37368</v>
      </c>
      <c r="Z322" s="1">
        <v>8.1789737171464303</v>
      </c>
      <c r="AA322" s="1">
        <v>22</v>
      </c>
      <c r="AB322" s="1">
        <v>676000</v>
      </c>
      <c r="AC322" s="1">
        <f t="shared" si="4"/>
        <v>736000</v>
      </c>
    </row>
    <row r="323" spans="1:29" x14ac:dyDescent="0.25">
      <c r="A323" s="1" t="s">
        <v>1478</v>
      </c>
      <c r="B323" s="1" t="s">
        <v>1479</v>
      </c>
      <c r="C323" s="1" t="s">
        <v>1480</v>
      </c>
      <c r="D323" s="1">
        <v>2019</v>
      </c>
      <c r="E323" s="1" t="s">
        <v>45</v>
      </c>
      <c r="F323" s="1">
        <v>2</v>
      </c>
      <c r="G323" s="1" t="s">
        <v>46</v>
      </c>
      <c r="H323" s="1" t="s">
        <v>90</v>
      </c>
      <c r="I323" s="1">
        <v>92000</v>
      </c>
      <c r="J323" s="1">
        <v>77000</v>
      </c>
      <c r="K323" s="1">
        <v>15000</v>
      </c>
      <c r="L323" s="1">
        <v>0</v>
      </c>
      <c r="M323" s="1" t="s">
        <v>34</v>
      </c>
      <c r="N323" s="1" t="s">
        <v>70</v>
      </c>
      <c r="O323" s="1" t="s">
        <v>78</v>
      </c>
      <c r="P323" s="1" t="s">
        <v>79</v>
      </c>
      <c r="Q323" s="1" t="s">
        <v>38</v>
      </c>
      <c r="R323" s="1" t="s">
        <v>1481</v>
      </c>
      <c r="S323" s="3">
        <v>919577000000</v>
      </c>
      <c r="T323" s="1" t="s">
        <v>74</v>
      </c>
      <c r="U323" s="1">
        <v>83</v>
      </c>
      <c r="V323" s="1">
        <v>75</v>
      </c>
      <c r="W323" s="1" t="s">
        <v>52</v>
      </c>
      <c r="X323" s="1">
        <v>430156</v>
      </c>
      <c r="Y323" s="2">
        <v>36961</v>
      </c>
      <c r="Z323" s="1">
        <v>8.1789737171464303</v>
      </c>
      <c r="AA323" s="1">
        <v>23</v>
      </c>
      <c r="AB323" s="1">
        <v>184000</v>
      </c>
      <c r="AC323" s="1">
        <f t="shared" si="4"/>
        <v>214000</v>
      </c>
    </row>
    <row r="324" spans="1:29" x14ac:dyDescent="0.25">
      <c r="A324" s="1" t="s">
        <v>1482</v>
      </c>
      <c r="B324" s="1" t="s">
        <v>1483</v>
      </c>
      <c r="C324" s="1" t="s">
        <v>1484</v>
      </c>
      <c r="D324" s="1">
        <v>2019</v>
      </c>
      <c r="E324" s="1" t="s">
        <v>31</v>
      </c>
      <c r="F324" s="1">
        <v>4</v>
      </c>
      <c r="G324" s="1" t="s">
        <v>32</v>
      </c>
      <c r="H324" s="1" t="s">
        <v>102</v>
      </c>
      <c r="I324" s="1">
        <v>169000</v>
      </c>
      <c r="J324" s="1">
        <v>154000</v>
      </c>
      <c r="K324" s="1">
        <v>15000</v>
      </c>
      <c r="L324" s="1">
        <v>0</v>
      </c>
      <c r="M324" s="1" t="s">
        <v>34</v>
      </c>
      <c r="N324" s="1" t="s">
        <v>70</v>
      </c>
      <c r="O324" s="1" t="s">
        <v>84</v>
      </c>
      <c r="P324" s="1" t="s">
        <v>65</v>
      </c>
      <c r="Q324" s="1" t="s">
        <v>38</v>
      </c>
      <c r="R324" s="1" t="s">
        <v>1485</v>
      </c>
      <c r="S324" s="3">
        <v>918018000000</v>
      </c>
      <c r="T324" s="1" t="s">
        <v>98</v>
      </c>
      <c r="U324" s="1">
        <v>83</v>
      </c>
      <c r="V324" s="1">
        <v>78</v>
      </c>
      <c r="W324" s="1" t="s">
        <v>41</v>
      </c>
      <c r="X324" s="1">
        <v>113618</v>
      </c>
      <c r="Y324" s="2">
        <v>37680</v>
      </c>
      <c r="Z324" s="1">
        <v>8.1789737171464303</v>
      </c>
      <c r="AA324" s="1">
        <v>21</v>
      </c>
      <c r="AB324" s="1">
        <v>676000</v>
      </c>
      <c r="AC324" s="1">
        <f t="shared" si="4"/>
        <v>736000</v>
      </c>
    </row>
    <row r="325" spans="1:29" x14ac:dyDescent="0.25">
      <c r="A325" s="1" t="s">
        <v>1506</v>
      </c>
      <c r="B325" s="1" t="s">
        <v>1483</v>
      </c>
      <c r="C325" s="1" t="s">
        <v>1484</v>
      </c>
      <c r="D325" s="1">
        <v>2019</v>
      </c>
      <c r="E325" s="1" t="s">
        <v>45</v>
      </c>
      <c r="F325" s="1">
        <v>2</v>
      </c>
      <c r="G325" s="1" t="s">
        <v>46</v>
      </c>
      <c r="H325" s="1" t="s">
        <v>47</v>
      </c>
      <c r="I325" s="1">
        <v>92000</v>
      </c>
      <c r="J325" s="1">
        <v>77000</v>
      </c>
      <c r="K325" s="1">
        <v>15000</v>
      </c>
      <c r="L325" s="1">
        <v>0</v>
      </c>
      <c r="M325" s="1" t="s">
        <v>5649</v>
      </c>
      <c r="N325" s="1" t="s">
        <v>70</v>
      </c>
      <c r="O325" s="1" t="s">
        <v>188</v>
      </c>
      <c r="P325" s="1" t="s">
        <v>189</v>
      </c>
      <c r="Q325" s="1" t="s">
        <v>38</v>
      </c>
      <c r="R325" s="1" t="s">
        <v>1507</v>
      </c>
      <c r="S325" s="3">
        <v>919687000000</v>
      </c>
      <c r="T325" s="1" t="s">
        <v>51</v>
      </c>
      <c r="U325" s="1">
        <v>83</v>
      </c>
      <c r="V325" s="1">
        <v>80</v>
      </c>
      <c r="W325" s="1" t="s">
        <v>52</v>
      </c>
      <c r="X325" s="1">
        <v>582551</v>
      </c>
      <c r="Y325" s="2">
        <v>37018</v>
      </c>
      <c r="Z325" s="1">
        <v>8.1789737171464303</v>
      </c>
      <c r="AA325" s="1">
        <v>23</v>
      </c>
      <c r="AB325" s="1">
        <v>184000</v>
      </c>
      <c r="AC325" s="1">
        <f t="shared" si="4"/>
        <v>214000</v>
      </c>
    </row>
    <row r="326" spans="1:29" x14ac:dyDescent="0.25">
      <c r="A326" s="1" t="s">
        <v>1528</v>
      </c>
      <c r="B326" s="1" t="s">
        <v>1529</v>
      </c>
      <c r="C326" s="1" t="s">
        <v>1530</v>
      </c>
      <c r="D326" s="1">
        <v>2019</v>
      </c>
      <c r="E326" s="1" t="s">
        <v>45</v>
      </c>
      <c r="F326" s="1">
        <v>2</v>
      </c>
      <c r="G326" s="1" t="s">
        <v>46</v>
      </c>
      <c r="H326" s="1" t="s">
        <v>62</v>
      </c>
      <c r="I326" s="1">
        <v>92000</v>
      </c>
      <c r="J326" s="1">
        <v>77000</v>
      </c>
      <c r="K326" s="1">
        <v>15000</v>
      </c>
      <c r="L326" s="1">
        <v>0</v>
      </c>
      <c r="M326" s="1" t="s">
        <v>5649</v>
      </c>
      <c r="N326" s="1" t="s">
        <v>35</v>
      </c>
      <c r="O326" s="1" t="s">
        <v>71</v>
      </c>
      <c r="P326" s="1" t="s">
        <v>72</v>
      </c>
      <c r="Q326" s="1" t="s">
        <v>38</v>
      </c>
      <c r="R326" s="1" t="s">
        <v>1531</v>
      </c>
      <c r="S326" s="3">
        <v>918177000000</v>
      </c>
      <c r="T326" s="1" t="s">
        <v>51</v>
      </c>
      <c r="U326" s="1">
        <v>83</v>
      </c>
      <c r="V326" s="1">
        <v>85</v>
      </c>
      <c r="W326" s="1" t="s">
        <v>41</v>
      </c>
      <c r="X326" s="1">
        <v>110928</v>
      </c>
      <c r="Y326" s="2">
        <v>36078</v>
      </c>
      <c r="Z326" s="1">
        <v>8.1789737171464303</v>
      </c>
      <c r="AA326" s="1">
        <v>25</v>
      </c>
      <c r="AB326" s="1">
        <v>184000</v>
      </c>
      <c r="AC326" s="1">
        <f t="shared" ref="AC326:AC389" si="5">IF(F326 = 2, AB326+30000,AB326+60000)</f>
        <v>214000</v>
      </c>
    </row>
    <row r="327" spans="1:29" x14ac:dyDescent="0.25">
      <c r="A327" s="1" t="s">
        <v>1534</v>
      </c>
      <c r="B327" s="1" t="s">
        <v>1535</v>
      </c>
      <c r="C327" s="1" t="s">
        <v>1536</v>
      </c>
      <c r="D327" s="1">
        <v>2019</v>
      </c>
      <c r="E327" s="1" t="s">
        <v>31</v>
      </c>
      <c r="F327" s="1">
        <v>4</v>
      </c>
      <c r="G327" s="1" t="s">
        <v>32</v>
      </c>
      <c r="H327" s="1" t="s">
        <v>151</v>
      </c>
      <c r="I327" s="1">
        <v>169000</v>
      </c>
      <c r="J327" s="1">
        <v>154000</v>
      </c>
      <c r="K327" s="1">
        <v>15000</v>
      </c>
      <c r="L327" s="1">
        <v>0</v>
      </c>
      <c r="M327" s="1" t="s">
        <v>5649</v>
      </c>
      <c r="N327" s="1" t="s">
        <v>35</v>
      </c>
      <c r="O327" s="1" t="s">
        <v>84</v>
      </c>
      <c r="P327" s="1" t="s">
        <v>65</v>
      </c>
      <c r="Q327" s="1" t="s">
        <v>38</v>
      </c>
      <c r="R327" s="1" t="s">
        <v>1537</v>
      </c>
      <c r="S327" s="3">
        <v>917211000000</v>
      </c>
      <c r="T327" s="1" t="s">
        <v>40</v>
      </c>
      <c r="U327" s="1">
        <v>83</v>
      </c>
      <c r="V327" s="1">
        <v>86</v>
      </c>
      <c r="W327" s="1" t="s">
        <v>52</v>
      </c>
      <c r="X327" s="1">
        <v>524793</v>
      </c>
      <c r="Y327" s="2">
        <v>37467</v>
      </c>
      <c r="Z327" s="1">
        <v>8.1789737171464303</v>
      </c>
      <c r="AA327" s="1">
        <v>21</v>
      </c>
      <c r="AB327" s="1">
        <v>676000</v>
      </c>
      <c r="AC327" s="1">
        <f t="shared" si="5"/>
        <v>736000</v>
      </c>
    </row>
    <row r="328" spans="1:29" x14ac:dyDescent="0.25">
      <c r="A328" s="1" t="s">
        <v>1566</v>
      </c>
      <c r="B328" s="1" t="s">
        <v>1567</v>
      </c>
      <c r="C328" s="1" t="s">
        <v>1568</v>
      </c>
      <c r="D328" s="1">
        <v>2019</v>
      </c>
      <c r="E328" s="1" t="s">
        <v>31</v>
      </c>
      <c r="F328" s="1">
        <v>4</v>
      </c>
      <c r="G328" s="1" t="s">
        <v>32</v>
      </c>
      <c r="H328" s="1" t="s">
        <v>113</v>
      </c>
      <c r="I328" s="1">
        <v>169000</v>
      </c>
      <c r="J328" s="1">
        <v>154000</v>
      </c>
      <c r="K328" s="1">
        <v>15000</v>
      </c>
      <c r="L328" s="1">
        <v>0</v>
      </c>
      <c r="M328" s="1" t="s">
        <v>34</v>
      </c>
      <c r="N328" s="1" t="s">
        <v>35</v>
      </c>
      <c r="O328" s="1" t="s">
        <v>36</v>
      </c>
      <c r="P328" s="1" t="s">
        <v>37</v>
      </c>
      <c r="Q328" s="1" t="s">
        <v>38</v>
      </c>
      <c r="R328" s="1" t="s">
        <v>1569</v>
      </c>
      <c r="S328" s="3">
        <v>919985000000</v>
      </c>
      <c r="T328" s="1" t="s">
        <v>40</v>
      </c>
      <c r="U328" s="1">
        <v>83</v>
      </c>
      <c r="V328" s="1">
        <v>68</v>
      </c>
      <c r="W328" s="1" t="s">
        <v>41</v>
      </c>
      <c r="X328" s="1">
        <v>294106</v>
      </c>
      <c r="Y328" s="2">
        <v>37319</v>
      </c>
      <c r="Z328" s="1">
        <v>8.1789737171464303</v>
      </c>
      <c r="AA328" s="1">
        <v>22</v>
      </c>
      <c r="AB328" s="1">
        <v>676000</v>
      </c>
      <c r="AC328" s="1">
        <f t="shared" si="5"/>
        <v>736000</v>
      </c>
    </row>
    <row r="329" spans="1:29" x14ac:dyDescent="0.25">
      <c r="A329" s="1" t="s">
        <v>1612</v>
      </c>
      <c r="B329" s="1" t="s">
        <v>1613</v>
      </c>
      <c r="C329" s="1" t="s">
        <v>1614</v>
      </c>
      <c r="D329" s="1">
        <v>2019</v>
      </c>
      <c r="E329" s="1" t="s">
        <v>31</v>
      </c>
      <c r="F329" s="1">
        <v>4</v>
      </c>
      <c r="G329" s="1" t="s">
        <v>32</v>
      </c>
      <c r="H329" s="1" t="s">
        <v>151</v>
      </c>
      <c r="I329" s="1">
        <v>169000</v>
      </c>
      <c r="J329" s="1">
        <v>154000</v>
      </c>
      <c r="K329" s="1">
        <v>15000</v>
      </c>
      <c r="L329" s="1">
        <v>0</v>
      </c>
      <c r="M329" s="1" t="s">
        <v>34</v>
      </c>
      <c r="N329" s="1" t="s">
        <v>63</v>
      </c>
      <c r="O329" s="1" t="s">
        <v>91</v>
      </c>
      <c r="P329" s="1" t="s">
        <v>92</v>
      </c>
      <c r="Q329" s="1" t="s">
        <v>38</v>
      </c>
      <c r="R329" s="1" t="s">
        <v>1615</v>
      </c>
      <c r="S329" s="3">
        <v>917252000000</v>
      </c>
      <c r="T329" s="1" t="s">
        <v>51</v>
      </c>
      <c r="U329" s="1">
        <v>82</v>
      </c>
      <c r="V329" s="1">
        <v>64</v>
      </c>
      <c r="W329" s="1" t="s">
        <v>41</v>
      </c>
      <c r="X329" s="1">
        <v>246626</v>
      </c>
      <c r="Y329" s="2">
        <v>37244</v>
      </c>
      <c r="Z329" s="1">
        <v>7.1789737171464303</v>
      </c>
      <c r="AA329" s="1">
        <v>22</v>
      </c>
      <c r="AB329" s="1">
        <v>676000</v>
      </c>
      <c r="AC329" s="1">
        <f t="shared" si="5"/>
        <v>736000</v>
      </c>
    </row>
    <row r="330" spans="1:29" x14ac:dyDescent="0.25">
      <c r="A330" s="1" t="s">
        <v>1616</v>
      </c>
      <c r="B330" s="1" t="s">
        <v>1617</v>
      </c>
      <c r="C330" s="1" t="s">
        <v>1618</v>
      </c>
      <c r="D330" s="1">
        <v>2019</v>
      </c>
      <c r="E330" s="1" t="s">
        <v>31</v>
      </c>
      <c r="F330" s="1">
        <v>4</v>
      </c>
      <c r="G330" s="1" t="s">
        <v>32</v>
      </c>
      <c r="H330" s="1" t="s">
        <v>102</v>
      </c>
      <c r="I330" s="1">
        <v>169000</v>
      </c>
      <c r="J330" s="1">
        <v>154000</v>
      </c>
      <c r="K330" s="1">
        <v>15000</v>
      </c>
      <c r="L330" s="1">
        <v>0</v>
      </c>
      <c r="M330" s="1" t="s">
        <v>34</v>
      </c>
      <c r="N330" s="1" t="s">
        <v>70</v>
      </c>
      <c r="O330" s="1" t="s">
        <v>91</v>
      </c>
      <c r="P330" s="1" t="s">
        <v>92</v>
      </c>
      <c r="Q330" s="1" t="s">
        <v>38</v>
      </c>
      <c r="R330" s="1" t="s">
        <v>1619</v>
      </c>
      <c r="S330" s="3">
        <v>917907000000</v>
      </c>
      <c r="T330" s="1" t="s">
        <v>51</v>
      </c>
      <c r="U330" s="1">
        <v>82</v>
      </c>
      <c r="V330" s="1">
        <v>69</v>
      </c>
      <c r="W330" s="1" t="s">
        <v>41</v>
      </c>
      <c r="X330" s="1">
        <v>736183</v>
      </c>
      <c r="Y330" s="2">
        <v>38877</v>
      </c>
      <c r="Z330" s="1">
        <v>7.1789737171464303</v>
      </c>
      <c r="AA330" s="1">
        <v>18</v>
      </c>
      <c r="AB330" s="1">
        <v>676000</v>
      </c>
      <c r="AC330" s="1">
        <f t="shared" si="5"/>
        <v>736000</v>
      </c>
    </row>
    <row r="331" spans="1:29" x14ac:dyDescent="0.25">
      <c r="A331" s="1" t="s">
        <v>1654</v>
      </c>
      <c r="B331" s="1" t="s">
        <v>1655</v>
      </c>
      <c r="C331" s="1" t="s">
        <v>1656</v>
      </c>
      <c r="D331" s="1">
        <v>2019</v>
      </c>
      <c r="E331" s="1" t="s">
        <v>31</v>
      </c>
      <c r="F331" s="1">
        <v>4</v>
      </c>
      <c r="G331" s="1" t="s">
        <v>32</v>
      </c>
      <c r="H331" s="1" t="s">
        <v>56</v>
      </c>
      <c r="I331" s="1">
        <v>169000</v>
      </c>
      <c r="J331" s="1">
        <v>154000</v>
      </c>
      <c r="K331" s="1">
        <v>15000</v>
      </c>
      <c r="L331" s="1">
        <v>0</v>
      </c>
      <c r="M331" s="1" t="s">
        <v>34</v>
      </c>
      <c r="N331" s="1" t="s">
        <v>35</v>
      </c>
      <c r="O331" s="1" t="s">
        <v>103</v>
      </c>
      <c r="P331" s="1" t="s">
        <v>104</v>
      </c>
      <c r="Q331" s="1" t="s">
        <v>38</v>
      </c>
      <c r="R331" s="1" t="s">
        <v>1657</v>
      </c>
      <c r="S331" s="3">
        <v>918400000000</v>
      </c>
      <c r="T331" s="1" t="s">
        <v>74</v>
      </c>
      <c r="U331" s="1">
        <v>82</v>
      </c>
      <c r="V331" s="1">
        <v>86</v>
      </c>
      <c r="W331" s="1" t="s">
        <v>41</v>
      </c>
      <c r="X331" s="1">
        <v>462513</v>
      </c>
      <c r="Y331" s="2">
        <v>38056</v>
      </c>
      <c r="Z331" s="1">
        <v>7.1789737171464303</v>
      </c>
      <c r="AA331" s="1">
        <v>20</v>
      </c>
      <c r="AB331" s="1">
        <v>676000</v>
      </c>
      <c r="AC331" s="1">
        <f t="shared" si="5"/>
        <v>736000</v>
      </c>
    </row>
    <row r="332" spans="1:29" x14ac:dyDescent="0.25">
      <c r="A332" s="1" t="s">
        <v>1684</v>
      </c>
      <c r="B332" s="1" t="s">
        <v>1685</v>
      </c>
      <c r="C332" s="1" t="s">
        <v>1686</v>
      </c>
      <c r="D332" s="1">
        <v>2019</v>
      </c>
      <c r="E332" s="1" t="s">
        <v>45</v>
      </c>
      <c r="F332" s="1">
        <v>2</v>
      </c>
      <c r="G332" s="1" t="s">
        <v>46</v>
      </c>
      <c r="H332" s="1" t="s">
        <v>62</v>
      </c>
      <c r="I332" s="1">
        <v>92000</v>
      </c>
      <c r="J332" s="1">
        <v>77000</v>
      </c>
      <c r="K332" s="1">
        <v>15000</v>
      </c>
      <c r="L332" s="1">
        <v>0</v>
      </c>
      <c r="M332" s="1" t="s">
        <v>34</v>
      </c>
      <c r="N332" s="1" t="s">
        <v>70</v>
      </c>
      <c r="O332" s="1" t="s">
        <v>57</v>
      </c>
      <c r="P332" s="1" t="s">
        <v>57</v>
      </c>
      <c r="Q332" s="1" t="s">
        <v>38</v>
      </c>
      <c r="R332" s="1" t="s">
        <v>1687</v>
      </c>
      <c r="S332" s="3">
        <v>917654000000</v>
      </c>
      <c r="T332" s="1" t="s">
        <v>86</v>
      </c>
      <c r="U332" s="1">
        <v>82</v>
      </c>
      <c r="V332" s="1">
        <v>70</v>
      </c>
      <c r="W332" s="1" t="s">
        <v>41</v>
      </c>
      <c r="X332" s="1">
        <v>765925</v>
      </c>
      <c r="Y332" s="2">
        <v>36805</v>
      </c>
      <c r="Z332" s="1">
        <v>7.1789737171464303</v>
      </c>
      <c r="AA332" s="1">
        <v>23</v>
      </c>
      <c r="AB332" s="1">
        <v>184000</v>
      </c>
      <c r="AC332" s="1">
        <f t="shared" si="5"/>
        <v>214000</v>
      </c>
    </row>
    <row r="333" spans="1:29" x14ac:dyDescent="0.25">
      <c r="A333" s="1" t="s">
        <v>1720</v>
      </c>
      <c r="B333" s="1" t="s">
        <v>1721</v>
      </c>
      <c r="C333" s="1" t="s">
        <v>1722</v>
      </c>
      <c r="D333" s="1">
        <v>2019</v>
      </c>
      <c r="E333" s="1" t="s">
        <v>45</v>
      </c>
      <c r="F333" s="1">
        <v>2</v>
      </c>
      <c r="G333" s="1" t="s">
        <v>46</v>
      </c>
      <c r="H333" s="1" t="s">
        <v>62</v>
      </c>
      <c r="I333" s="1">
        <v>92000</v>
      </c>
      <c r="J333" s="1">
        <v>77000</v>
      </c>
      <c r="K333" s="1">
        <v>15000</v>
      </c>
      <c r="L333" s="1">
        <v>0</v>
      </c>
      <c r="M333" s="1" t="s">
        <v>34</v>
      </c>
      <c r="N333" s="1" t="s">
        <v>70</v>
      </c>
      <c r="O333" s="1" t="s">
        <v>48</v>
      </c>
      <c r="P333" s="1" t="s">
        <v>49</v>
      </c>
      <c r="Q333" s="1" t="s">
        <v>38</v>
      </c>
      <c r="R333" s="1" t="s">
        <v>1723</v>
      </c>
      <c r="S333" s="3">
        <v>918141000000</v>
      </c>
      <c r="T333" s="1" t="s">
        <v>98</v>
      </c>
      <c r="U333" s="1">
        <v>82</v>
      </c>
      <c r="V333" s="1">
        <v>81</v>
      </c>
      <c r="W333" s="1" t="s">
        <v>52</v>
      </c>
      <c r="X333" s="1">
        <v>583146</v>
      </c>
      <c r="Y333" s="2">
        <v>36174</v>
      </c>
      <c r="Z333" s="1">
        <v>7.1789737171464303</v>
      </c>
      <c r="AA333" s="1">
        <v>25</v>
      </c>
      <c r="AB333" s="1">
        <v>184000</v>
      </c>
      <c r="AC333" s="1">
        <f t="shared" si="5"/>
        <v>214000</v>
      </c>
    </row>
    <row r="334" spans="1:29" x14ac:dyDescent="0.25">
      <c r="A334" s="1" t="s">
        <v>1732</v>
      </c>
      <c r="B334" s="1" t="s">
        <v>1733</v>
      </c>
      <c r="C334" s="1" t="s">
        <v>1734</v>
      </c>
      <c r="D334" s="1">
        <v>2019</v>
      </c>
      <c r="E334" s="1" t="s">
        <v>31</v>
      </c>
      <c r="F334" s="1">
        <v>4</v>
      </c>
      <c r="G334" s="1" t="s">
        <v>32</v>
      </c>
      <c r="H334" s="1" t="s">
        <v>122</v>
      </c>
      <c r="I334" s="1">
        <v>169000</v>
      </c>
      <c r="J334" s="1">
        <v>154000</v>
      </c>
      <c r="K334" s="1">
        <v>15000</v>
      </c>
      <c r="L334" s="1">
        <v>0</v>
      </c>
      <c r="M334" s="1" t="s">
        <v>34</v>
      </c>
      <c r="N334" s="1" t="s">
        <v>35</v>
      </c>
      <c r="O334" s="1" t="s">
        <v>36</v>
      </c>
      <c r="P334" s="1" t="s">
        <v>37</v>
      </c>
      <c r="Q334" s="1" t="s">
        <v>38</v>
      </c>
      <c r="R334" s="1" t="s">
        <v>1735</v>
      </c>
      <c r="S334" s="3">
        <v>918067000000</v>
      </c>
      <c r="T334" s="1" t="s">
        <v>86</v>
      </c>
      <c r="U334" s="1">
        <v>82</v>
      </c>
      <c r="V334" s="1">
        <v>73</v>
      </c>
      <c r="W334" s="1" t="s">
        <v>52</v>
      </c>
      <c r="X334" s="1">
        <v>563080</v>
      </c>
      <c r="Y334" s="2">
        <v>37596</v>
      </c>
      <c r="Z334" s="1">
        <v>7.1789737171464303</v>
      </c>
      <c r="AA334" s="1">
        <v>21</v>
      </c>
      <c r="AB334" s="1">
        <v>676000</v>
      </c>
      <c r="AC334" s="1">
        <f t="shared" si="5"/>
        <v>736000</v>
      </c>
    </row>
    <row r="335" spans="1:29" x14ac:dyDescent="0.25">
      <c r="A335" s="1" t="s">
        <v>1744</v>
      </c>
      <c r="B335" s="1" t="s">
        <v>1745</v>
      </c>
      <c r="C335" s="1" t="s">
        <v>1746</v>
      </c>
      <c r="D335" s="1">
        <v>2019</v>
      </c>
      <c r="E335" s="1" t="s">
        <v>31</v>
      </c>
      <c r="F335" s="1">
        <v>4</v>
      </c>
      <c r="G335" s="1" t="s">
        <v>32</v>
      </c>
      <c r="H335" s="1" t="s">
        <v>122</v>
      </c>
      <c r="I335" s="1">
        <v>169000</v>
      </c>
      <c r="J335" s="1">
        <v>154000</v>
      </c>
      <c r="K335" s="1">
        <v>15000</v>
      </c>
      <c r="L335" s="1">
        <v>0</v>
      </c>
      <c r="M335" s="1" t="s">
        <v>34</v>
      </c>
      <c r="N335" s="1" t="s">
        <v>63</v>
      </c>
      <c r="O335" s="1" t="s">
        <v>36</v>
      </c>
      <c r="P335" s="1" t="s">
        <v>37</v>
      </c>
      <c r="Q335" s="1" t="s">
        <v>38</v>
      </c>
      <c r="R335" s="1" t="s">
        <v>1747</v>
      </c>
      <c r="S335" s="3">
        <v>917881000000</v>
      </c>
      <c r="T335" s="1" t="s">
        <v>86</v>
      </c>
      <c r="U335" s="1">
        <v>82</v>
      </c>
      <c r="V335" s="1">
        <v>60</v>
      </c>
      <c r="W335" s="1" t="s">
        <v>41</v>
      </c>
      <c r="X335" s="1">
        <v>155991</v>
      </c>
      <c r="Y335" s="2">
        <v>37381</v>
      </c>
      <c r="Z335" s="1">
        <v>7.1789737171464303</v>
      </c>
      <c r="AA335" s="1">
        <v>22</v>
      </c>
      <c r="AB335" s="1">
        <v>676000</v>
      </c>
      <c r="AC335" s="1">
        <f t="shared" si="5"/>
        <v>736000</v>
      </c>
    </row>
    <row r="336" spans="1:29" x14ac:dyDescent="0.25">
      <c r="A336" s="1" t="s">
        <v>1750</v>
      </c>
      <c r="B336" s="1" t="s">
        <v>1751</v>
      </c>
      <c r="C336" s="1" t="s">
        <v>1752</v>
      </c>
      <c r="D336" s="1">
        <v>2019</v>
      </c>
      <c r="E336" s="1" t="s">
        <v>31</v>
      </c>
      <c r="F336" s="1">
        <v>4</v>
      </c>
      <c r="G336" s="1" t="s">
        <v>32</v>
      </c>
      <c r="H336" s="1" t="s">
        <v>47</v>
      </c>
      <c r="I336" s="1">
        <v>169000</v>
      </c>
      <c r="J336" s="1">
        <v>154000</v>
      </c>
      <c r="K336" s="1">
        <v>15000</v>
      </c>
      <c r="L336" s="1">
        <v>0</v>
      </c>
      <c r="M336" s="1" t="s">
        <v>34</v>
      </c>
      <c r="N336" s="1" t="s">
        <v>63</v>
      </c>
      <c r="O336" s="1" t="s">
        <v>71</v>
      </c>
      <c r="P336" s="1" t="s">
        <v>72</v>
      </c>
      <c r="Q336" s="1" t="s">
        <v>38</v>
      </c>
      <c r="R336" s="1" t="s">
        <v>1753</v>
      </c>
      <c r="S336" s="3">
        <v>919749000000</v>
      </c>
      <c r="T336" s="1" t="s">
        <v>51</v>
      </c>
      <c r="U336" s="1">
        <v>82</v>
      </c>
      <c r="V336" s="1">
        <v>75</v>
      </c>
      <c r="W336" s="1" t="s">
        <v>41</v>
      </c>
      <c r="X336" s="1">
        <v>172681</v>
      </c>
      <c r="Y336" s="2">
        <v>38619</v>
      </c>
      <c r="Z336" s="1">
        <v>7.1789737171464303</v>
      </c>
      <c r="AA336" s="1">
        <v>18</v>
      </c>
      <c r="AB336" s="1">
        <v>676000</v>
      </c>
      <c r="AC336" s="1">
        <f t="shared" si="5"/>
        <v>736000</v>
      </c>
    </row>
    <row r="337" spans="1:29" x14ac:dyDescent="0.25">
      <c r="A337" s="1" t="s">
        <v>1802</v>
      </c>
      <c r="B337" s="1" t="s">
        <v>991</v>
      </c>
      <c r="C337" s="1" t="s">
        <v>992</v>
      </c>
      <c r="D337" s="1">
        <v>2019</v>
      </c>
      <c r="E337" s="1" t="s">
        <v>31</v>
      </c>
      <c r="F337" s="1">
        <v>4</v>
      </c>
      <c r="G337" s="1" t="s">
        <v>32</v>
      </c>
      <c r="H337" s="1" t="s">
        <v>90</v>
      </c>
      <c r="I337" s="1">
        <v>169000</v>
      </c>
      <c r="J337" s="1">
        <v>154000</v>
      </c>
      <c r="K337" s="1">
        <v>15000</v>
      </c>
      <c r="L337" s="1">
        <v>0</v>
      </c>
      <c r="M337" s="1" t="s">
        <v>34</v>
      </c>
      <c r="N337" s="1" t="s">
        <v>70</v>
      </c>
      <c r="O337" s="1" t="s">
        <v>36</v>
      </c>
      <c r="P337" s="1" t="s">
        <v>37</v>
      </c>
      <c r="Q337" s="1" t="s">
        <v>38</v>
      </c>
      <c r="R337" s="1" t="s">
        <v>1803</v>
      </c>
      <c r="S337" s="3">
        <v>918355000000</v>
      </c>
      <c r="T337" s="1" t="s">
        <v>40</v>
      </c>
      <c r="U337" s="1">
        <v>81</v>
      </c>
      <c r="V337" s="1">
        <v>87</v>
      </c>
      <c r="W337" s="1" t="s">
        <v>41</v>
      </c>
      <c r="X337" s="1">
        <v>794083</v>
      </c>
      <c r="Y337" s="2">
        <v>38533</v>
      </c>
      <c r="Z337" s="1">
        <v>6.1789737171464303</v>
      </c>
      <c r="AA337" s="1">
        <v>19</v>
      </c>
      <c r="AB337" s="1">
        <v>676000</v>
      </c>
      <c r="AC337" s="1">
        <f t="shared" si="5"/>
        <v>736000</v>
      </c>
    </row>
    <row r="338" spans="1:29" x14ac:dyDescent="0.25">
      <c r="A338" s="1" t="s">
        <v>1901</v>
      </c>
      <c r="B338" s="1" t="s">
        <v>1902</v>
      </c>
      <c r="C338" s="1" t="s">
        <v>1903</v>
      </c>
      <c r="D338" s="1">
        <v>2019</v>
      </c>
      <c r="E338" s="1" t="s">
        <v>45</v>
      </c>
      <c r="F338" s="1">
        <v>2</v>
      </c>
      <c r="G338" s="1" t="s">
        <v>46</v>
      </c>
      <c r="H338" s="1" t="s">
        <v>33</v>
      </c>
      <c r="I338" s="1">
        <v>92000</v>
      </c>
      <c r="J338" s="1">
        <v>77000</v>
      </c>
      <c r="K338" s="1">
        <v>15000</v>
      </c>
      <c r="L338" s="1">
        <v>0</v>
      </c>
      <c r="M338" s="1" t="s">
        <v>34</v>
      </c>
      <c r="N338" s="1" t="s">
        <v>70</v>
      </c>
      <c r="O338" s="1" t="s">
        <v>103</v>
      </c>
      <c r="P338" s="1" t="s">
        <v>104</v>
      </c>
      <c r="Q338" s="1" t="s">
        <v>38</v>
      </c>
      <c r="R338" s="1" t="s">
        <v>1904</v>
      </c>
      <c r="S338" s="3">
        <v>917828000000</v>
      </c>
      <c r="T338" s="1" t="s">
        <v>86</v>
      </c>
      <c r="U338" s="1">
        <v>81</v>
      </c>
      <c r="V338" s="1">
        <v>67</v>
      </c>
      <c r="W338" s="1" t="s">
        <v>52</v>
      </c>
      <c r="X338" s="1">
        <v>615304</v>
      </c>
      <c r="Y338" s="2">
        <v>35402</v>
      </c>
      <c r="Z338" s="1">
        <v>6.1789737171464303</v>
      </c>
      <c r="AA338" s="1">
        <v>27</v>
      </c>
      <c r="AB338" s="1">
        <v>184000</v>
      </c>
      <c r="AC338" s="1">
        <f t="shared" si="5"/>
        <v>214000</v>
      </c>
    </row>
    <row r="339" spans="1:29" x14ac:dyDescent="0.25">
      <c r="A339" s="1" t="s">
        <v>1905</v>
      </c>
      <c r="B339" s="1" t="s">
        <v>1906</v>
      </c>
      <c r="C339" s="1" t="s">
        <v>1907</v>
      </c>
      <c r="D339" s="1">
        <v>2019</v>
      </c>
      <c r="E339" s="1" t="s">
        <v>31</v>
      </c>
      <c r="F339" s="1">
        <v>4</v>
      </c>
      <c r="G339" s="1" t="s">
        <v>32</v>
      </c>
      <c r="H339" s="1" t="s">
        <v>47</v>
      </c>
      <c r="I339" s="1">
        <v>169000</v>
      </c>
      <c r="J339" s="1">
        <v>154000</v>
      </c>
      <c r="K339" s="1">
        <v>15000</v>
      </c>
      <c r="L339" s="1">
        <v>0</v>
      </c>
      <c r="M339" s="1" t="s">
        <v>34</v>
      </c>
      <c r="N339" s="1" t="s">
        <v>35</v>
      </c>
      <c r="O339" s="1" t="s">
        <v>64</v>
      </c>
      <c r="P339" s="1" t="s">
        <v>65</v>
      </c>
      <c r="Q339" s="1" t="s">
        <v>38</v>
      </c>
      <c r="R339" s="1" t="s">
        <v>1908</v>
      </c>
      <c r="S339" s="3">
        <v>917701000000</v>
      </c>
      <c r="T339" s="1" t="s">
        <v>51</v>
      </c>
      <c r="U339" s="1">
        <v>81</v>
      </c>
      <c r="V339" s="1">
        <v>87</v>
      </c>
      <c r="W339" s="1" t="s">
        <v>52</v>
      </c>
      <c r="X339" s="1">
        <v>339825</v>
      </c>
      <c r="Y339" s="2">
        <v>38288</v>
      </c>
      <c r="Z339" s="1">
        <v>6.1789737171464303</v>
      </c>
      <c r="AA339" s="1">
        <v>19</v>
      </c>
      <c r="AB339" s="1">
        <v>676000</v>
      </c>
      <c r="AC339" s="1">
        <f t="shared" si="5"/>
        <v>736000</v>
      </c>
    </row>
    <row r="340" spans="1:29" x14ac:dyDescent="0.25">
      <c r="A340" s="1" t="s">
        <v>1913</v>
      </c>
      <c r="B340" s="1" t="s">
        <v>1914</v>
      </c>
      <c r="C340" s="1" t="s">
        <v>1915</v>
      </c>
      <c r="D340" s="1">
        <v>2019</v>
      </c>
      <c r="E340" s="1" t="s">
        <v>31</v>
      </c>
      <c r="F340" s="1">
        <v>4</v>
      </c>
      <c r="G340" s="1" t="s">
        <v>32</v>
      </c>
      <c r="H340" s="1" t="s">
        <v>113</v>
      </c>
      <c r="I340" s="1">
        <v>169000</v>
      </c>
      <c r="J340" s="1">
        <v>154000</v>
      </c>
      <c r="K340" s="1">
        <v>15000</v>
      </c>
      <c r="L340" s="1">
        <v>0</v>
      </c>
      <c r="M340" s="1" t="s">
        <v>34</v>
      </c>
      <c r="N340" s="1" t="s">
        <v>63</v>
      </c>
      <c r="O340" s="1" t="s">
        <v>103</v>
      </c>
      <c r="P340" s="1" t="s">
        <v>104</v>
      </c>
      <c r="Q340" s="1" t="s">
        <v>38</v>
      </c>
      <c r="R340" s="1" t="s">
        <v>1916</v>
      </c>
      <c r="S340" s="3">
        <v>918730000000</v>
      </c>
      <c r="T340" s="1" t="s">
        <v>51</v>
      </c>
      <c r="U340" s="1">
        <v>81</v>
      </c>
      <c r="V340" s="1">
        <v>60</v>
      </c>
      <c r="W340" s="1" t="s">
        <v>52</v>
      </c>
      <c r="X340" s="1">
        <v>102036</v>
      </c>
      <c r="Y340" s="2">
        <v>38302</v>
      </c>
      <c r="Z340" s="1">
        <v>6.1789737171464303</v>
      </c>
      <c r="AA340" s="1">
        <v>19</v>
      </c>
      <c r="AB340" s="1">
        <v>676000</v>
      </c>
      <c r="AC340" s="1">
        <f t="shared" si="5"/>
        <v>736000</v>
      </c>
    </row>
    <row r="341" spans="1:29" x14ac:dyDescent="0.25">
      <c r="A341" s="1" t="s">
        <v>1917</v>
      </c>
      <c r="B341" s="1" t="s">
        <v>1918</v>
      </c>
      <c r="C341" s="1" t="s">
        <v>1919</v>
      </c>
      <c r="D341" s="1">
        <v>2019</v>
      </c>
      <c r="E341" s="1" t="s">
        <v>31</v>
      </c>
      <c r="F341" s="1">
        <v>4</v>
      </c>
      <c r="G341" s="1" t="s">
        <v>32</v>
      </c>
      <c r="H341" s="1" t="s">
        <v>122</v>
      </c>
      <c r="I341" s="1">
        <v>169000</v>
      </c>
      <c r="J341" s="1">
        <v>154000</v>
      </c>
      <c r="K341" s="1">
        <v>15000</v>
      </c>
      <c r="L341" s="1">
        <v>0</v>
      </c>
      <c r="M341" s="1" t="s">
        <v>34</v>
      </c>
      <c r="N341" s="1" t="s">
        <v>70</v>
      </c>
      <c r="O341" s="1" t="s">
        <v>103</v>
      </c>
      <c r="P341" s="1" t="s">
        <v>104</v>
      </c>
      <c r="Q341" s="1" t="s">
        <v>38</v>
      </c>
      <c r="R341" s="1" t="s">
        <v>1920</v>
      </c>
      <c r="S341" s="3">
        <v>919473000000</v>
      </c>
      <c r="T341" s="1" t="s">
        <v>74</v>
      </c>
      <c r="U341" s="1">
        <v>81</v>
      </c>
      <c r="V341" s="1">
        <v>91</v>
      </c>
      <c r="W341" s="1" t="s">
        <v>41</v>
      </c>
      <c r="X341" s="1">
        <v>393998</v>
      </c>
      <c r="Y341" s="2">
        <v>37231</v>
      </c>
      <c r="Z341" s="1">
        <v>6.1789737171464303</v>
      </c>
      <c r="AA341" s="1">
        <v>22</v>
      </c>
      <c r="AB341" s="1">
        <v>676000</v>
      </c>
      <c r="AC341" s="1">
        <f t="shared" si="5"/>
        <v>736000</v>
      </c>
    </row>
    <row r="342" spans="1:29" x14ac:dyDescent="0.25">
      <c r="A342" s="1" t="s">
        <v>1941</v>
      </c>
      <c r="B342" s="1" t="s">
        <v>1942</v>
      </c>
      <c r="C342" s="1" t="s">
        <v>1943</v>
      </c>
      <c r="D342" s="1">
        <v>2019</v>
      </c>
      <c r="E342" s="1" t="s">
        <v>45</v>
      </c>
      <c r="F342" s="1">
        <v>2</v>
      </c>
      <c r="G342" s="1" t="s">
        <v>46</v>
      </c>
      <c r="H342" s="1" t="s">
        <v>62</v>
      </c>
      <c r="I342" s="1">
        <v>92000</v>
      </c>
      <c r="J342" s="1">
        <v>77000</v>
      </c>
      <c r="K342" s="1">
        <v>15000</v>
      </c>
      <c r="L342" s="1">
        <v>0</v>
      </c>
      <c r="M342" s="1" t="s">
        <v>34</v>
      </c>
      <c r="N342" s="1" t="s">
        <v>63</v>
      </c>
      <c r="O342" s="1" t="s">
        <v>188</v>
      </c>
      <c r="P342" s="1" t="s">
        <v>189</v>
      </c>
      <c r="Q342" s="1" t="s">
        <v>38</v>
      </c>
      <c r="R342" s="1" t="s">
        <v>1944</v>
      </c>
      <c r="S342" s="3">
        <v>919679000000</v>
      </c>
      <c r="T342" s="1" t="s">
        <v>86</v>
      </c>
      <c r="U342" s="1">
        <v>81</v>
      </c>
      <c r="V342" s="1">
        <v>75</v>
      </c>
      <c r="W342" s="1" t="s">
        <v>52</v>
      </c>
      <c r="X342" s="1">
        <v>169674</v>
      </c>
      <c r="Y342" s="2">
        <v>36352</v>
      </c>
      <c r="Z342" s="1">
        <v>6.1789737171464303</v>
      </c>
      <c r="AA342" s="1">
        <v>24</v>
      </c>
      <c r="AB342" s="1">
        <v>184000</v>
      </c>
      <c r="AC342" s="1">
        <f t="shared" si="5"/>
        <v>214000</v>
      </c>
    </row>
    <row r="343" spans="1:29" x14ac:dyDescent="0.25">
      <c r="A343" s="1" t="s">
        <v>2009</v>
      </c>
      <c r="B343" s="1" t="s">
        <v>1287</v>
      </c>
      <c r="C343" s="1" t="s">
        <v>1288</v>
      </c>
      <c r="D343" s="1">
        <v>2019</v>
      </c>
      <c r="E343" s="1" t="s">
        <v>31</v>
      </c>
      <c r="F343" s="1">
        <v>4</v>
      </c>
      <c r="G343" s="1" t="s">
        <v>32</v>
      </c>
      <c r="H343" s="1" t="s">
        <v>210</v>
      </c>
      <c r="I343" s="1">
        <v>169000</v>
      </c>
      <c r="J343" s="1">
        <v>154000</v>
      </c>
      <c r="K343" s="1">
        <v>15000</v>
      </c>
      <c r="L343" s="1">
        <v>0</v>
      </c>
      <c r="M343" s="1" t="s">
        <v>34</v>
      </c>
      <c r="N343" s="1" t="s">
        <v>63</v>
      </c>
      <c r="O343" s="1" t="s">
        <v>103</v>
      </c>
      <c r="P343" s="1" t="s">
        <v>104</v>
      </c>
      <c r="Q343" s="1" t="s">
        <v>38</v>
      </c>
      <c r="R343" s="1" t="s">
        <v>2010</v>
      </c>
      <c r="S343" s="3">
        <v>917784000000</v>
      </c>
      <c r="T343" s="1" t="s">
        <v>40</v>
      </c>
      <c r="U343" s="1">
        <v>80</v>
      </c>
      <c r="V343" s="1">
        <v>86</v>
      </c>
      <c r="W343" s="1" t="s">
        <v>41</v>
      </c>
      <c r="X343" s="1">
        <v>778892</v>
      </c>
      <c r="Y343" s="2">
        <v>37149</v>
      </c>
      <c r="Z343" s="1">
        <v>5.1789737171464303</v>
      </c>
      <c r="AA343" s="1">
        <v>22</v>
      </c>
      <c r="AB343" s="1">
        <v>676000</v>
      </c>
      <c r="AC343" s="1">
        <f t="shared" si="5"/>
        <v>736000</v>
      </c>
    </row>
    <row r="344" spans="1:29" x14ac:dyDescent="0.25">
      <c r="A344" s="1" t="s">
        <v>2017</v>
      </c>
      <c r="B344" s="1" t="s">
        <v>2018</v>
      </c>
      <c r="C344" s="1" t="s">
        <v>2019</v>
      </c>
      <c r="D344" s="1">
        <v>2019</v>
      </c>
      <c r="E344" s="1" t="s">
        <v>31</v>
      </c>
      <c r="F344" s="1">
        <v>4</v>
      </c>
      <c r="G344" s="1" t="s">
        <v>32</v>
      </c>
      <c r="H344" s="1" t="s">
        <v>210</v>
      </c>
      <c r="I344" s="1">
        <v>169000</v>
      </c>
      <c r="J344" s="1">
        <v>154000</v>
      </c>
      <c r="K344" s="1">
        <v>15000</v>
      </c>
      <c r="L344" s="1">
        <v>0</v>
      </c>
      <c r="M344" s="1" t="s">
        <v>34</v>
      </c>
      <c r="N344" s="1" t="s">
        <v>70</v>
      </c>
      <c r="O344" s="1" t="s">
        <v>78</v>
      </c>
      <c r="P344" s="1" t="s">
        <v>79</v>
      </c>
      <c r="Q344" s="1" t="s">
        <v>38</v>
      </c>
      <c r="R344" s="1" t="s">
        <v>2020</v>
      </c>
      <c r="S344" s="3">
        <v>919918000000</v>
      </c>
      <c r="T344" s="1" t="s">
        <v>98</v>
      </c>
      <c r="U344" s="1">
        <v>80</v>
      </c>
      <c r="V344" s="1">
        <v>79</v>
      </c>
      <c r="W344" s="1" t="s">
        <v>41</v>
      </c>
      <c r="X344" s="1">
        <v>287399</v>
      </c>
      <c r="Y344" s="2">
        <v>37734</v>
      </c>
      <c r="Z344" s="1">
        <v>5.1789737171464303</v>
      </c>
      <c r="AA344" s="1">
        <v>21</v>
      </c>
      <c r="AB344" s="1">
        <v>676000</v>
      </c>
      <c r="AC344" s="1">
        <f t="shared" si="5"/>
        <v>736000</v>
      </c>
    </row>
    <row r="345" spans="1:29" x14ac:dyDescent="0.25">
      <c r="A345" s="1" t="s">
        <v>2031</v>
      </c>
      <c r="B345" s="1" t="s">
        <v>2032</v>
      </c>
      <c r="C345" s="1" t="s">
        <v>2033</v>
      </c>
      <c r="D345" s="1">
        <v>2019</v>
      </c>
      <c r="E345" s="1" t="s">
        <v>31</v>
      </c>
      <c r="F345" s="1">
        <v>4</v>
      </c>
      <c r="G345" s="1" t="s">
        <v>32</v>
      </c>
      <c r="H345" s="1" t="s">
        <v>56</v>
      </c>
      <c r="I345" s="1">
        <v>169000</v>
      </c>
      <c r="J345" s="1">
        <v>154000</v>
      </c>
      <c r="K345" s="1">
        <v>15000</v>
      </c>
      <c r="L345" s="1">
        <v>0</v>
      </c>
      <c r="M345" s="1" t="s">
        <v>34</v>
      </c>
      <c r="N345" s="1" t="s">
        <v>70</v>
      </c>
      <c r="O345" s="1" t="s">
        <v>57</v>
      </c>
      <c r="P345" s="1" t="s">
        <v>57</v>
      </c>
      <c r="Q345" s="1" t="s">
        <v>38</v>
      </c>
      <c r="R345" s="1" t="s">
        <v>2034</v>
      </c>
      <c r="S345" s="3">
        <v>918420000000</v>
      </c>
      <c r="T345" s="1" t="s">
        <v>51</v>
      </c>
      <c r="U345" s="1">
        <v>80</v>
      </c>
      <c r="V345" s="1">
        <v>85</v>
      </c>
      <c r="W345" s="1" t="s">
        <v>52</v>
      </c>
      <c r="X345" s="1">
        <v>313586</v>
      </c>
      <c r="Y345" s="2">
        <v>37176</v>
      </c>
      <c r="Z345" s="1">
        <v>5.1789737171464303</v>
      </c>
      <c r="AA345" s="1">
        <v>22</v>
      </c>
      <c r="AB345" s="1">
        <v>676000</v>
      </c>
      <c r="AC345" s="1">
        <f t="shared" si="5"/>
        <v>736000</v>
      </c>
    </row>
    <row r="346" spans="1:29" x14ac:dyDescent="0.25">
      <c r="A346" s="1" t="s">
        <v>2045</v>
      </c>
      <c r="B346" s="1" t="s">
        <v>2046</v>
      </c>
      <c r="C346" s="1" t="s">
        <v>2047</v>
      </c>
      <c r="D346" s="1">
        <v>2019</v>
      </c>
      <c r="E346" s="1" t="s">
        <v>31</v>
      </c>
      <c r="F346" s="1">
        <v>4</v>
      </c>
      <c r="G346" s="1" t="s">
        <v>32</v>
      </c>
      <c r="H346" s="1" t="s">
        <v>56</v>
      </c>
      <c r="I346" s="1">
        <v>169000</v>
      </c>
      <c r="J346" s="1">
        <v>154000</v>
      </c>
      <c r="K346" s="1">
        <v>15000</v>
      </c>
      <c r="L346" s="1">
        <v>0</v>
      </c>
      <c r="M346" s="1" t="s">
        <v>34</v>
      </c>
      <c r="N346" s="1" t="s">
        <v>35</v>
      </c>
      <c r="O346" s="1" t="s">
        <v>71</v>
      </c>
      <c r="P346" s="1" t="s">
        <v>72</v>
      </c>
      <c r="Q346" s="1" t="s">
        <v>38</v>
      </c>
      <c r="R346" s="1" t="s">
        <v>2048</v>
      </c>
      <c r="S346" s="3">
        <v>919238000000</v>
      </c>
      <c r="T346" s="1" t="s">
        <v>98</v>
      </c>
      <c r="U346" s="1">
        <v>80</v>
      </c>
      <c r="V346" s="1">
        <v>71</v>
      </c>
      <c r="W346" s="1" t="s">
        <v>52</v>
      </c>
      <c r="X346" s="1">
        <v>244928</v>
      </c>
      <c r="Y346" s="2">
        <v>38599</v>
      </c>
      <c r="Z346" s="1">
        <v>5.1789737171464303</v>
      </c>
      <c r="AA346" s="1">
        <v>18</v>
      </c>
      <c r="AB346" s="1">
        <v>676000</v>
      </c>
      <c r="AC346" s="1">
        <f t="shared" si="5"/>
        <v>736000</v>
      </c>
    </row>
    <row r="347" spans="1:29" x14ac:dyDescent="0.25">
      <c r="A347" s="1" t="s">
        <v>2087</v>
      </c>
      <c r="B347" s="1" t="s">
        <v>2088</v>
      </c>
      <c r="C347" s="1" t="s">
        <v>2089</v>
      </c>
      <c r="D347" s="1">
        <v>2019</v>
      </c>
      <c r="E347" s="1" t="s">
        <v>31</v>
      </c>
      <c r="F347" s="1">
        <v>4</v>
      </c>
      <c r="G347" s="1" t="s">
        <v>32</v>
      </c>
      <c r="H347" s="1" t="s">
        <v>47</v>
      </c>
      <c r="I347" s="1">
        <v>169000</v>
      </c>
      <c r="J347" s="1">
        <v>154000</v>
      </c>
      <c r="K347" s="1">
        <v>15000</v>
      </c>
      <c r="L347" s="1">
        <v>0</v>
      </c>
      <c r="M347" s="1" t="s">
        <v>34</v>
      </c>
      <c r="N347" s="1" t="s">
        <v>35</v>
      </c>
      <c r="O347" s="1" t="s">
        <v>78</v>
      </c>
      <c r="P347" s="1" t="s">
        <v>79</v>
      </c>
      <c r="Q347" s="1" t="s">
        <v>38</v>
      </c>
      <c r="R347" s="1" t="s">
        <v>2090</v>
      </c>
      <c r="S347" s="3">
        <v>918914000000</v>
      </c>
      <c r="T347" s="1" t="s">
        <v>40</v>
      </c>
      <c r="U347" s="1">
        <v>80</v>
      </c>
      <c r="V347" s="1">
        <v>66</v>
      </c>
      <c r="W347" s="1" t="s">
        <v>52</v>
      </c>
      <c r="X347" s="1">
        <v>682154</v>
      </c>
      <c r="Y347" s="2">
        <v>36954</v>
      </c>
      <c r="Z347" s="1">
        <v>5.1789737171464303</v>
      </c>
      <c r="AA347" s="1">
        <v>23</v>
      </c>
      <c r="AB347" s="1">
        <v>676000</v>
      </c>
      <c r="AC347" s="1">
        <f t="shared" si="5"/>
        <v>736000</v>
      </c>
    </row>
    <row r="348" spans="1:29" x14ac:dyDescent="0.25">
      <c r="A348" s="1" t="s">
        <v>2107</v>
      </c>
      <c r="B348" s="1" t="s">
        <v>2108</v>
      </c>
      <c r="C348" s="1" t="s">
        <v>2109</v>
      </c>
      <c r="D348" s="1">
        <v>2019</v>
      </c>
      <c r="E348" s="1" t="s">
        <v>31</v>
      </c>
      <c r="F348" s="1">
        <v>4</v>
      </c>
      <c r="G348" s="1" t="s">
        <v>32</v>
      </c>
      <c r="H348" s="1" t="s">
        <v>90</v>
      </c>
      <c r="I348" s="1">
        <v>169000</v>
      </c>
      <c r="J348" s="1">
        <v>154000</v>
      </c>
      <c r="K348" s="1">
        <v>15000</v>
      </c>
      <c r="L348" s="1">
        <v>0</v>
      </c>
      <c r="M348" s="1" t="s">
        <v>34</v>
      </c>
      <c r="N348" s="1" t="s">
        <v>35</v>
      </c>
      <c r="O348" s="1" t="s">
        <v>78</v>
      </c>
      <c r="P348" s="1" t="s">
        <v>79</v>
      </c>
      <c r="Q348" s="1" t="s">
        <v>38</v>
      </c>
      <c r="R348" s="1" t="s">
        <v>2110</v>
      </c>
      <c r="S348" s="3">
        <v>919306000000</v>
      </c>
      <c r="T348" s="1" t="s">
        <v>40</v>
      </c>
      <c r="U348" s="1">
        <v>80</v>
      </c>
      <c r="V348" s="1">
        <v>71</v>
      </c>
      <c r="W348" s="1" t="s">
        <v>52</v>
      </c>
      <c r="X348" s="1">
        <v>471396</v>
      </c>
      <c r="Y348" s="2">
        <v>38176</v>
      </c>
      <c r="Z348" s="1">
        <v>5.1789737171464303</v>
      </c>
      <c r="AA348" s="1">
        <v>20</v>
      </c>
      <c r="AB348" s="1">
        <v>676000</v>
      </c>
      <c r="AC348" s="1">
        <f t="shared" si="5"/>
        <v>736000</v>
      </c>
    </row>
    <row r="349" spans="1:29" x14ac:dyDescent="0.25">
      <c r="A349" s="1" t="s">
        <v>2123</v>
      </c>
      <c r="B349" s="1" t="s">
        <v>2124</v>
      </c>
      <c r="C349" s="1" t="s">
        <v>2125</v>
      </c>
      <c r="D349" s="1">
        <v>2019</v>
      </c>
      <c r="E349" s="1" t="s">
        <v>45</v>
      </c>
      <c r="F349" s="1">
        <v>2</v>
      </c>
      <c r="G349" s="1" t="s">
        <v>46</v>
      </c>
      <c r="H349" s="1" t="s">
        <v>102</v>
      </c>
      <c r="I349" s="1">
        <v>92000</v>
      </c>
      <c r="J349" s="1">
        <v>77000</v>
      </c>
      <c r="K349" s="1">
        <v>15000</v>
      </c>
      <c r="L349" s="1">
        <v>0</v>
      </c>
      <c r="M349" s="1" t="s">
        <v>34</v>
      </c>
      <c r="N349" s="1" t="s">
        <v>35</v>
      </c>
      <c r="O349" s="1" t="s">
        <v>91</v>
      </c>
      <c r="P349" s="1" t="s">
        <v>92</v>
      </c>
      <c r="Q349" s="1" t="s">
        <v>38</v>
      </c>
      <c r="R349" s="1" t="s">
        <v>2126</v>
      </c>
      <c r="S349" s="3">
        <v>919645000000</v>
      </c>
      <c r="T349" s="1" t="s">
        <v>51</v>
      </c>
      <c r="U349" s="1">
        <v>80</v>
      </c>
      <c r="V349" s="1">
        <v>90</v>
      </c>
      <c r="W349" s="1" t="s">
        <v>52</v>
      </c>
      <c r="X349" s="1">
        <v>777132</v>
      </c>
      <c r="Y349" s="2">
        <v>37215</v>
      </c>
      <c r="Z349" s="1">
        <v>5.1789737171464303</v>
      </c>
      <c r="AA349" s="1">
        <v>22</v>
      </c>
      <c r="AB349" s="1">
        <v>184000</v>
      </c>
      <c r="AC349" s="1">
        <f t="shared" si="5"/>
        <v>214000</v>
      </c>
    </row>
    <row r="350" spans="1:29" x14ac:dyDescent="0.25">
      <c r="A350" s="1" t="s">
        <v>2169</v>
      </c>
      <c r="B350" s="1" t="s">
        <v>2170</v>
      </c>
      <c r="C350" s="1" t="s">
        <v>2171</v>
      </c>
      <c r="D350" s="1">
        <v>2019</v>
      </c>
      <c r="E350" s="1" t="s">
        <v>45</v>
      </c>
      <c r="F350" s="1">
        <v>2</v>
      </c>
      <c r="G350" s="1" t="s">
        <v>46</v>
      </c>
      <c r="H350" s="1" t="s">
        <v>47</v>
      </c>
      <c r="I350" s="1">
        <v>92000</v>
      </c>
      <c r="J350" s="1">
        <v>77000</v>
      </c>
      <c r="K350" s="1">
        <v>15000</v>
      </c>
      <c r="L350" s="1">
        <v>0</v>
      </c>
      <c r="M350" s="1" t="s">
        <v>34</v>
      </c>
      <c r="N350" s="1" t="s">
        <v>35</v>
      </c>
      <c r="O350" s="1" t="s">
        <v>188</v>
      </c>
      <c r="P350" s="1" t="s">
        <v>189</v>
      </c>
      <c r="Q350" s="1" t="s">
        <v>38</v>
      </c>
      <c r="R350" s="1" t="s">
        <v>2172</v>
      </c>
      <c r="S350" s="3">
        <v>918093000000</v>
      </c>
      <c r="T350" s="1" t="s">
        <v>51</v>
      </c>
      <c r="U350" s="1">
        <v>79</v>
      </c>
      <c r="V350" s="1">
        <v>77</v>
      </c>
      <c r="W350" s="1" t="s">
        <v>41</v>
      </c>
      <c r="X350" s="1">
        <v>101628</v>
      </c>
      <c r="Y350" s="2">
        <v>35270</v>
      </c>
      <c r="Z350" s="1">
        <v>4.1789737171464303</v>
      </c>
      <c r="AA350" s="1">
        <v>27</v>
      </c>
      <c r="AB350" s="1">
        <v>184000</v>
      </c>
      <c r="AC350" s="1">
        <f t="shared" si="5"/>
        <v>214000</v>
      </c>
    </row>
    <row r="351" spans="1:29" x14ac:dyDescent="0.25">
      <c r="A351" s="1" t="s">
        <v>2199</v>
      </c>
      <c r="B351" s="1" t="s">
        <v>2200</v>
      </c>
      <c r="C351" s="1" t="s">
        <v>2201</v>
      </c>
      <c r="D351" s="1">
        <v>2019</v>
      </c>
      <c r="E351" s="1" t="s">
        <v>45</v>
      </c>
      <c r="F351" s="1">
        <v>2</v>
      </c>
      <c r="G351" s="1" t="s">
        <v>46</v>
      </c>
      <c r="H351" s="1" t="s">
        <v>47</v>
      </c>
      <c r="I351" s="1">
        <v>92000</v>
      </c>
      <c r="J351" s="1">
        <v>77000</v>
      </c>
      <c r="K351" s="1">
        <v>15000</v>
      </c>
      <c r="L351" s="1">
        <v>0</v>
      </c>
      <c r="M351" s="1" t="s">
        <v>34</v>
      </c>
      <c r="N351" s="1" t="s">
        <v>70</v>
      </c>
      <c r="O351" s="1" t="s">
        <v>57</v>
      </c>
      <c r="P351" s="1" t="s">
        <v>57</v>
      </c>
      <c r="Q351" s="1" t="s">
        <v>38</v>
      </c>
      <c r="R351" s="1" t="s">
        <v>2202</v>
      </c>
      <c r="S351" s="3">
        <v>917404000000</v>
      </c>
      <c r="T351" s="1" t="s">
        <v>51</v>
      </c>
      <c r="U351" s="1">
        <v>79</v>
      </c>
      <c r="V351" s="1">
        <v>78</v>
      </c>
      <c r="W351" s="1" t="s">
        <v>41</v>
      </c>
      <c r="X351" s="1">
        <v>280873</v>
      </c>
      <c r="Y351" s="2">
        <v>37221</v>
      </c>
      <c r="Z351" s="1">
        <v>4.1789737171464303</v>
      </c>
      <c r="AA351" s="1">
        <v>22</v>
      </c>
      <c r="AB351" s="1">
        <v>184000</v>
      </c>
      <c r="AC351" s="1">
        <f t="shared" si="5"/>
        <v>214000</v>
      </c>
    </row>
    <row r="352" spans="1:29" x14ac:dyDescent="0.25">
      <c r="A352" s="1" t="s">
        <v>2233</v>
      </c>
      <c r="B352" s="1" t="s">
        <v>2234</v>
      </c>
      <c r="C352" s="1" t="s">
        <v>2235</v>
      </c>
      <c r="D352" s="1">
        <v>2019</v>
      </c>
      <c r="E352" s="1" t="s">
        <v>31</v>
      </c>
      <c r="F352" s="1">
        <v>4</v>
      </c>
      <c r="G352" s="1" t="s">
        <v>32</v>
      </c>
      <c r="H352" s="1" t="s">
        <v>102</v>
      </c>
      <c r="I352" s="1">
        <v>169000</v>
      </c>
      <c r="J352" s="1">
        <v>154000</v>
      </c>
      <c r="K352" s="1">
        <v>15000</v>
      </c>
      <c r="L352" s="1">
        <v>0</v>
      </c>
      <c r="M352" s="1" t="s">
        <v>34</v>
      </c>
      <c r="N352" s="1" t="s">
        <v>35</v>
      </c>
      <c r="O352" s="1" t="s">
        <v>57</v>
      </c>
      <c r="P352" s="1" t="s">
        <v>57</v>
      </c>
      <c r="Q352" s="1" t="s">
        <v>38</v>
      </c>
      <c r="R352" s="1" t="s">
        <v>2236</v>
      </c>
      <c r="S352" s="3">
        <v>918219000000</v>
      </c>
      <c r="T352" s="1" t="s">
        <v>86</v>
      </c>
      <c r="U352" s="1">
        <v>79</v>
      </c>
      <c r="V352" s="1">
        <v>69</v>
      </c>
      <c r="W352" s="1" t="s">
        <v>41</v>
      </c>
      <c r="X352" s="1">
        <v>689646</v>
      </c>
      <c r="Y352" s="2">
        <v>38827</v>
      </c>
      <c r="Z352" s="1">
        <v>4.1789737171464303</v>
      </c>
      <c r="AA352" s="1">
        <v>18</v>
      </c>
      <c r="AB352" s="1">
        <v>676000</v>
      </c>
      <c r="AC352" s="1">
        <f t="shared" si="5"/>
        <v>736000</v>
      </c>
    </row>
    <row r="353" spans="1:29" x14ac:dyDescent="0.25">
      <c r="A353" s="1" t="s">
        <v>2275</v>
      </c>
      <c r="B353" s="1" t="s">
        <v>2276</v>
      </c>
      <c r="C353" s="1" t="s">
        <v>2277</v>
      </c>
      <c r="D353" s="1">
        <v>2019</v>
      </c>
      <c r="E353" s="1" t="s">
        <v>31</v>
      </c>
      <c r="F353" s="1">
        <v>4</v>
      </c>
      <c r="G353" s="1" t="s">
        <v>32</v>
      </c>
      <c r="H353" s="1" t="s">
        <v>210</v>
      </c>
      <c r="I353" s="1">
        <v>169000</v>
      </c>
      <c r="J353" s="1">
        <v>154000</v>
      </c>
      <c r="K353" s="1">
        <v>15000</v>
      </c>
      <c r="L353" s="1">
        <v>0</v>
      </c>
      <c r="M353" s="1" t="s">
        <v>34</v>
      </c>
      <c r="N353" s="1" t="s">
        <v>63</v>
      </c>
      <c r="O353" s="1" t="s">
        <v>48</v>
      </c>
      <c r="P353" s="1" t="s">
        <v>49</v>
      </c>
      <c r="Q353" s="1" t="s">
        <v>38</v>
      </c>
      <c r="R353" s="1" t="s">
        <v>2278</v>
      </c>
      <c r="S353" s="3">
        <v>917141000000</v>
      </c>
      <c r="T353" s="1" t="s">
        <v>40</v>
      </c>
      <c r="U353" s="1">
        <v>79</v>
      </c>
      <c r="V353" s="1">
        <v>73</v>
      </c>
      <c r="W353" s="1" t="s">
        <v>41</v>
      </c>
      <c r="X353" s="1">
        <v>727483</v>
      </c>
      <c r="Y353" s="2">
        <v>36784</v>
      </c>
      <c r="Z353" s="1">
        <v>4.1789737171464303</v>
      </c>
      <c r="AA353" s="1">
        <v>23</v>
      </c>
      <c r="AB353" s="1">
        <v>676000</v>
      </c>
      <c r="AC353" s="1">
        <f t="shared" si="5"/>
        <v>736000</v>
      </c>
    </row>
    <row r="354" spans="1:29" x14ac:dyDescent="0.25">
      <c r="A354" s="1" t="s">
        <v>2313</v>
      </c>
      <c r="B354" s="1" t="s">
        <v>2314</v>
      </c>
      <c r="C354" s="1" t="s">
        <v>2315</v>
      </c>
      <c r="D354" s="1">
        <v>2019</v>
      </c>
      <c r="E354" s="1" t="s">
        <v>31</v>
      </c>
      <c r="F354" s="1">
        <v>4</v>
      </c>
      <c r="G354" s="1" t="s">
        <v>32</v>
      </c>
      <c r="H354" s="1" t="s">
        <v>113</v>
      </c>
      <c r="I354" s="1">
        <v>169000</v>
      </c>
      <c r="J354" s="1">
        <v>154000</v>
      </c>
      <c r="K354" s="1">
        <v>15000</v>
      </c>
      <c r="L354" s="1">
        <v>0</v>
      </c>
      <c r="M354" s="1" t="s">
        <v>34</v>
      </c>
      <c r="N354" s="1" t="s">
        <v>35</v>
      </c>
      <c r="O354" s="1" t="s">
        <v>91</v>
      </c>
      <c r="P354" s="1" t="s">
        <v>92</v>
      </c>
      <c r="Q354" s="1" t="s">
        <v>38</v>
      </c>
      <c r="R354" s="1" t="s">
        <v>2316</v>
      </c>
      <c r="S354" s="3">
        <v>919199000000</v>
      </c>
      <c r="T354" s="1" t="s">
        <v>51</v>
      </c>
      <c r="U354" s="1">
        <v>79</v>
      </c>
      <c r="V354" s="1">
        <v>92</v>
      </c>
      <c r="W354" s="1" t="s">
        <v>41</v>
      </c>
      <c r="X354" s="1">
        <v>667419</v>
      </c>
      <c r="Y354" s="2">
        <v>37426</v>
      </c>
      <c r="Z354" s="1">
        <v>4.1789737171464303</v>
      </c>
      <c r="AA354" s="1">
        <v>22</v>
      </c>
      <c r="AB354" s="1">
        <v>676000</v>
      </c>
      <c r="AC354" s="1">
        <f t="shared" si="5"/>
        <v>736000</v>
      </c>
    </row>
    <row r="355" spans="1:29" x14ac:dyDescent="0.25">
      <c r="A355" s="1" t="s">
        <v>2321</v>
      </c>
      <c r="B355" s="1" t="s">
        <v>1934</v>
      </c>
      <c r="C355" s="1" t="s">
        <v>1935</v>
      </c>
      <c r="D355" s="1">
        <v>2019</v>
      </c>
      <c r="E355" s="1" t="s">
        <v>31</v>
      </c>
      <c r="F355" s="1">
        <v>4</v>
      </c>
      <c r="G355" s="1" t="s">
        <v>32</v>
      </c>
      <c r="H355" s="1" t="s">
        <v>56</v>
      </c>
      <c r="I355" s="1">
        <v>169000</v>
      </c>
      <c r="J355" s="1">
        <v>154000</v>
      </c>
      <c r="K355" s="1">
        <v>15000</v>
      </c>
      <c r="L355" s="1">
        <v>0</v>
      </c>
      <c r="M355" s="1" t="s">
        <v>34</v>
      </c>
      <c r="N355" s="1" t="s">
        <v>35</v>
      </c>
      <c r="O355" s="1" t="s">
        <v>71</v>
      </c>
      <c r="P355" s="1" t="s">
        <v>72</v>
      </c>
      <c r="Q355" s="1" t="s">
        <v>38</v>
      </c>
      <c r="R355" s="1" t="s">
        <v>2322</v>
      </c>
      <c r="S355" s="3">
        <v>917048000000</v>
      </c>
      <c r="T355" s="1" t="s">
        <v>51</v>
      </c>
      <c r="U355" s="1">
        <v>79</v>
      </c>
      <c r="V355" s="1">
        <v>85</v>
      </c>
      <c r="W355" s="1" t="s">
        <v>52</v>
      </c>
      <c r="X355" s="1">
        <v>325946</v>
      </c>
      <c r="Y355" s="2">
        <v>36826</v>
      </c>
      <c r="Z355" s="1">
        <v>4.1789737171464303</v>
      </c>
      <c r="AA355" s="1">
        <v>23</v>
      </c>
      <c r="AB355" s="1">
        <v>676000</v>
      </c>
      <c r="AC355" s="1">
        <f t="shared" si="5"/>
        <v>736000</v>
      </c>
    </row>
    <row r="356" spans="1:29" x14ac:dyDescent="0.25">
      <c r="A356" s="1" t="s">
        <v>2327</v>
      </c>
      <c r="B356" s="1" t="s">
        <v>1659</v>
      </c>
      <c r="C356" s="1" t="s">
        <v>1660</v>
      </c>
      <c r="D356" s="1">
        <v>2019</v>
      </c>
      <c r="E356" s="1" t="s">
        <v>31</v>
      </c>
      <c r="F356" s="1">
        <v>4</v>
      </c>
      <c r="G356" s="1" t="s">
        <v>32</v>
      </c>
      <c r="H356" s="1" t="s">
        <v>113</v>
      </c>
      <c r="I356" s="1">
        <v>169000</v>
      </c>
      <c r="J356" s="1">
        <v>154000</v>
      </c>
      <c r="K356" s="1">
        <v>15000</v>
      </c>
      <c r="L356" s="1">
        <v>0</v>
      </c>
      <c r="M356" s="1" t="s">
        <v>34</v>
      </c>
      <c r="N356" s="1" t="s">
        <v>35</v>
      </c>
      <c r="O356" s="1" t="s">
        <v>64</v>
      </c>
      <c r="P356" s="1" t="s">
        <v>65</v>
      </c>
      <c r="Q356" s="1" t="s">
        <v>38</v>
      </c>
      <c r="R356" s="1" t="s">
        <v>2328</v>
      </c>
      <c r="S356" s="3">
        <v>919962000000</v>
      </c>
      <c r="T356" s="1" t="s">
        <v>51</v>
      </c>
      <c r="U356" s="1">
        <v>79</v>
      </c>
      <c r="V356" s="1">
        <v>67</v>
      </c>
      <c r="W356" s="1" t="s">
        <v>41</v>
      </c>
      <c r="X356" s="1">
        <v>372212</v>
      </c>
      <c r="Y356" s="2">
        <v>38450</v>
      </c>
      <c r="Z356" s="1">
        <v>4.1789737171464303</v>
      </c>
      <c r="AA356" s="1">
        <v>19</v>
      </c>
      <c r="AB356" s="1">
        <v>676000</v>
      </c>
      <c r="AC356" s="1">
        <f t="shared" si="5"/>
        <v>736000</v>
      </c>
    </row>
    <row r="357" spans="1:29" x14ac:dyDescent="0.25">
      <c r="A357" s="1" t="s">
        <v>2349</v>
      </c>
      <c r="B357" s="1" t="s">
        <v>2350</v>
      </c>
      <c r="C357" s="1" t="s">
        <v>2351</v>
      </c>
      <c r="D357" s="1">
        <v>2019</v>
      </c>
      <c r="E357" s="1" t="s">
        <v>31</v>
      </c>
      <c r="F357" s="1">
        <v>4</v>
      </c>
      <c r="G357" s="1" t="s">
        <v>32</v>
      </c>
      <c r="H357" s="1" t="s">
        <v>90</v>
      </c>
      <c r="I357" s="1">
        <v>169000</v>
      </c>
      <c r="J357" s="1">
        <v>154000</v>
      </c>
      <c r="K357" s="1">
        <v>15000</v>
      </c>
      <c r="L357" s="1">
        <v>0</v>
      </c>
      <c r="M357" s="1" t="s">
        <v>34</v>
      </c>
      <c r="N357" s="1" t="s">
        <v>63</v>
      </c>
      <c r="O357" s="1" t="s">
        <v>64</v>
      </c>
      <c r="P357" s="1" t="s">
        <v>65</v>
      </c>
      <c r="Q357" s="1" t="s">
        <v>38</v>
      </c>
      <c r="R357" s="1" t="s">
        <v>2352</v>
      </c>
      <c r="S357" s="3">
        <v>918035000000</v>
      </c>
      <c r="T357" s="1" t="s">
        <v>74</v>
      </c>
      <c r="U357" s="1">
        <v>78</v>
      </c>
      <c r="V357" s="1">
        <v>77</v>
      </c>
      <c r="W357" s="1" t="s">
        <v>41</v>
      </c>
      <c r="X357" s="1">
        <v>172145</v>
      </c>
      <c r="Y357" s="2">
        <v>38687</v>
      </c>
      <c r="Z357" s="1">
        <v>3.1789737171464298</v>
      </c>
      <c r="AA357" s="1">
        <v>18</v>
      </c>
      <c r="AB357" s="1">
        <v>676000</v>
      </c>
      <c r="AC357" s="1">
        <f t="shared" si="5"/>
        <v>736000</v>
      </c>
    </row>
    <row r="358" spans="1:29" x14ac:dyDescent="0.25">
      <c r="A358" s="1" t="s">
        <v>2433</v>
      </c>
      <c r="B358" s="1" t="s">
        <v>2434</v>
      </c>
      <c r="C358" s="1" t="s">
        <v>2435</v>
      </c>
      <c r="D358" s="1">
        <v>2019</v>
      </c>
      <c r="E358" s="1" t="s">
        <v>31</v>
      </c>
      <c r="F358" s="1">
        <v>4</v>
      </c>
      <c r="G358" s="1" t="s">
        <v>32</v>
      </c>
      <c r="H358" s="1" t="s">
        <v>113</v>
      </c>
      <c r="I358" s="1">
        <v>169000</v>
      </c>
      <c r="J358" s="1">
        <v>154000</v>
      </c>
      <c r="K358" s="1">
        <v>15000</v>
      </c>
      <c r="L358" s="1">
        <v>0</v>
      </c>
      <c r="M358" s="1" t="s">
        <v>34</v>
      </c>
      <c r="N358" s="1" t="s">
        <v>63</v>
      </c>
      <c r="O358" s="1" t="s">
        <v>103</v>
      </c>
      <c r="P358" s="1" t="s">
        <v>104</v>
      </c>
      <c r="Q358" s="1" t="s">
        <v>38</v>
      </c>
      <c r="R358" s="1" t="s">
        <v>2436</v>
      </c>
      <c r="S358" s="3">
        <v>917853000000</v>
      </c>
      <c r="T358" s="1" t="s">
        <v>51</v>
      </c>
      <c r="U358" s="1">
        <v>78</v>
      </c>
      <c r="V358" s="1">
        <v>91</v>
      </c>
      <c r="W358" s="1" t="s">
        <v>41</v>
      </c>
      <c r="X358" s="1">
        <v>216433</v>
      </c>
      <c r="Y358" s="2">
        <v>37129</v>
      </c>
      <c r="Z358" s="1">
        <v>3.1789737171464298</v>
      </c>
      <c r="AA358" s="1">
        <v>22</v>
      </c>
      <c r="AB358" s="1">
        <v>676000</v>
      </c>
      <c r="AC358" s="1">
        <f t="shared" si="5"/>
        <v>736000</v>
      </c>
    </row>
    <row r="359" spans="1:29" x14ac:dyDescent="0.25">
      <c r="A359" s="1" t="s">
        <v>2463</v>
      </c>
      <c r="B359" s="1" t="s">
        <v>2464</v>
      </c>
      <c r="C359" s="1" t="s">
        <v>2465</v>
      </c>
      <c r="D359" s="1">
        <v>2019</v>
      </c>
      <c r="E359" s="1" t="s">
        <v>31</v>
      </c>
      <c r="F359" s="1">
        <v>4</v>
      </c>
      <c r="G359" s="1" t="s">
        <v>32</v>
      </c>
      <c r="H359" s="1" t="s">
        <v>56</v>
      </c>
      <c r="I359" s="1">
        <v>169000</v>
      </c>
      <c r="J359" s="1">
        <v>154000</v>
      </c>
      <c r="K359" s="1">
        <v>15000</v>
      </c>
      <c r="L359" s="1">
        <v>0</v>
      </c>
      <c r="M359" s="1" t="s">
        <v>34</v>
      </c>
      <c r="N359" s="1" t="s">
        <v>70</v>
      </c>
      <c r="O359" s="1" t="s">
        <v>64</v>
      </c>
      <c r="P359" s="1" t="s">
        <v>65</v>
      </c>
      <c r="Q359" s="1" t="s">
        <v>38</v>
      </c>
      <c r="R359" s="1" t="s">
        <v>2466</v>
      </c>
      <c r="S359" s="3">
        <v>917546000000</v>
      </c>
      <c r="T359" s="1" t="s">
        <v>51</v>
      </c>
      <c r="U359" s="1">
        <v>78</v>
      </c>
      <c r="V359" s="1">
        <v>88</v>
      </c>
      <c r="W359" s="1" t="s">
        <v>52</v>
      </c>
      <c r="X359" s="1">
        <v>600176</v>
      </c>
      <c r="Y359" s="2">
        <v>38172</v>
      </c>
      <c r="Z359" s="1">
        <v>3.1789737171464298</v>
      </c>
      <c r="AA359" s="1">
        <v>20</v>
      </c>
      <c r="AB359" s="1">
        <v>676000</v>
      </c>
      <c r="AC359" s="1">
        <f t="shared" si="5"/>
        <v>736000</v>
      </c>
    </row>
    <row r="360" spans="1:29" x14ac:dyDescent="0.25">
      <c r="A360" s="1" t="s">
        <v>2473</v>
      </c>
      <c r="B360" s="1" t="s">
        <v>1007</v>
      </c>
      <c r="C360" s="1" t="s">
        <v>1008</v>
      </c>
      <c r="D360" s="1">
        <v>2019</v>
      </c>
      <c r="E360" s="1" t="s">
        <v>45</v>
      </c>
      <c r="F360" s="1">
        <v>2</v>
      </c>
      <c r="G360" s="1" t="s">
        <v>46</v>
      </c>
      <c r="H360" s="1" t="s">
        <v>113</v>
      </c>
      <c r="I360" s="1">
        <v>92000</v>
      </c>
      <c r="J360" s="1">
        <v>77000</v>
      </c>
      <c r="K360" s="1">
        <v>15000</v>
      </c>
      <c r="L360" s="1">
        <v>0</v>
      </c>
      <c r="M360" s="1" t="s">
        <v>34</v>
      </c>
      <c r="N360" s="1" t="s">
        <v>63</v>
      </c>
      <c r="O360" s="1" t="s">
        <v>91</v>
      </c>
      <c r="P360" s="1" t="s">
        <v>92</v>
      </c>
      <c r="Q360" s="1" t="s">
        <v>38</v>
      </c>
      <c r="R360" s="1" t="s">
        <v>2474</v>
      </c>
      <c r="S360" s="3">
        <v>918459000000</v>
      </c>
      <c r="T360" s="1" t="s">
        <v>51</v>
      </c>
      <c r="U360" s="1">
        <v>78</v>
      </c>
      <c r="V360" s="1">
        <v>83</v>
      </c>
      <c r="W360" s="1" t="s">
        <v>41</v>
      </c>
      <c r="X360" s="1">
        <v>238853</v>
      </c>
      <c r="Y360" s="2">
        <v>37058</v>
      </c>
      <c r="Z360" s="1">
        <v>3.1789737171464298</v>
      </c>
      <c r="AA360" s="1">
        <v>23</v>
      </c>
      <c r="AB360" s="1">
        <v>184000</v>
      </c>
      <c r="AC360" s="1">
        <f t="shared" si="5"/>
        <v>214000</v>
      </c>
    </row>
    <row r="361" spans="1:29" x14ac:dyDescent="0.25">
      <c r="A361" s="1" t="s">
        <v>2481</v>
      </c>
      <c r="B361" s="1" t="s">
        <v>2482</v>
      </c>
      <c r="C361" s="1" t="s">
        <v>2483</v>
      </c>
      <c r="D361" s="1">
        <v>2019</v>
      </c>
      <c r="E361" s="1" t="s">
        <v>31</v>
      </c>
      <c r="F361" s="1">
        <v>4</v>
      </c>
      <c r="G361" s="1" t="s">
        <v>32</v>
      </c>
      <c r="H361" s="1" t="s">
        <v>102</v>
      </c>
      <c r="I361" s="1">
        <v>169000</v>
      </c>
      <c r="J361" s="1">
        <v>154000</v>
      </c>
      <c r="K361" s="1">
        <v>15000</v>
      </c>
      <c r="L361" s="1">
        <v>0</v>
      </c>
      <c r="M361" s="1" t="s">
        <v>34</v>
      </c>
      <c r="N361" s="1" t="s">
        <v>35</v>
      </c>
      <c r="O361" s="1" t="s">
        <v>64</v>
      </c>
      <c r="P361" s="1" t="s">
        <v>65</v>
      </c>
      <c r="Q361" s="1" t="s">
        <v>38</v>
      </c>
      <c r="R361" s="1" t="s">
        <v>2484</v>
      </c>
      <c r="S361" s="3">
        <v>917798000000</v>
      </c>
      <c r="T361" s="1" t="s">
        <v>98</v>
      </c>
      <c r="U361" s="1">
        <v>78</v>
      </c>
      <c r="V361" s="1">
        <v>73</v>
      </c>
      <c r="W361" s="1" t="s">
        <v>52</v>
      </c>
      <c r="X361" s="1">
        <v>186790</v>
      </c>
      <c r="Y361" s="2">
        <v>37024</v>
      </c>
      <c r="Z361" s="1">
        <v>3.1789737171464298</v>
      </c>
      <c r="AA361" s="1">
        <v>23</v>
      </c>
      <c r="AB361" s="1">
        <v>676000</v>
      </c>
      <c r="AC361" s="1">
        <f t="shared" si="5"/>
        <v>736000</v>
      </c>
    </row>
    <row r="362" spans="1:29" x14ac:dyDescent="0.25">
      <c r="A362" s="1" t="s">
        <v>2487</v>
      </c>
      <c r="B362" s="1" t="s">
        <v>2488</v>
      </c>
      <c r="C362" s="1" t="s">
        <v>2489</v>
      </c>
      <c r="D362" s="1">
        <v>2019</v>
      </c>
      <c r="E362" s="1" t="s">
        <v>31</v>
      </c>
      <c r="F362" s="1">
        <v>4</v>
      </c>
      <c r="G362" s="1" t="s">
        <v>32</v>
      </c>
      <c r="H362" s="1" t="s">
        <v>151</v>
      </c>
      <c r="I362" s="1">
        <v>169000</v>
      </c>
      <c r="J362" s="1">
        <v>154000</v>
      </c>
      <c r="K362" s="1">
        <v>15000</v>
      </c>
      <c r="L362" s="1">
        <v>0</v>
      </c>
      <c r="M362" s="1" t="s">
        <v>34</v>
      </c>
      <c r="N362" s="1" t="s">
        <v>35</v>
      </c>
      <c r="O362" s="1" t="s">
        <v>64</v>
      </c>
      <c r="P362" s="1" t="s">
        <v>65</v>
      </c>
      <c r="Q362" s="1" t="s">
        <v>38</v>
      </c>
      <c r="R362" s="1" t="s">
        <v>2490</v>
      </c>
      <c r="S362" s="3">
        <v>917304000000</v>
      </c>
      <c r="T362" s="1" t="s">
        <v>98</v>
      </c>
      <c r="U362" s="1">
        <v>78</v>
      </c>
      <c r="V362" s="1">
        <v>87</v>
      </c>
      <c r="W362" s="1" t="s">
        <v>41</v>
      </c>
      <c r="X362" s="1">
        <v>178120</v>
      </c>
      <c r="Y362" s="2">
        <v>37525</v>
      </c>
      <c r="Z362" s="1">
        <v>3.1789737171464298</v>
      </c>
      <c r="AA362" s="1">
        <v>21</v>
      </c>
      <c r="AB362" s="1">
        <v>676000</v>
      </c>
      <c r="AC362" s="1">
        <f t="shared" si="5"/>
        <v>736000</v>
      </c>
    </row>
    <row r="363" spans="1:29" x14ac:dyDescent="0.25">
      <c r="A363" s="1" t="s">
        <v>2520</v>
      </c>
      <c r="B363" s="1" t="s">
        <v>2521</v>
      </c>
      <c r="C363" s="1" t="s">
        <v>2522</v>
      </c>
      <c r="D363" s="1">
        <v>2019</v>
      </c>
      <c r="E363" s="1" t="s">
        <v>45</v>
      </c>
      <c r="F363" s="1">
        <v>2</v>
      </c>
      <c r="G363" s="1" t="s">
        <v>46</v>
      </c>
      <c r="H363" s="1" t="s">
        <v>62</v>
      </c>
      <c r="I363" s="1">
        <v>92000</v>
      </c>
      <c r="J363" s="1">
        <v>77000</v>
      </c>
      <c r="K363" s="1">
        <v>15000</v>
      </c>
      <c r="L363" s="1">
        <v>0</v>
      </c>
      <c r="M363" s="1" t="s">
        <v>34</v>
      </c>
      <c r="N363" s="1" t="s">
        <v>70</v>
      </c>
      <c r="O363" s="1" t="s">
        <v>36</v>
      </c>
      <c r="P363" s="1" t="s">
        <v>37</v>
      </c>
      <c r="Q363" s="1" t="s">
        <v>38</v>
      </c>
      <c r="R363" s="1" t="s">
        <v>2523</v>
      </c>
      <c r="S363" s="3">
        <v>919847000000</v>
      </c>
      <c r="T363" s="1" t="s">
        <v>86</v>
      </c>
      <c r="U363" s="1">
        <v>78</v>
      </c>
      <c r="V363" s="1">
        <v>69</v>
      </c>
      <c r="W363" s="1" t="s">
        <v>41</v>
      </c>
      <c r="X363" s="1">
        <v>271821</v>
      </c>
      <c r="Y363" s="2">
        <v>35935</v>
      </c>
      <c r="Z363" s="1">
        <v>3.1789737171464298</v>
      </c>
      <c r="AA363" s="1">
        <v>26</v>
      </c>
      <c r="AB363" s="1">
        <v>184000</v>
      </c>
      <c r="AC363" s="1">
        <f t="shared" si="5"/>
        <v>214000</v>
      </c>
    </row>
    <row r="364" spans="1:29" x14ac:dyDescent="0.25">
      <c r="A364" s="1" t="s">
        <v>2542</v>
      </c>
      <c r="B364" s="1" t="s">
        <v>2543</v>
      </c>
      <c r="C364" s="1" t="s">
        <v>2544</v>
      </c>
      <c r="D364" s="1">
        <v>2019</v>
      </c>
      <c r="E364" s="1" t="s">
        <v>31</v>
      </c>
      <c r="F364" s="1">
        <v>4</v>
      </c>
      <c r="G364" s="1" t="s">
        <v>32</v>
      </c>
      <c r="H364" s="1" t="s">
        <v>90</v>
      </c>
      <c r="I364" s="1">
        <v>169000</v>
      </c>
      <c r="J364" s="1">
        <v>154000</v>
      </c>
      <c r="K364" s="1">
        <v>15000</v>
      </c>
      <c r="L364" s="1">
        <v>0</v>
      </c>
      <c r="M364" s="1" t="s">
        <v>34</v>
      </c>
      <c r="N364" s="1" t="s">
        <v>63</v>
      </c>
      <c r="O364" s="1" t="s">
        <v>48</v>
      </c>
      <c r="P364" s="1" t="s">
        <v>49</v>
      </c>
      <c r="Q364" s="1" t="s">
        <v>38</v>
      </c>
      <c r="R364" s="1" t="s">
        <v>2545</v>
      </c>
      <c r="S364" s="3">
        <v>918762000000</v>
      </c>
      <c r="T364" s="1" t="s">
        <v>74</v>
      </c>
      <c r="U364" s="1">
        <v>77</v>
      </c>
      <c r="V364" s="1">
        <v>91</v>
      </c>
      <c r="W364" s="1" t="s">
        <v>52</v>
      </c>
      <c r="X364" s="1">
        <v>112431</v>
      </c>
      <c r="Y364" s="2">
        <v>38328</v>
      </c>
      <c r="Z364" s="1">
        <v>2.1789737171464298</v>
      </c>
      <c r="AA364" s="1">
        <v>19</v>
      </c>
      <c r="AB364" s="1">
        <v>676000</v>
      </c>
      <c r="AC364" s="1">
        <f t="shared" si="5"/>
        <v>736000</v>
      </c>
    </row>
    <row r="365" spans="1:29" x14ac:dyDescent="0.25">
      <c r="A365" s="1" t="s">
        <v>2580</v>
      </c>
      <c r="B365" s="1" t="s">
        <v>2581</v>
      </c>
      <c r="C365" s="1" t="s">
        <v>2582</v>
      </c>
      <c r="D365" s="1">
        <v>2019</v>
      </c>
      <c r="E365" s="1" t="s">
        <v>31</v>
      </c>
      <c r="F365" s="1">
        <v>4</v>
      </c>
      <c r="G365" s="1" t="s">
        <v>32</v>
      </c>
      <c r="H365" s="1" t="s">
        <v>102</v>
      </c>
      <c r="I365" s="1">
        <v>169000</v>
      </c>
      <c r="J365" s="1">
        <v>154000</v>
      </c>
      <c r="K365" s="1">
        <v>15000</v>
      </c>
      <c r="L365" s="1">
        <v>0</v>
      </c>
      <c r="M365" s="1" t="s">
        <v>34</v>
      </c>
      <c r="N365" s="1" t="s">
        <v>35</v>
      </c>
      <c r="O365" s="1" t="s">
        <v>91</v>
      </c>
      <c r="P365" s="1" t="s">
        <v>92</v>
      </c>
      <c r="Q365" s="1" t="s">
        <v>38</v>
      </c>
      <c r="R365" s="1" t="s">
        <v>2583</v>
      </c>
      <c r="S365" s="3">
        <v>919266000000</v>
      </c>
      <c r="T365" s="1" t="s">
        <v>40</v>
      </c>
      <c r="U365" s="1">
        <v>77</v>
      </c>
      <c r="V365" s="1">
        <v>78</v>
      </c>
      <c r="W365" s="1" t="s">
        <v>41</v>
      </c>
      <c r="X365" s="1">
        <v>246588</v>
      </c>
      <c r="Y365" s="2">
        <v>36905</v>
      </c>
      <c r="Z365" s="1">
        <v>2.1789737171464298</v>
      </c>
      <c r="AA365" s="1">
        <v>23</v>
      </c>
      <c r="AB365" s="1">
        <v>676000</v>
      </c>
      <c r="AC365" s="1">
        <f t="shared" si="5"/>
        <v>736000</v>
      </c>
    </row>
    <row r="366" spans="1:29" x14ac:dyDescent="0.25">
      <c r="A366" s="1" t="s">
        <v>2584</v>
      </c>
      <c r="B366" s="1" t="s">
        <v>2585</v>
      </c>
      <c r="C366" s="1" t="s">
        <v>2586</v>
      </c>
      <c r="D366" s="1">
        <v>2019</v>
      </c>
      <c r="E366" s="1" t="s">
        <v>45</v>
      </c>
      <c r="F366" s="1">
        <v>2</v>
      </c>
      <c r="G366" s="1" t="s">
        <v>46</v>
      </c>
      <c r="H366" s="1" t="s">
        <v>102</v>
      </c>
      <c r="I366" s="1">
        <v>92000</v>
      </c>
      <c r="J366" s="1">
        <v>77000</v>
      </c>
      <c r="K366" s="1">
        <v>15000</v>
      </c>
      <c r="L366" s="1">
        <v>0</v>
      </c>
      <c r="M366" s="1" t="s">
        <v>34</v>
      </c>
      <c r="N366" s="1" t="s">
        <v>63</v>
      </c>
      <c r="O366" s="1" t="s">
        <v>71</v>
      </c>
      <c r="P366" s="1" t="s">
        <v>72</v>
      </c>
      <c r="Q366" s="1" t="s">
        <v>38</v>
      </c>
      <c r="R366" s="1" t="s">
        <v>2587</v>
      </c>
      <c r="S366" s="3">
        <v>918516000000</v>
      </c>
      <c r="T366" s="1" t="s">
        <v>51</v>
      </c>
      <c r="U366" s="1">
        <v>77</v>
      </c>
      <c r="V366" s="1">
        <v>77</v>
      </c>
      <c r="W366" s="1" t="s">
        <v>52</v>
      </c>
      <c r="X366" s="1">
        <v>798989</v>
      </c>
      <c r="Y366" s="2">
        <v>35416</v>
      </c>
      <c r="Z366" s="1">
        <v>2.1789737171464298</v>
      </c>
      <c r="AA366" s="1">
        <v>27</v>
      </c>
      <c r="AB366" s="1">
        <v>184000</v>
      </c>
      <c r="AC366" s="1">
        <f t="shared" si="5"/>
        <v>214000</v>
      </c>
    </row>
    <row r="367" spans="1:29" x14ac:dyDescent="0.25">
      <c r="A367" s="1" t="s">
        <v>2600</v>
      </c>
      <c r="B367" s="1" t="s">
        <v>2601</v>
      </c>
      <c r="C367" s="1" t="s">
        <v>2602</v>
      </c>
      <c r="D367" s="1">
        <v>2019</v>
      </c>
      <c r="E367" s="1" t="s">
        <v>31</v>
      </c>
      <c r="F367" s="1">
        <v>4</v>
      </c>
      <c r="G367" s="1" t="s">
        <v>32</v>
      </c>
      <c r="H367" s="1" t="s">
        <v>151</v>
      </c>
      <c r="I367" s="1">
        <v>169000</v>
      </c>
      <c r="J367" s="1">
        <v>154000</v>
      </c>
      <c r="K367" s="1">
        <v>15000</v>
      </c>
      <c r="L367" s="1">
        <v>0</v>
      </c>
      <c r="M367" s="1" t="s">
        <v>34</v>
      </c>
      <c r="N367" s="1" t="s">
        <v>35</v>
      </c>
      <c r="O367" s="1" t="s">
        <v>188</v>
      </c>
      <c r="P367" s="1" t="s">
        <v>189</v>
      </c>
      <c r="Q367" s="1" t="s">
        <v>38</v>
      </c>
      <c r="R367" s="1" t="s">
        <v>2603</v>
      </c>
      <c r="S367" s="3">
        <v>918366000000</v>
      </c>
      <c r="T367" s="1" t="s">
        <v>98</v>
      </c>
      <c r="U367" s="1">
        <v>77</v>
      </c>
      <c r="V367" s="1">
        <v>73</v>
      </c>
      <c r="W367" s="1" t="s">
        <v>52</v>
      </c>
      <c r="X367" s="1">
        <v>644199</v>
      </c>
      <c r="Y367" s="2">
        <v>38731</v>
      </c>
      <c r="Z367" s="1">
        <v>2.1789737171464298</v>
      </c>
      <c r="AA367" s="1">
        <v>18</v>
      </c>
      <c r="AB367" s="1">
        <v>676000</v>
      </c>
      <c r="AC367" s="1">
        <f t="shared" si="5"/>
        <v>736000</v>
      </c>
    </row>
    <row r="368" spans="1:29" x14ac:dyDescent="0.25">
      <c r="A368" s="1" t="s">
        <v>2653</v>
      </c>
      <c r="B368" s="1" t="s">
        <v>2654</v>
      </c>
      <c r="C368" s="1" t="s">
        <v>2655</v>
      </c>
      <c r="D368" s="1">
        <v>2019</v>
      </c>
      <c r="E368" s="1" t="s">
        <v>31</v>
      </c>
      <c r="F368" s="1">
        <v>4</v>
      </c>
      <c r="G368" s="1" t="s">
        <v>32</v>
      </c>
      <c r="H368" s="1" t="s">
        <v>113</v>
      </c>
      <c r="I368" s="1">
        <v>169000</v>
      </c>
      <c r="J368" s="1">
        <v>154000</v>
      </c>
      <c r="K368" s="1">
        <v>15000</v>
      </c>
      <c r="L368" s="1">
        <v>0</v>
      </c>
      <c r="M368" s="1" t="s">
        <v>34</v>
      </c>
      <c r="N368" s="1" t="s">
        <v>35</v>
      </c>
      <c r="O368" s="1" t="s">
        <v>71</v>
      </c>
      <c r="P368" s="1" t="s">
        <v>72</v>
      </c>
      <c r="Q368" s="1" t="s">
        <v>38</v>
      </c>
      <c r="R368" s="1" t="s">
        <v>2656</v>
      </c>
      <c r="S368" s="3">
        <v>918405000000</v>
      </c>
      <c r="T368" s="1" t="s">
        <v>51</v>
      </c>
      <c r="U368" s="1">
        <v>77</v>
      </c>
      <c r="V368" s="1">
        <v>86</v>
      </c>
      <c r="W368" s="1" t="s">
        <v>52</v>
      </c>
      <c r="X368" s="1">
        <v>279138</v>
      </c>
      <c r="Y368" s="2">
        <v>36712</v>
      </c>
      <c r="Z368" s="1">
        <v>2.1789737171464298</v>
      </c>
      <c r="AA368" s="1">
        <v>24</v>
      </c>
      <c r="AB368" s="1">
        <v>676000</v>
      </c>
      <c r="AC368" s="1">
        <f t="shared" si="5"/>
        <v>736000</v>
      </c>
    </row>
    <row r="369" spans="1:29" x14ac:dyDescent="0.25">
      <c r="A369" s="1" t="s">
        <v>2661</v>
      </c>
      <c r="B369" s="1" t="s">
        <v>2662</v>
      </c>
      <c r="C369" s="1" t="s">
        <v>2663</v>
      </c>
      <c r="D369" s="1">
        <v>2019</v>
      </c>
      <c r="E369" s="1" t="s">
        <v>31</v>
      </c>
      <c r="F369" s="1">
        <v>4</v>
      </c>
      <c r="G369" s="1" t="s">
        <v>32</v>
      </c>
      <c r="H369" s="1" t="s">
        <v>151</v>
      </c>
      <c r="I369" s="1">
        <v>169000</v>
      </c>
      <c r="J369" s="1">
        <v>154000</v>
      </c>
      <c r="K369" s="1">
        <v>15000</v>
      </c>
      <c r="L369" s="1">
        <v>0</v>
      </c>
      <c r="M369" s="1" t="s">
        <v>34</v>
      </c>
      <c r="N369" s="1" t="s">
        <v>35</v>
      </c>
      <c r="O369" s="1" t="s">
        <v>57</v>
      </c>
      <c r="P369" s="1" t="s">
        <v>57</v>
      </c>
      <c r="Q369" s="1" t="s">
        <v>38</v>
      </c>
      <c r="R369" s="1" t="s">
        <v>2664</v>
      </c>
      <c r="S369" s="3">
        <v>918210000000</v>
      </c>
      <c r="T369" s="1" t="s">
        <v>51</v>
      </c>
      <c r="U369" s="1">
        <v>77</v>
      </c>
      <c r="V369" s="1">
        <v>92</v>
      </c>
      <c r="W369" s="1" t="s">
        <v>52</v>
      </c>
      <c r="X369" s="1">
        <v>643716</v>
      </c>
      <c r="Y369" s="2">
        <v>37944</v>
      </c>
      <c r="Z369" s="1">
        <v>2.1789737171464298</v>
      </c>
      <c r="AA369" s="1">
        <v>20</v>
      </c>
      <c r="AB369" s="1">
        <v>676000</v>
      </c>
      <c r="AC369" s="1">
        <f t="shared" si="5"/>
        <v>736000</v>
      </c>
    </row>
    <row r="370" spans="1:29" x14ac:dyDescent="0.25">
      <c r="A370" s="1" t="s">
        <v>2699</v>
      </c>
      <c r="B370" s="1" t="s">
        <v>2700</v>
      </c>
      <c r="C370" s="1" t="s">
        <v>2701</v>
      </c>
      <c r="D370" s="1">
        <v>2019</v>
      </c>
      <c r="E370" s="1" t="s">
        <v>31</v>
      </c>
      <c r="F370" s="1">
        <v>4</v>
      </c>
      <c r="G370" s="1" t="s">
        <v>32</v>
      </c>
      <c r="H370" s="1" t="s">
        <v>90</v>
      </c>
      <c r="I370" s="1">
        <v>169000</v>
      </c>
      <c r="J370" s="1">
        <v>154000</v>
      </c>
      <c r="K370" s="1">
        <v>15000</v>
      </c>
      <c r="L370" s="1">
        <v>0</v>
      </c>
      <c r="M370" s="1" t="s">
        <v>34</v>
      </c>
      <c r="N370" s="1" t="s">
        <v>35</v>
      </c>
      <c r="O370" s="1" t="s">
        <v>78</v>
      </c>
      <c r="P370" s="1" t="s">
        <v>79</v>
      </c>
      <c r="Q370" s="1" t="s">
        <v>38</v>
      </c>
      <c r="R370" s="1" t="s">
        <v>2702</v>
      </c>
      <c r="S370" s="3">
        <v>918682000000</v>
      </c>
      <c r="T370" s="1" t="s">
        <v>86</v>
      </c>
      <c r="U370" s="1">
        <v>77</v>
      </c>
      <c r="V370" s="1">
        <v>64</v>
      </c>
      <c r="W370" s="1" t="s">
        <v>52</v>
      </c>
      <c r="X370" s="1">
        <v>260726</v>
      </c>
      <c r="Y370" s="2">
        <v>37314</v>
      </c>
      <c r="Z370" s="1">
        <v>2.1789737171464298</v>
      </c>
      <c r="AA370" s="1">
        <v>22</v>
      </c>
      <c r="AB370" s="1">
        <v>676000</v>
      </c>
      <c r="AC370" s="1">
        <f t="shared" si="5"/>
        <v>736000</v>
      </c>
    </row>
    <row r="371" spans="1:29" x14ac:dyDescent="0.25">
      <c r="A371" s="1" t="s">
        <v>2711</v>
      </c>
      <c r="B371" s="1" t="s">
        <v>2712</v>
      </c>
      <c r="C371" s="1" t="s">
        <v>2713</v>
      </c>
      <c r="D371" s="1">
        <v>2019</v>
      </c>
      <c r="E371" s="1" t="s">
        <v>31</v>
      </c>
      <c r="F371" s="1">
        <v>4</v>
      </c>
      <c r="G371" s="1" t="s">
        <v>32</v>
      </c>
      <c r="H371" s="1" t="s">
        <v>62</v>
      </c>
      <c r="I371" s="1">
        <v>169000</v>
      </c>
      <c r="J371" s="1">
        <v>154000</v>
      </c>
      <c r="K371" s="1">
        <v>15000</v>
      </c>
      <c r="L371" s="1">
        <v>0</v>
      </c>
      <c r="M371" s="1" t="s">
        <v>34</v>
      </c>
      <c r="N371" s="1" t="s">
        <v>35</v>
      </c>
      <c r="O371" s="1" t="s">
        <v>84</v>
      </c>
      <c r="P371" s="1" t="s">
        <v>65</v>
      </c>
      <c r="Q371" s="1" t="s">
        <v>38</v>
      </c>
      <c r="R371" s="1" t="s">
        <v>2714</v>
      </c>
      <c r="S371" s="3">
        <v>918873000000</v>
      </c>
      <c r="T371" s="1" t="s">
        <v>98</v>
      </c>
      <c r="U371" s="1">
        <v>76</v>
      </c>
      <c r="V371" s="1">
        <v>60</v>
      </c>
      <c r="W371" s="1" t="s">
        <v>52</v>
      </c>
      <c r="X371" s="1">
        <v>718583</v>
      </c>
      <c r="Y371" s="2">
        <v>38872</v>
      </c>
      <c r="Z371" s="1">
        <v>1.1789737171464301</v>
      </c>
      <c r="AA371" s="1">
        <v>18</v>
      </c>
      <c r="AB371" s="1">
        <v>676000</v>
      </c>
      <c r="AC371" s="1">
        <f t="shared" si="5"/>
        <v>736000</v>
      </c>
    </row>
    <row r="372" spans="1:29" x14ac:dyDescent="0.25">
      <c r="A372" s="1" t="s">
        <v>2719</v>
      </c>
      <c r="B372" s="1" t="s">
        <v>2720</v>
      </c>
      <c r="C372" s="1" t="s">
        <v>2721</v>
      </c>
      <c r="D372" s="1">
        <v>2019</v>
      </c>
      <c r="E372" s="1" t="s">
        <v>45</v>
      </c>
      <c r="F372" s="1">
        <v>2</v>
      </c>
      <c r="G372" s="1" t="s">
        <v>46</v>
      </c>
      <c r="H372" s="1" t="s">
        <v>113</v>
      </c>
      <c r="I372" s="1">
        <v>92000</v>
      </c>
      <c r="J372" s="1">
        <v>77000</v>
      </c>
      <c r="K372" s="1">
        <v>15000</v>
      </c>
      <c r="L372" s="1">
        <v>0</v>
      </c>
      <c r="M372" s="1" t="s">
        <v>34</v>
      </c>
      <c r="N372" s="1" t="s">
        <v>70</v>
      </c>
      <c r="O372" s="1" t="s">
        <v>64</v>
      </c>
      <c r="P372" s="1" t="s">
        <v>65</v>
      </c>
      <c r="Q372" s="1" t="s">
        <v>38</v>
      </c>
      <c r="R372" s="1" t="s">
        <v>2722</v>
      </c>
      <c r="S372" s="3">
        <v>918375000000</v>
      </c>
      <c r="T372" s="1" t="s">
        <v>40</v>
      </c>
      <c r="U372" s="1">
        <v>76</v>
      </c>
      <c r="V372" s="1">
        <v>62</v>
      </c>
      <c r="W372" s="1" t="s">
        <v>41</v>
      </c>
      <c r="X372" s="1">
        <v>496909</v>
      </c>
      <c r="Y372" s="2">
        <v>35723</v>
      </c>
      <c r="Z372" s="1">
        <v>1.1789737171464301</v>
      </c>
      <c r="AA372" s="1">
        <v>26</v>
      </c>
      <c r="AB372" s="1">
        <v>184000</v>
      </c>
      <c r="AC372" s="1">
        <f t="shared" si="5"/>
        <v>214000</v>
      </c>
    </row>
    <row r="373" spans="1:29" x14ac:dyDescent="0.25">
      <c r="A373" s="1" t="s">
        <v>2739</v>
      </c>
      <c r="B373" s="1" t="s">
        <v>2740</v>
      </c>
      <c r="C373" s="1" t="s">
        <v>2741</v>
      </c>
      <c r="D373" s="1">
        <v>2019</v>
      </c>
      <c r="E373" s="1" t="s">
        <v>31</v>
      </c>
      <c r="F373" s="1">
        <v>4</v>
      </c>
      <c r="G373" s="1" t="s">
        <v>32</v>
      </c>
      <c r="H373" s="1" t="s">
        <v>102</v>
      </c>
      <c r="I373" s="1">
        <v>169000</v>
      </c>
      <c r="J373" s="1">
        <v>154000</v>
      </c>
      <c r="K373" s="1">
        <v>15000</v>
      </c>
      <c r="L373" s="1">
        <v>0</v>
      </c>
      <c r="M373" s="1" t="s">
        <v>34</v>
      </c>
      <c r="N373" s="1" t="s">
        <v>63</v>
      </c>
      <c r="O373" s="1" t="s">
        <v>71</v>
      </c>
      <c r="P373" s="1" t="s">
        <v>72</v>
      </c>
      <c r="Q373" s="1" t="s">
        <v>38</v>
      </c>
      <c r="R373" s="1" t="s">
        <v>2742</v>
      </c>
      <c r="S373" s="3">
        <v>917843000000</v>
      </c>
      <c r="T373" s="1" t="s">
        <v>74</v>
      </c>
      <c r="U373" s="1">
        <v>76</v>
      </c>
      <c r="V373" s="1">
        <v>72</v>
      </c>
      <c r="W373" s="1" t="s">
        <v>52</v>
      </c>
      <c r="X373" s="1">
        <v>767064</v>
      </c>
      <c r="Y373" s="2">
        <v>37408</v>
      </c>
      <c r="Z373" s="1">
        <v>1.1789737171464301</v>
      </c>
      <c r="AA373" s="1">
        <v>22</v>
      </c>
      <c r="AB373" s="1">
        <v>676000</v>
      </c>
      <c r="AC373" s="1">
        <f t="shared" si="5"/>
        <v>736000</v>
      </c>
    </row>
    <row r="374" spans="1:29" x14ac:dyDescent="0.25">
      <c r="A374" s="1" t="s">
        <v>2743</v>
      </c>
      <c r="B374" s="1" t="s">
        <v>2744</v>
      </c>
      <c r="C374" s="1" t="s">
        <v>2745</v>
      </c>
      <c r="D374" s="1">
        <v>2019</v>
      </c>
      <c r="E374" s="1" t="s">
        <v>31</v>
      </c>
      <c r="F374" s="1">
        <v>4</v>
      </c>
      <c r="G374" s="1" t="s">
        <v>32</v>
      </c>
      <c r="H374" s="1" t="s">
        <v>113</v>
      </c>
      <c r="I374" s="1">
        <v>169000</v>
      </c>
      <c r="J374" s="1">
        <v>154000</v>
      </c>
      <c r="K374" s="1">
        <v>15000</v>
      </c>
      <c r="L374" s="1">
        <v>0</v>
      </c>
      <c r="M374" s="1" t="s">
        <v>34</v>
      </c>
      <c r="N374" s="1" t="s">
        <v>35</v>
      </c>
      <c r="O374" s="1" t="s">
        <v>36</v>
      </c>
      <c r="P374" s="1" t="s">
        <v>37</v>
      </c>
      <c r="Q374" s="1" t="s">
        <v>38</v>
      </c>
      <c r="R374" s="1" t="s">
        <v>2746</v>
      </c>
      <c r="S374" s="3">
        <v>917097000000</v>
      </c>
      <c r="T374" s="1" t="s">
        <v>40</v>
      </c>
      <c r="U374" s="1">
        <v>76</v>
      </c>
      <c r="V374" s="1">
        <v>68</v>
      </c>
      <c r="W374" s="1" t="s">
        <v>52</v>
      </c>
      <c r="X374" s="1">
        <v>794873</v>
      </c>
      <c r="Y374" s="2">
        <v>37053</v>
      </c>
      <c r="Z374" s="1">
        <v>1.1789737171464301</v>
      </c>
      <c r="AA374" s="1">
        <v>23</v>
      </c>
      <c r="AB374" s="1">
        <v>676000</v>
      </c>
      <c r="AC374" s="1">
        <f t="shared" si="5"/>
        <v>736000</v>
      </c>
    </row>
    <row r="375" spans="1:29" x14ac:dyDescent="0.25">
      <c r="A375" s="1" t="s">
        <v>2786</v>
      </c>
      <c r="B375" s="1" t="s">
        <v>2787</v>
      </c>
      <c r="C375" s="1" t="s">
        <v>2788</v>
      </c>
      <c r="D375" s="1">
        <v>2019</v>
      </c>
      <c r="E375" s="1" t="s">
        <v>31</v>
      </c>
      <c r="F375" s="1">
        <v>4</v>
      </c>
      <c r="G375" s="1" t="s">
        <v>32</v>
      </c>
      <c r="H375" s="1" t="s">
        <v>151</v>
      </c>
      <c r="I375" s="1">
        <v>169000</v>
      </c>
      <c r="J375" s="1">
        <v>154000</v>
      </c>
      <c r="K375" s="1">
        <v>15000</v>
      </c>
      <c r="L375" s="1">
        <v>0</v>
      </c>
      <c r="M375" s="1" t="s">
        <v>34</v>
      </c>
      <c r="N375" s="1" t="s">
        <v>35</v>
      </c>
      <c r="O375" s="1" t="s">
        <v>188</v>
      </c>
      <c r="P375" s="1" t="s">
        <v>189</v>
      </c>
      <c r="Q375" s="1" t="s">
        <v>38</v>
      </c>
      <c r="R375" s="1" t="s">
        <v>2789</v>
      </c>
      <c r="S375" s="3">
        <v>918451000000</v>
      </c>
      <c r="T375" s="1" t="s">
        <v>40</v>
      </c>
      <c r="U375" s="1">
        <v>76</v>
      </c>
      <c r="V375" s="1">
        <v>90</v>
      </c>
      <c r="W375" s="1" t="s">
        <v>41</v>
      </c>
      <c r="X375" s="1">
        <v>454308</v>
      </c>
      <c r="Y375" s="2">
        <v>38084</v>
      </c>
      <c r="Z375" s="1">
        <v>1.1789737171464301</v>
      </c>
      <c r="AA375" s="1">
        <v>20</v>
      </c>
      <c r="AB375" s="1">
        <v>676000</v>
      </c>
      <c r="AC375" s="1">
        <f t="shared" si="5"/>
        <v>736000</v>
      </c>
    </row>
    <row r="376" spans="1:29" x14ac:dyDescent="0.25">
      <c r="A376" s="1" t="s">
        <v>2794</v>
      </c>
      <c r="B376" s="1" t="s">
        <v>2795</v>
      </c>
      <c r="C376" s="1" t="s">
        <v>2796</v>
      </c>
      <c r="D376" s="1">
        <v>2019</v>
      </c>
      <c r="E376" s="1" t="s">
        <v>31</v>
      </c>
      <c r="F376" s="1">
        <v>4</v>
      </c>
      <c r="G376" s="1" t="s">
        <v>32</v>
      </c>
      <c r="H376" s="1" t="s">
        <v>90</v>
      </c>
      <c r="I376" s="1">
        <v>169000</v>
      </c>
      <c r="J376" s="1">
        <v>154000</v>
      </c>
      <c r="K376" s="1">
        <v>15000</v>
      </c>
      <c r="L376" s="1">
        <v>0</v>
      </c>
      <c r="M376" s="1" t="s">
        <v>34</v>
      </c>
      <c r="N376" s="1" t="s">
        <v>70</v>
      </c>
      <c r="O376" s="1" t="s">
        <v>84</v>
      </c>
      <c r="P376" s="1" t="s">
        <v>65</v>
      </c>
      <c r="Q376" s="1" t="s">
        <v>38</v>
      </c>
      <c r="R376" s="1" t="s">
        <v>2797</v>
      </c>
      <c r="S376" s="3">
        <v>917969000000</v>
      </c>
      <c r="T376" s="1" t="s">
        <v>86</v>
      </c>
      <c r="U376" s="1">
        <v>76</v>
      </c>
      <c r="V376" s="1">
        <v>74</v>
      </c>
      <c r="W376" s="1" t="s">
        <v>41</v>
      </c>
      <c r="X376" s="1">
        <v>256055</v>
      </c>
      <c r="Y376" s="2">
        <v>37408</v>
      </c>
      <c r="Z376" s="1">
        <v>1.1789737171464301</v>
      </c>
      <c r="AA376" s="1">
        <v>22</v>
      </c>
      <c r="AB376" s="1">
        <v>676000</v>
      </c>
      <c r="AC376" s="1">
        <f t="shared" si="5"/>
        <v>736000</v>
      </c>
    </row>
    <row r="377" spans="1:29" x14ac:dyDescent="0.25">
      <c r="A377" s="1" t="s">
        <v>2812</v>
      </c>
      <c r="B377" s="1" t="s">
        <v>2813</v>
      </c>
      <c r="C377" s="1" t="s">
        <v>2814</v>
      </c>
      <c r="D377" s="1">
        <v>2019</v>
      </c>
      <c r="E377" s="1" t="s">
        <v>31</v>
      </c>
      <c r="F377" s="1">
        <v>4</v>
      </c>
      <c r="G377" s="1" t="s">
        <v>32</v>
      </c>
      <c r="H377" s="1" t="s">
        <v>56</v>
      </c>
      <c r="I377" s="1">
        <v>169000</v>
      </c>
      <c r="J377" s="1">
        <v>154000</v>
      </c>
      <c r="K377" s="1">
        <v>15000</v>
      </c>
      <c r="L377" s="1">
        <v>0</v>
      </c>
      <c r="M377" s="1" t="s">
        <v>34</v>
      </c>
      <c r="N377" s="1" t="s">
        <v>35</v>
      </c>
      <c r="O377" s="1" t="s">
        <v>36</v>
      </c>
      <c r="P377" s="1" t="s">
        <v>37</v>
      </c>
      <c r="Q377" s="1" t="s">
        <v>38</v>
      </c>
      <c r="R377" s="1" t="s">
        <v>2815</v>
      </c>
      <c r="S377" s="3">
        <v>917940000000</v>
      </c>
      <c r="T377" s="1" t="s">
        <v>98</v>
      </c>
      <c r="U377" s="1">
        <v>76</v>
      </c>
      <c r="V377" s="1">
        <v>78</v>
      </c>
      <c r="W377" s="1" t="s">
        <v>41</v>
      </c>
      <c r="X377" s="1">
        <v>690824</v>
      </c>
      <c r="Y377" s="2">
        <v>38719</v>
      </c>
      <c r="Z377" s="1">
        <v>1.1789737171464301</v>
      </c>
      <c r="AA377" s="1">
        <v>18</v>
      </c>
      <c r="AB377" s="1">
        <v>676000</v>
      </c>
      <c r="AC377" s="1">
        <f t="shared" si="5"/>
        <v>736000</v>
      </c>
    </row>
    <row r="378" spans="1:29" x14ac:dyDescent="0.25">
      <c r="A378" s="1" t="s">
        <v>2822</v>
      </c>
      <c r="B378" s="1" t="s">
        <v>2823</v>
      </c>
      <c r="C378" s="1" t="s">
        <v>2824</v>
      </c>
      <c r="D378" s="1">
        <v>2019</v>
      </c>
      <c r="E378" s="1" t="s">
        <v>31</v>
      </c>
      <c r="F378" s="1">
        <v>4</v>
      </c>
      <c r="G378" s="1" t="s">
        <v>32</v>
      </c>
      <c r="H378" s="1" t="s">
        <v>151</v>
      </c>
      <c r="I378" s="1">
        <v>169000</v>
      </c>
      <c r="J378" s="1">
        <v>154000</v>
      </c>
      <c r="K378" s="1">
        <v>15000</v>
      </c>
      <c r="L378" s="1">
        <v>0</v>
      </c>
      <c r="M378" s="1" t="s">
        <v>34</v>
      </c>
      <c r="N378" s="1" t="s">
        <v>35</v>
      </c>
      <c r="O378" s="1" t="s">
        <v>103</v>
      </c>
      <c r="P378" s="1" t="s">
        <v>104</v>
      </c>
      <c r="Q378" s="1" t="s">
        <v>38</v>
      </c>
      <c r="R378" s="1" t="s">
        <v>2825</v>
      </c>
      <c r="S378" s="3">
        <v>917073000000</v>
      </c>
      <c r="T378" s="1" t="s">
        <v>74</v>
      </c>
      <c r="U378" s="1">
        <v>76</v>
      </c>
      <c r="V378" s="1">
        <v>83</v>
      </c>
      <c r="W378" s="1" t="s">
        <v>41</v>
      </c>
      <c r="X378" s="1">
        <v>213328</v>
      </c>
      <c r="Y378" s="2">
        <v>37948</v>
      </c>
      <c r="Z378" s="1">
        <v>1.1789737171464301</v>
      </c>
      <c r="AA378" s="1">
        <v>20</v>
      </c>
      <c r="AB378" s="1">
        <v>676000</v>
      </c>
      <c r="AC378" s="1">
        <f t="shared" si="5"/>
        <v>736000</v>
      </c>
    </row>
    <row r="379" spans="1:29" x14ac:dyDescent="0.25">
      <c r="A379" s="1" t="s">
        <v>2838</v>
      </c>
      <c r="B379" s="1" t="s">
        <v>2839</v>
      </c>
      <c r="C379" s="1" t="s">
        <v>2840</v>
      </c>
      <c r="D379" s="1">
        <v>2019</v>
      </c>
      <c r="E379" s="1" t="s">
        <v>31</v>
      </c>
      <c r="F379" s="1">
        <v>4</v>
      </c>
      <c r="G379" s="1" t="s">
        <v>32</v>
      </c>
      <c r="H379" s="1" t="s">
        <v>102</v>
      </c>
      <c r="I379" s="1">
        <v>169000</v>
      </c>
      <c r="J379" s="1">
        <v>154000</v>
      </c>
      <c r="K379" s="1">
        <v>15000</v>
      </c>
      <c r="L379" s="1">
        <v>0</v>
      </c>
      <c r="M379" s="1" t="s">
        <v>34</v>
      </c>
      <c r="N379" s="1" t="s">
        <v>63</v>
      </c>
      <c r="O379" s="1" t="s">
        <v>84</v>
      </c>
      <c r="P379" s="1" t="s">
        <v>65</v>
      </c>
      <c r="Q379" s="1" t="s">
        <v>38</v>
      </c>
      <c r="R379" s="1" t="s">
        <v>2841</v>
      </c>
      <c r="S379" s="3">
        <v>917498000000</v>
      </c>
      <c r="T379" s="1" t="s">
        <v>51</v>
      </c>
      <c r="U379" s="1">
        <v>76</v>
      </c>
      <c r="V379" s="1">
        <v>69</v>
      </c>
      <c r="W379" s="1" t="s">
        <v>52</v>
      </c>
      <c r="X379" s="1">
        <v>740123</v>
      </c>
      <c r="Y379" s="2">
        <v>38738</v>
      </c>
      <c r="Z379" s="1">
        <v>1.1789737171464301</v>
      </c>
      <c r="AA379" s="1">
        <v>18</v>
      </c>
      <c r="AB379" s="1">
        <v>676000</v>
      </c>
      <c r="AC379" s="1">
        <f t="shared" si="5"/>
        <v>736000</v>
      </c>
    </row>
    <row r="380" spans="1:29" x14ac:dyDescent="0.25">
      <c r="A380" s="1" t="s">
        <v>2842</v>
      </c>
      <c r="B380" s="1" t="s">
        <v>2843</v>
      </c>
      <c r="C380" s="1" t="s">
        <v>2844</v>
      </c>
      <c r="D380" s="1">
        <v>2019</v>
      </c>
      <c r="E380" s="1" t="s">
        <v>31</v>
      </c>
      <c r="F380" s="1">
        <v>4</v>
      </c>
      <c r="G380" s="1" t="s">
        <v>32</v>
      </c>
      <c r="H380" s="1" t="s">
        <v>90</v>
      </c>
      <c r="I380" s="1">
        <v>169000</v>
      </c>
      <c r="J380" s="1">
        <v>154000</v>
      </c>
      <c r="K380" s="1">
        <v>15000</v>
      </c>
      <c r="L380" s="1">
        <v>0</v>
      </c>
      <c r="M380" s="1" t="s">
        <v>34</v>
      </c>
      <c r="N380" s="1" t="s">
        <v>70</v>
      </c>
      <c r="O380" s="1" t="s">
        <v>103</v>
      </c>
      <c r="P380" s="1" t="s">
        <v>104</v>
      </c>
      <c r="Q380" s="1" t="s">
        <v>38</v>
      </c>
      <c r="R380" s="1" t="s">
        <v>2845</v>
      </c>
      <c r="S380" s="3">
        <v>918448000000</v>
      </c>
      <c r="T380" s="1" t="s">
        <v>86</v>
      </c>
      <c r="U380" s="1">
        <v>76</v>
      </c>
      <c r="V380" s="1">
        <v>92</v>
      </c>
      <c r="W380" s="1" t="s">
        <v>41</v>
      </c>
      <c r="X380" s="1">
        <v>471184</v>
      </c>
      <c r="Y380" s="2">
        <v>38649</v>
      </c>
      <c r="Z380" s="1">
        <v>1.1789737171464301</v>
      </c>
      <c r="AA380" s="1">
        <v>18</v>
      </c>
      <c r="AB380" s="1">
        <v>676000</v>
      </c>
      <c r="AC380" s="1">
        <f t="shared" si="5"/>
        <v>736000</v>
      </c>
    </row>
    <row r="381" spans="1:29" x14ac:dyDescent="0.25">
      <c r="A381" s="1" t="s">
        <v>2850</v>
      </c>
      <c r="B381" s="1" t="s">
        <v>2851</v>
      </c>
      <c r="C381" s="1" t="s">
        <v>2852</v>
      </c>
      <c r="D381" s="1">
        <v>2019</v>
      </c>
      <c r="E381" s="1" t="s">
        <v>31</v>
      </c>
      <c r="F381" s="1">
        <v>4</v>
      </c>
      <c r="G381" s="1" t="s">
        <v>32</v>
      </c>
      <c r="H381" s="1" t="s">
        <v>113</v>
      </c>
      <c r="I381" s="1">
        <v>169000</v>
      </c>
      <c r="J381" s="1">
        <v>154000</v>
      </c>
      <c r="K381" s="1">
        <v>15000</v>
      </c>
      <c r="L381" s="1">
        <v>0</v>
      </c>
      <c r="M381" s="1" t="s">
        <v>34</v>
      </c>
      <c r="N381" s="1" t="s">
        <v>63</v>
      </c>
      <c r="O381" s="1" t="s">
        <v>64</v>
      </c>
      <c r="P381" s="1" t="s">
        <v>65</v>
      </c>
      <c r="Q381" s="1" t="s">
        <v>38</v>
      </c>
      <c r="R381" s="1" t="s">
        <v>2853</v>
      </c>
      <c r="S381" s="3">
        <v>919040000000</v>
      </c>
      <c r="T381" s="1" t="s">
        <v>40</v>
      </c>
      <c r="U381" s="1">
        <v>76</v>
      </c>
      <c r="V381" s="1">
        <v>68</v>
      </c>
      <c r="W381" s="1" t="s">
        <v>41</v>
      </c>
      <c r="X381" s="1">
        <v>783446</v>
      </c>
      <c r="Y381" s="2">
        <v>38062</v>
      </c>
      <c r="Z381" s="1">
        <v>1.1789737171464301</v>
      </c>
      <c r="AA381" s="1">
        <v>20</v>
      </c>
      <c r="AB381" s="1">
        <v>676000</v>
      </c>
      <c r="AC381" s="1">
        <f t="shared" si="5"/>
        <v>736000</v>
      </c>
    </row>
    <row r="382" spans="1:29" x14ac:dyDescent="0.25">
      <c r="A382" s="1" t="s">
        <v>2858</v>
      </c>
      <c r="B382" s="1" t="s">
        <v>1529</v>
      </c>
      <c r="C382" s="1" t="s">
        <v>1530</v>
      </c>
      <c r="D382" s="1">
        <v>2019</v>
      </c>
      <c r="E382" s="1" t="s">
        <v>31</v>
      </c>
      <c r="F382" s="1">
        <v>4</v>
      </c>
      <c r="G382" s="1" t="s">
        <v>32</v>
      </c>
      <c r="H382" s="1" t="s">
        <v>62</v>
      </c>
      <c r="I382" s="1">
        <v>169000</v>
      </c>
      <c r="J382" s="1">
        <v>154000</v>
      </c>
      <c r="K382" s="1">
        <v>15000</v>
      </c>
      <c r="L382" s="1">
        <v>0</v>
      </c>
      <c r="M382" s="1" t="s">
        <v>34</v>
      </c>
      <c r="N382" s="1" t="s">
        <v>70</v>
      </c>
      <c r="O382" s="1" t="s">
        <v>103</v>
      </c>
      <c r="P382" s="1" t="s">
        <v>104</v>
      </c>
      <c r="Q382" s="1" t="s">
        <v>38</v>
      </c>
      <c r="R382" s="1" t="s">
        <v>2859</v>
      </c>
      <c r="S382" s="3">
        <v>918990000000</v>
      </c>
      <c r="T382" s="1" t="s">
        <v>86</v>
      </c>
      <c r="U382" s="1">
        <v>76</v>
      </c>
      <c r="V382" s="1">
        <v>82</v>
      </c>
      <c r="W382" s="1" t="s">
        <v>41</v>
      </c>
      <c r="X382" s="1">
        <v>202404</v>
      </c>
      <c r="Y382" s="2">
        <v>38681</v>
      </c>
      <c r="Z382" s="1">
        <v>1.1789737171464301</v>
      </c>
      <c r="AA382" s="1">
        <v>18</v>
      </c>
      <c r="AB382" s="1">
        <v>676000</v>
      </c>
      <c r="AC382" s="1">
        <f t="shared" si="5"/>
        <v>736000</v>
      </c>
    </row>
    <row r="383" spans="1:29" x14ac:dyDescent="0.25">
      <c r="A383" s="1" t="s">
        <v>2866</v>
      </c>
      <c r="B383" s="1" t="s">
        <v>2867</v>
      </c>
      <c r="C383" s="1" t="s">
        <v>2868</v>
      </c>
      <c r="D383" s="1">
        <v>2019</v>
      </c>
      <c r="E383" s="1" t="s">
        <v>31</v>
      </c>
      <c r="F383" s="1">
        <v>4</v>
      </c>
      <c r="G383" s="1" t="s">
        <v>32</v>
      </c>
      <c r="H383" s="1" t="s">
        <v>56</v>
      </c>
      <c r="I383" s="1">
        <v>169000</v>
      </c>
      <c r="J383" s="1">
        <v>154000</v>
      </c>
      <c r="K383" s="1">
        <v>15000</v>
      </c>
      <c r="L383" s="1">
        <v>0</v>
      </c>
      <c r="M383" s="1" t="s">
        <v>34</v>
      </c>
      <c r="N383" s="1" t="s">
        <v>70</v>
      </c>
      <c r="O383" s="1" t="s">
        <v>188</v>
      </c>
      <c r="P383" s="1" t="s">
        <v>189</v>
      </c>
      <c r="Q383" s="1" t="s">
        <v>38</v>
      </c>
      <c r="R383" s="1" t="s">
        <v>2869</v>
      </c>
      <c r="S383" s="3">
        <v>919481000000</v>
      </c>
      <c r="T383" s="1" t="s">
        <v>98</v>
      </c>
      <c r="U383" s="1">
        <v>76</v>
      </c>
      <c r="V383" s="1">
        <v>75</v>
      </c>
      <c r="W383" s="1" t="s">
        <v>52</v>
      </c>
      <c r="X383" s="1">
        <v>131047</v>
      </c>
      <c r="Y383" s="2">
        <v>37826</v>
      </c>
      <c r="Z383" s="1">
        <v>1.1789737171464301</v>
      </c>
      <c r="AA383" s="1">
        <v>20</v>
      </c>
      <c r="AB383" s="1">
        <v>676000</v>
      </c>
      <c r="AC383" s="1">
        <f t="shared" si="5"/>
        <v>736000</v>
      </c>
    </row>
    <row r="384" spans="1:29" x14ac:dyDescent="0.25">
      <c r="A384" s="1" t="s">
        <v>2878</v>
      </c>
      <c r="B384" s="1" t="s">
        <v>2879</v>
      </c>
      <c r="C384" s="1" t="s">
        <v>2880</v>
      </c>
      <c r="D384" s="1">
        <v>2019</v>
      </c>
      <c r="E384" s="1" t="s">
        <v>45</v>
      </c>
      <c r="F384" s="1">
        <v>2</v>
      </c>
      <c r="G384" s="1" t="s">
        <v>46</v>
      </c>
      <c r="H384" s="1" t="s">
        <v>62</v>
      </c>
      <c r="I384" s="1">
        <v>92000</v>
      </c>
      <c r="J384" s="1">
        <v>77000</v>
      </c>
      <c r="K384" s="1">
        <v>15000</v>
      </c>
      <c r="L384" s="1">
        <v>0</v>
      </c>
      <c r="M384" s="1" t="s">
        <v>34</v>
      </c>
      <c r="N384" s="1" t="s">
        <v>70</v>
      </c>
      <c r="O384" s="1" t="s">
        <v>36</v>
      </c>
      <c r="P384" s="1" t="s">
        <v>37</v>
      </c>
      <c r="Q384" s="1" t="s">
        <v>38</v>
      </c>
      <c r="R384" s="1" t="s">
        <v>2881</v>
      </c>
      <c r="S384" s="3">
        <v>918425000000</v>
      </c>
      <c r="T384" s="1" t="s">
        <v>86</v>
      </c>
      <c r="U384" s="1">
        <v>76</v>
      </c>
      <c r="V384" s="1">
        <v>67</v>
      </c>
      <c r="W384" s="1" t="s">
        <v>41</v>
      </c>
      <c r="X384" s="1">
        <v>456024</v>
      </c>
      <c r="Y384" s="2">
        <v>35740</v>
      </c>
      <c r="Z384" s="1">
        <v>1.1789737171464301</v>
      </c>
      <c r="AA384" s="1">
        <v>26</v>
      </c>
      <c r="AB384" s="1">
        <v>184000</v>
      </c>
      <c r="AC384" s="1">
        <f t="shared" si="5"/>
        <v>214000</v>
      </c>
    </row>
    <row r="385" spans="1:29" x14ac:dyDescent="0.25">
      <c r="A385" s="1" t="s">
        <v>2932</v>
      </c>
      <c r="B385" s="1" t="s">
        <v>2643</v>
      </c>
      <c r="C385" s="1" t="s">
        <v>2644</v>
      </c>
      <c r="D385" s="1">
        <v>2019</v>
      </c>
      <c r="E385" s="1" t="s">
        <v>45</v>
      </c>
      <c r="F385" s="1">
        <v>2</v>
      </c>
      <c r="G385" s="1" t="s">
        <v>46</v>
      </c>
      <c r="H385" s="1" t="s">
        <v>62</v>
      </c>
      <c r="I385" s="1">
        <v>92000</v>
      </c>
      <c r="J385" s="1">
        <v>77000</v>
      </c>
      <c r="K385" s="1">
        <v>15000</v>
      </c>
      <c r="L385" s="1">
        <v>0</v>
      </c>
      <c r="M385" s="1" t="s">
        <v>34</v>
      </c>
      <c r="N385" s="1" t="s">
        <v>63</v>
      </c>
      <c r="O385" s="1" t="s">
        <v>71</v>
      </c>
      <c r="P385" s="1" t="s">
        <v>72</v>
      </c>
      <c r="Q385" s="1" t="s">
        <v>38</v>
      </c>
      <c r="R385" s="1" t="s">
        <v>2933</v>
      </c>
      <c r="S385" s="3">
        <v>919595000000</v>
      </c>
      <c r="T385" s="1" t="s">
        <v>74</v>
      </c>
      <c r="U385" s="1">
        <v>75</v>
      </c>
      <c r="V385" s="1">
        <v>68</v>
      </c>
      <c r="W385" s="1" t="s">
        <v>41</v>
      </c>
      <c r="X385" s="1">
        <v>425325</v>
      </c>
      <c r="Y385" s="2">
        <v>36993</v>
      </c>
      <c r="Z385" s="1">
        <v>0.17897371714643301</v>
      </c>
      <c r="AA385" s="1">
        <v>23</v>
      </c>
      <c r="AB385" s="1">
        <v>184000</v>
      </c>
      <c r="AC385" s="1">
        <f t="shared" si="5"/>
        <v>214000</v>
      </c>
    </row>
    <row r="386" spans="1:29" x14ac:dyDescent="0.25">
      <c r="A386" s="1" t="s">
        <v>2964</v>
      </c>
      <c r="B386" s="1" t="s">
        <v>2965</v>
      </c>
      <c r="C386" s="1" t="s">
        <v>2966</v>
      </c>
      <c r="D386" s="1">
        <v>2019</v>
      </c>
      <c r="E386" s="1" t="s">
        <v>31</v>
      </c>
      <c r="F386" s="1">
        <v>4</v>
      </c>
      <c r="G386" s="1" t="s">
        <v>32</v>
      </c>
      <c r="H386" s="1" t="s">
        <v>90</v>
      </c>
      <c r="I386" s="1">
        <v>169000</v>
      </c>
      <c r="J386" s="1">
        <v>154000</v>
      </c>
      <c r="K386" s="1">
        <v>15000</v>
      </c>
      <c r="L386" s="1">
        <v>0</v>
      </c>
      <c r="M386" s="1" t="s">
        <v>34</v>
      </c>
      <c r="N386" s="1" t="s">
        <v>63</v>
      </c>
      <c r="O386" s="1" t="s">
        <v>91</v>
      </c>
      <c r="P386" s="1" t="s">
        <v>92</v>
      </c>
      <c r="Q386" s="1" t="s">
        <v>38</v>
      </c>
      <c r="R386" s="1" t="s">
        <v>2967</v>
      </c>
      <c r="S386" s="3">
        <v>918186000000</v>
      </c>
      <c r="T386" s="1" t="s">
        <v>86</v>
      </c>
      <c r="U386" s="1">
        <v>75</v>
      </c>
      <c r="V386" s="1">
        <v>90</v>
      </c>
      <c r="W386" s="1" t="s">
        <v>52</v>
      </c>
      <c r="X386" s="1">
        <v>128427</v>
      </c>
      <c r="Y386" s="2">
        <v>38485</v>
      </c>
      <c r="Z386" s="1">
        <v>0.17897371714643301</v>
      </c>
      <c r="AA386" s="1">
        <v>19</v>
      </c>
      <c r="AB386" s="1">
        <v>676000</v>
      </c>
      <c r="AC386" s="1">
        <f t="shared" si="5"/>
        <v>736000</v>
      </c>
    </row>
    <row r="387" spans="1:29" x14ac:dyDescent="0.25">
      <c r="A387" s="1" t="s">
        <v>2994</v>
      </c>
      <c r="B387" s="1" t="s">
        <v>2995</v>
      </c>
      <c r="C387" s="1" t="s">
        <v>2996</v>
      </c>
      <c r="D387" s="1">
        <v>2019</v>
      </c>
      <c r="E387" s="1" t="s">
        <v>31</v>
      </c>
      <c r="F387" s="1">
        <v>4</v>
      </c>
      <c r="G387" s="1" t="s">
        <v>32</v>
      </c>
      <c r="H387" s="1" t="s">
        <v>47</v>
      </c>
      <c r="I387" s="1">
        <v>169000</v>
      </c>
      <c r="J387" s="1">
        <v>154000</v>
      </c>
      <c r="K387" s="1">
        <v>15000</v>
      </c>
      <c r="L387" s="1">
        <v>0</v>
      </c>
      <c r="M387" s="1" t="s">
        <v>34</v>
      </c>
      <c r="N387" s="1" t="s">
        <v>70</v>
      </c>
      <c r="O387" s="1" t="s">
        <v>91</v>
      </c>
      <c r="P387" s="1" t="s">
        <v>92</v>
      </c>
      <c r="Q387" s="1" t="s">
        <v>38</v>
      </c>
      <c r="R387" s="1" t="s">
        <v>2997</v>
      </c>
      <c r="S387" s="3">
        <v>918007000000</v>
      </c>
      <c r="T387" s="1" t="s">
        <v>86</v>
      </c>
      <c r="U387" s="1">
        <v>75</v>
      </c>
      <c r="V387" s="1">
        <v>69</v>
      </c>
      <c r="W387" s="1" t="s">
        <v>41</v>
      </c>
      <c r="X387" s="1">
        <v>742515</v>
      </c>
      <c r="Y387" s="2">
        <v>37697</v>
      </c>
      <c r="Z387" s="1">
        <v>0.17897371714643301</v>
      </c>
      <c r="AA387" s="1">
        <v>21</v>
      </c>
      <c r="AB387" s="1">
        <v>676000</v>
      </c>
      <c r="AC387" s="1">
        <f t="shared" si="5"/>
        <v>736000</v>
      </c>
    </row>
    <row r="388" spans="1:29" x14ac:dyDescent="0.25">
      <c r="A388" s="1" t="s">
        <v>3002</v>
      </c>
      <c r="B388" s="1" t="s">
        <v>3003</v>
      </c>
      <c r="C388" s="1" t="s">
        <v>3004</v>
      </c>
      <c r="D388" s="1">
        <v>2019</v>
      </c>
      <c r="E388" s="1" t="s">
        <v>31</v>
      </c>
      <c r="F388" s="1">
        <v>4</v>
      </c>
      <c r="G388" s="1" t="s">
        <v>32</v>
      </c>
      <c r="H388" s="1" t="s">
        <v>122</v>
      </c>
      <c r="I388" s="1">
        <v>169000</v>
      </c>
      <c r="J388" s="1">
        <v>154000</v>
      </c>
      <c r="K388" s="1">
        <v>15000</v>
      </c>
      <c r="L388" s="1">
        <v>0</v>
      </c>
      <c r="M388" s="1" t="s">
        <v>34</v>
      </c>
      <c r="N388" s="1" t="s">
        <v>70</v>
      </c>
      <c r="O388" s="1" t="s">
        <v>188</v>
      </c>
      <c r="P388" s="1" t="s">
        <v>189</v>
      </c>
      <c r="Q388" s="1" t="s">
        <v>38</v>
      </c>
      <c r="R388" s="1" t="s">
        <v>3005</v>
      </c>
      <c r="S388" s="3">
        <v>917663000000</v>
      </c>
      <c r="T388" s="1" t="s">
        <v>51</v>
      </c>
      <c r="U388" s="1">
        <v>75</v>
      </c>
      <c r="V388" s="1">
        <v>67</v>
      </c>
      <c r="W388" s="1" t="s">
        <v>52</v>
      </c>
      <c r="X388" s="1">
        <v>535709</v>
      </c>
      <c r="Y388" s="2">
        <v>38676</v>
      </c>
      <c r="Z388" s="1">
        <v>0.17897371714643301</v>
      </c>
      <c r="AA388" s="1">
        <v>18</v>
      </c>
      <c r="AB388" s="1">
        <v>676000</v>
      </c>
      <c r="AC388" s="1">
        <f t="shared" si="5"/>
        <v>736000</v>
      </c>
    </row>
    <row r="389" spans="1:29" x14ac:dyDescent="0.25">
      <c r="A389" s="1" t="s">
        <v>3020</v>
      </c>
      <c r="B389" s="1" t="s">
        <v>2666</v>
      </c>
      <c r="C389" s="1" t="s">
        <v>2667</v>
      </c>
      <c r="D389" s="1">
        <v>2019</v>
      </c>
      <c r="E389" s="1" t="s">
        <v>45</v>
      </c>
      <c r="F389" s="1">
        <v>2</v>
      </c>
      <c r="G389" s="1" t="s">
        <v>46</v>
      </c>
      <c r="H389" s="1" t="s">
        <v>113</v>
      </c>
      <c r="I389" s="1">
        <v>92000</v>
      </c>
      <c r="J389" s="1">
        <v>77000</v>
      </c>
      <c r="K389" s="1">
        <v>15000</v>
      </c>
      <c r="L389" s="1">
        <v>0</v>
      </c>
      <c r="M389" s="1" t="s">
        <v>34</v>
      </c>
      <c r="N389" s="1" t="s">
        <v>35</v>
      </c>
      <c r="O389" s="1" t="s">
        <v>78</v>
      </c>
      <c r="P389" s="1" t="s">
        <v>79</v>
      </c>
      <c r="Q389" s="1" t="s">
        <v>38</v>
      </c>
      <c r="R389" s="1" t="s">
        <v>3021</v>
      </c>
      <c r="S389" s="3">
        <v>919260000000</v>
      </c>
      <c r="T389" s="1" t="s">
        <v>40</v>
      </c>
      <c r="U389" s="1">
        <v>75</v>
      </c>
      <c r="V389" s="1">
        <v>88</v>
      </c>
      <c r="W389" s="1" t="s">
        <v>41</v>
      </c>
      <c r="X389" s="1">
        <v>147243</v>
      </c>
      <c r="Y389" s="2">
        <v>36102</v>
      </c>
      <c r="Z389" s="1">
        <v>0.17897371714643301</v>
      </c>
      <c r="AA389" s="1">
        <v>25</v>
      </c>
      <c r="AB389" s="1">
        <v>184000</v>
      </c>
      <c r="AC389" s="1">
        <f t="shared" si="5"/>
        <v>214000</v>
      </c>
    </row>
    <row r="390" spans="1:29" x14ac:dyDescent="0.25">
      <c r="A390" s="1" t="s">
        <v>3022</v>
      </c>
      <c r="B390" s="1" t="s">
        <v>3023</v>
      </c>
      <c r="C390" s="1" t="s">
        <v>3024</v>
      </c>
      <c r="D390" s="1">
        <v>2019</v>
      </c>
      <c r="E390" s="1" t="s">
        <v>45</v>
      </c>
      <c r="F390" s="1">
        <v>2</v>
      </c>
      <c r="G390" s="1" t="s">
        <v>46</v>
      </c>
      <c r="H390" s="1" t="s">
        <v>33</v>
      </c>
      <c r="I390" s="1">
        <v>92000</v>
      </c>
      <c r="J390" s="1">
        <v>77000</v>
      </c>
      <c r="K390" s="1">
        <v>15000</v>
      </c>
      <c r="L390" s="1">
        <v>0</v>
      </c>
      <c r="M390" s="1" t="s">
        <v>34</v>
      </c>
      <c r="N390" s="1" t="s">
        <v>63</v>
      </c>
      <c r="O390" s="1" t="s">
        <v>103</v>
      </c>
      <c r="P390" s="1" t="s">
        <v>104</v>
      </c>
      <c r="Q390" s="1" t="s">
        <v>38</v>
      </c>
      <c r="R390" s="1" t="s">
        <v>3025</v>
      </c>
      <c r="S390" s="3">
        <v>918133000000</v>
      </c>
      <c r="T390" s="1" t="s">
        <v>40</v>
      </c>
      <c r="U390" s="1">
        <v>75</v>
      </c>
      <c r="V390" s="1">
        <v>91</v>
      </c>
      <c r="W390" s="1" t="s">
        <v>52</v>
      </c>
      <c r="X390" s="1">
        <v>549862</v>
      </c>
      <c r="Y390" s="2">
        <v>36514</v>
      </c>
      <c r="Z390" s="1">
        <v>0.17897371714643301</v>
      </c>
      <c r="AA390" s="1">
        <v>24</v>
      </c>
      <c r="AB390" s="1">
        <v>184000</v>
      </c>
      <c r="AC390" s="1">
        <f t="shared" ref="AC390:AC453" si="6">IF(F390 = 2, AB390+30000,AB390+60000)</f>
        <v>214000</v>
      </c>
    </row>
    <row r="391" spans="1:29" x14ac:dyDescent="0.25">
      <c r="A391" s="1" t="s">
        <v>3038</v>
      </c>
      <c r="B391" s="1" t="s">
        <v>2482</v>
      </c>
      <c r="C391" s="1" t="s">
        <v>2483</v>
      </c>
      <c r="D391" s="1">
        <v>2019</v>
      </c>
      <c r="E391" s="1" t="s">
        <v>45</v>
      </c>
      <c r="F391" s="1">
        <v>2</v>
      </c>
      <c r="G391" s="1" t="s">
        <v>46</v>
      </c>
      <c r="H391" s="1" t="s">
        <v>33</v>
      </c>
      <c r="I391" s="1">
        <v>92000</v>
      </c>
      <c r="J391" s="1">
        <v>77000</v>
      </c>
      <c r="K391" s="1">
        <v>15000</v>
      </c>
      <c r="L391" s="1">
        <v>0</v>
      </c>
      <c r="M391" s="1" t="s">
        <v>34</v>
      </c>
      <c r="N391" s="1" t="s">
        <v>70</v>
      </c>
      <c r="O391" s="1" t="s">
        <v>64</v>
      </c>
      <c r="P391" s="1" t="s">
        <v>65</v>
      </c>
      <c r="Q391" s="1" t="s">
        <v>38</v>
      </c>
      <c r="R391" s="1" t="s">
        <v>3039</v>
      </c>
      <c r="S391" s="3">
        <v>917881000000</v>
      </c>
      <c r="T391" s="1" t="s">
        <v>40</v>
      </c>
      <c r="U391" s="1">
        <v>75</v>
      </c>
      <c r="V391" s="1">
        <v>64</v>
      </c>
      <c r="W391" s="1" t="s">
        <v>52</v>
      </c>
      <c r="X391" s="1">
        <v>406737</v>
      </c>
      <c r="Y391" s="2">
        <v>36425</v>
      </c>
      <c r="Z391" s="1">
        <v>0.17897371714643301</v>
      </c>
      <c r="AA391" s="1">
        <v>24</v>
      </c>
      <c r="AB391" s="1">
        <v>184000</v>
      </c>
      <c r="AC391" s="1">
        <f t="shared" si="6"/>
        <v>214000</v>
      </c>
    </row>
    <row r="392" spans="1:29" x14ac:dyDescent="0.25">
      <c r="A392" s="1" t="s">
        <v>3040</v>
      </c>
      <c r="B392" s="1" t="s">
        <v>3041</v>
      </c>
      <c r="C392" s="1" t="s">
        <v>3042</v>
      </c>
      <c r="D392" s="1">
        <v>2019</v>
      </c>
      <c r="E392" s="1" t="s">
        <v>31</v>
      </c>
      <c r="F392" s="1">
        <v>4</v>
      </c>
      <c r="G392" s="1" t="s">
        <v>32</v>
      </c>
      <c r="H392" s="1" t="s">
        <v>56</v>
      </c>
      <c r="I392" s="1">
        <v>169000</v>
      </c>
      <c r="J392" s="1">
        <v>154000</v>
      </c>
      <c r="K392" s="1">
        <v>15000</v>
      </c>
      <c r="L392" s="1">
        <v>0</v>
      </c>
      <c r="M392" s="1" t="s">
        <v>34</v>
      </c>
      <c r="N392" s="1" t="s">
        <v>70</v>
      </c>
      <c r="O392" s="1" t="s">
        <v>91</v>
      </c>
      <c r="P392" s="1" t="s">
        <v>92</v>
      </c>
      <c r="Q392" s="1" t="s">
        <v>38</v>
      </c>
      <c r="R392" s="1" t="s">
        <v>3043</v>
      </c>
      <c r="S392" s="3">
        <v>917492000000</v>
      </c>
      <c r="T392" s="1" t="s">
        <v>86</v>
      </c>
      <c r="U392" s="1">
        <v>75</v>
      </c>
      <c r="V392" s="1">
        <v>88</v>
      </c>
      <c r="W392" s="1" t="s">
        <v>41</v>
      </c>
      <c r="X392" s="1">
        <v>301586</v>
      </c>
      <c r="Y392" s="2">
        <v>38696</v>
      </c>
      <c r="Z392" s="1">
        <v>0.17897371714643301</v>
      </c>
      <c r="AA392" s="1">
        <v>18</v>
      </c>
      <c r="AB392" s="1">
        <v>676000</v>
      </c>
      <c r="AC392" s="1">
        <f t="shared" si="6"/>
        <v>736000</v>
      </c>
    </row>
    <row r="393" spans="1:29" x14ac:dyDescent="0.25">
      <c r="A393" s="1" t="s">
        <v>3048</v>
      </c>
      <c r="B393" s="1" t="s">
        <v>3049</v>
      </c>
      <c r="C393" s="1" t="s">
        <v>3050</v>
      </c>
      <c r="D393" s="1">
        <v>2019</v>
      </c>
      <c r="E393" s="1" t="s">
        <v>45</v>
      </c>
      <c r="F393" s="1">
        <v>2</v>
      </c>
      <c r="G393" s="1" t="s">
        <v>46</v>
      </c>
      <c r="H393" s="1" t="s">
        <v>62</v>
      </c>
      <c r="I393" s="1">
        <v>92000</v>
      </c>
      <c r="J393" s="1">
        <v>77000</v>
      </c>
      <c r="K393" s="1">
        <v>15000</v>
      </c>
      <c r="L393" s="1">
        <v>0</v>
      </c>
      <c r="M393" s="1" t="s">
        <v>34</v>
      </c>
      <c r="N393" s="1" t="s">
        <v>63</v>
      </c>
      <c r="O393" s="1" t="s">
        <v>71</v>
      </c>
      <c r="P393" s="1" t="s">
        <v>72</v>
      </c>
      <c r="Q393" s="1" t="s">
        <v>38</v>
      </c>
      <c r="R393" s="1" t="s">
        <v>3051</v>
      </c>
      <c r="S393" s="3">
        <v>918496000000</v>
      </c>
      <c r="T393" s="1" t="s">
        <v>74</v>
      </c>
      <c r="U393" s="1">
        <v>75</v>
      </c>
      <c r="V393" s="1">
        <v>68</v>
      </c>
      <c r="W393" s="1" t="s">
        <v>52</v>
      </c>
      <c r="X393" s="1">
        <v>420490</v>
      </c>
      <c r="Y393" s="2">
        <v>35558</v>
      </c>
      <c r="Z393" s="1">
        <v>0.17897371714643301</v>
      </c>
      <c r="AA393" s="1">
        <v>27</v>
      </c>
      <c r="AB393" s="1">
        <v>184000</v>
      </c>
      <c r="AC393" s="1">
        <f t="shared" si="6"/>
        <v>214000</v>
      </c>
    </row>
    <row r="394" spans="1:29" x14ac:dyDescent="0.25">
      <c r="A394" s="1" t="s">
        <v>3052</v>
      </c>
      <c r="B394" s="1" t="s">
        <v>2154</v>
      </c>
      <c r="C394" s="1" t="s">
        <v>2155</v>
      </c>
      <c r="D394" s="1">
        <v>2019</v>
      </c>
      <c r="E394" s="1" t="s">
        <v>45</v>
      </c>
      <c r="F394" s="1">
        <v>2</v>
      </c>
      <c r="G394" s="1" t="s">
        <v>46</v>
      </c>
      <c r="H394" s="1" t="s">
        <v>90</v>
      </c>
      <c r="I394" s="1">
        <v>92000</v>
      </c>
      <c r="J394" s="1">
        <v>77000</v>
      </c>
      <c r="K394" s="1">
        <v>15000</v>
      </c>
      <c r="L394" s="1">
        <v>0</v>
      </c>
      <c r="M394" s="1" t="s">
        <v>34</v>
      </c>
      <c r="N394" s="1" t="s">
        <v>63</v>
      </c>
      <c r="O394" s="1" t="s">
        <v>48</v>
      </c>
      <c r="P394" s="1" t="s">
        <v>49</v>
      </c>
      <c r="Q394" s="1" t="s">
        <v>38</v>
      </c>
      <c r="R394" s="1" t="s">
        <v>3053</v>
      </c>
      <c r="S394" s="3">
        <v>919295000000</v>
      </c>
      <c r="T394" s="1" t="s">
        <v>51</v>
      </c>
      <c r="U394" s="1">
        <v>75</v>
      </c>
      <c r="V394" s="1">
        <v>83</v>
      </c>
      <c r="W394" s="1" t="s">
        <v>52</v>
      </c>
      <c r="X394" s="1">
        <v>349758</v>
      </c>
      <c r="Y394" s="2">
        <v>35659</v>
      </c>
      <c r="Z394" s="1">
        <v>0.17897371714643301</v>
      </c>
      <c r="AA394" s="1">
        <v>26</v>
      </c>
      <c r="AB394" s="1">
        <v>184000</v>
      </c>
      <c r="AC394" s="1">
        <f t="shared" si="6"/>
        <v>214000</v>
      </c>
    </row>
    <row r="395" spans="1:29" x14ac:dyDescent="0.25">
      <c r="A395" s="1" t="s">
        <v>3060</v>
      </c>
      <c r="B395" s="1" t="s">
        <v>2631</v>
      </c>
      <c r="C395" s="1" t="s">
        <v>2632</v>
      </c>
      <c r="D395" s="1">
        <v>2019</v>
      </c>
      <c r="E395" s="1" t="s">
        <v>45</v>
      </c>
      <c r="F395" s="1">
        <v>2</v>
      </c>
      <c r="G395" s="1" t="s">
        <v>46</v>
      </c>
      <c r="H395" s="1" t="s">
        <v>33</v>
      </c>
      <c r="I395" s="1">
        <v>92000</v>
      </c>
      <c r="J395" s="1">
        <v>77000</v>
      </c>
      <c r="K395" s="1">
        <v>15000</v>
      </c>
      <c r="L395" s="1">
        <v>0</v>
      </c>
      <c r="M395" s="1" t="s">
        <v>34</v>
      </c>
      <c r="N395" s="1" t="s">
        <v>35</v>
      </c>
      <c r="O395" s="1" t="s">
        <v>78</v>
      </c>
      <c r="P395" s="1" t="s">
        <v>79</v>
      </c>
      <c r="Q395" s="1" t="s">
        <v>38</v>
      </c>
      <c r="R395" s="1" t="s">
        <v>3061</v>
      </c>
      <c r="S395" s="3">
        <v>918352000000</v>
      </c>
      <c r="T395" s="1" t="s">
        <v>86</v>
      </c>
      <c r="U395" s="1">
        <v>75</v>
      </c>
      <c r="V395" s="1">
        <v>66</v>
      </c>
      <c r="W395" s="1" t="s">
        <v>52</v>
      </c>
      <c r="X395" s="1">
        <v>199379</v>
      </c>
      <c r="Y395" s="2">
        <v>35283</v>
      </c>
      <c r="Z395" s="1">
        <v>0.17897371714643301</v>
      </c>
      <c r="AA395" s="1">
        <v>27</v>
      </c>
      <c r="AB395" s="1">
        <v>184000</v>
      </c>
      <c r="AC395" s="1">
        <f t="shared" si="6"/>
        <v>214000</v>
      </c>
    </row>
    <row r="396" spans="1:29" x14ac:dyDescent="0.25">
      <c r="A396" s="1" t="s">
        <v>3114</v>
      </c>
      <c r="B396" s="1" t="s">
        <v>3115</v>
      </c>
      <c r="C396" s="1" t="s">
        <v>3116</v>
      </c>
      <c r="D396" s="1">
        <v>2019</v>
      </c>
      <c r="E396" s="1" t="s">
        <v>45</v>
      </c>
      <c r="F396" s="1">
        <v>2</v>
      </c>
      <c r="G396" s="1" t="s">
        <v>46</v>
      </c>
      <c r="H396" s="1" t="s">
        <v>113</v>
      </c>
      <c r="I396" s="1">
        <v>92000</v>
      </c>
      <c r="J396" s="1">
        <v>77000</v>
      </c>
      <c r="K396" s="1">
        <v>15000</v>
      </c>
      <c r="L396" s="1">
        <v>0</v>
      </c>
      <c r="M396" s="1" t="s">
        <v>34</v>
      </c>
      <c r="N396" s="1" t="s">
        <v>35</v>
      </c>
      <c r="O396" s="1" t="s">
        <v>188</v>
      </c>
      <c r="P396" s="1" t="s">
        <v>189</v>
      </c>
      <c r="Q396" s="1" t="s">
        <v>38</v>
      </c>
      <c r="R396" s="1" t="s">
        <v>3117</v>
      </c>
      <c r="S396" s="3">
        <v>917869000000</v>
      </c>
      <c r="T396" s="1" t="s">
        <v>98</v>
      </c>
      <c r="U396" s="1">
        <v>74</v>
      </c>
      <c r="V396" s="1">
        <v>86</v>
      </c>
      <c r="W396" s="1" t="s">
        <v>41</v>
      </c>
      <c r="X396" s="1">
        <v>116585</v>
      </c>
      <c r="Y396" s="2">
        <v>37136</v>
      </c>
      <c r="Z396" s="1">
        <v>-0.82102628285356605</v>
      </c>
      <c r="AA396" s="1">
        <v>22</v>
      </c>
      <c r="AB396" s="1">
        <v>184000</v>
      </c>
      <c r="AC396" s="1">
        <f t="shared" si="6"/>
        <v>214000</v>
      </c>
    </row>
    <row r="397" spans="1:29" x14ac:dyDescent="0.25">
      <c r="A397" s="1" t="s">
        <v>3136</v>
      </c>
      <c r="B397" s="1" t="s">
        <v>3137</v>
      </c>
      <c r="C397" s="1" t="s">
        <v>3138</v>
      </c>
      <c r="D397" s="1">
        <v>2019</v>
      </c>
      <c r="E397" s="1" t="s">
        <v>45</v>
      </c>
      <c r="F397" s="1">
        <v>2</v>
      </c>
      <c r="G397" s="1" t="s">
        <v>46</v>
      </c>
      <c r="H397" s="1" t="s">
        <v>62</v>
      </c>
      <c r="I397" s="1">
        <v>92000</v>
      </c>
      <c r="J397" s="1">
        <v>77000</v>
      </c>
      <c r="K397" s="1">
        <v>15000</v>
      </c>
      <c r="L397" s="1">
        <v>0</v>
      </c>
      <c r="M397" s="1" t="s">
        <v>34</v>
      </c>
      <c r="N397" s="1" t="s">
        <v>70</v>
      </c>
      <c r="O397" s="1" t="s">
        <v>78</v>
      </c>
      <c r="P397" s="1" t="s">
        <v>79</v>
      </c>
      <c r="Q397" s="1" t="s">
        <v>38</v>
      </c>
      <c r="R397" s="1" t="s">
        <v>3139</v>
      </c>
      <c r="S397" s="3">
        <v>919149000000</v>
      </c>
      <c r="T397" s="1" t="s">
        <v>40</v>
      </c>
      <c r="U397" s="1">
        <v>74</v>
      </c>
      <c r="V397" s="1">
        <v>78</v>
      </c>
      <c r="W397" s="1" t="s">
        <v>52</v>
      </c>
      <c r="X397" s="1">
        <v>280848</v>
      </c>
      <c r="Y397" s="2">
        <v>35312</v>
      </c>
      <c r="Z397" s="1">
        <v>-0.82102628285356605</v>
      </c>
      <c r="AA397" s="1">
        <v>27</v>
      </c>
      <c r="AB397" s="1">
        <v>184000</v>
      </c>
      <c r="AC397" s="1">
        <f t="shared" si="6"/>
        <v>214000</v>
      </c>
    </row>
    <row r="398" spans="1:29" x14ac:dyDescent="0.25">
      <c r="A398" s="1" t="s">
        <v>3140</v>
      </c>
      <c r="B398" s="1" t="s">
        <v>2589</v>
      </c>
      <c r="C398" s="1" t="s">
        <v>2590</v>
      </c>
      <c r="D398" s="1">
        <v>2019</v>
      </c>
      <c r="E398" s="1" t="s">
        <v>45</v>
      </c>
      <c r="F398" s="1">
        <v>2</v>
      </c>
      <c r="G398" s="1" t="s">
        <v>46</v>
      </c>
      <c r="H398" s="1" t="s">
        <v>90</v>
      </c>
      <c r="I398" s="1">
        <v>92000</v>
      </c>
      <c r="J398" s="1">
        <v>77000</v>
      </c>
      <c r="K398" s="1">
        <v>15000</v>
      </c>
      <c r="L398" s="1">
        <v>0</v>
      </c>
      <c r="M398" s="1" t="s">
        <v>34</v>
      </c>
      <c r="N398" s="1" t="s">
        <v>35</v>
      </c>
      <c r="O398" s="1" t="s">
        <v>91</v>
      </c>
      <c r="P398" s="1" t="s">
        <v>92</v>
      </c>
      <c r="Q398" s="1" t="s">
        <v>38</v>
      </c>
      <c r="R398" s="1" t="s">
        <v>3141</v>
      </c>
      <c r="S398" s="3">
        <v>919313000000</v>
      </c>
      <c r="T398" s="1" t="s">
        <v>86</v>
      </c>
      <c r="U398" s="1">
        <v>74</v>
      </c>
      <c r="V398" s="1">
        <v>88</v>
      </c>
      <c r="W398" s="1" t="s">
        <v>41</v>
      </c>
      <c r="X398" s="1">
        <v>532701</v>
      </c>
      <c r="Y398" s="2">
        <v>36521</v>
      </c>
      <c r="Z398" s="1">
        <v>-0.82102628285356605</v>
      </c>
      <c r="AA398" s="1">
        <v>24</v>
      </c>
      <c r="AB398" s="1">
        <v>184000</v>
      </c>
      <c r="AC398" s="1">
        <f t="shared" si="6"/>
        <v>214000</v>
      </c>
    </row>
    <row r="399" spans="1:29" x14ac:dyDescent="0.25">
      <c r="A399" s="1" t="s">
        <v>3148</v>
      </c>
      <c r="B399" s="1" t="s">
        <v>3149</v>
      </c>
      <c r="C399" s="1" t="s">
        <v>3150</v>
      </c>
      <c r="D399" s="1">
        <v>2019</v>
      </c>
      <c r="E399" s="1" t="s">
        <v>31</v>
      </c>
      <c r="F399" s="1">
        <v>4</v>
      </c>
      <c r="G399" s="1" t="s">
        <v>32</v>
      </c>
      <c r="H399" s="1" t="s">
        <v>47</v>
      </c>
      <c r="I399" s="1">
        <v>169000</v>
      </c>
      <c r="J399" s="1">
        <v>154000</v>
      </c>
      <c r="K399" s="1">
        <v>15000</v>
      </c>
      <c r="L399" s="1">
        <v>0</v>
      </c>
      <c r="M399" s="1" t="s">
        <v>34</v>
      </c>
      <c r="N399" s="1" t="s">
        <v>70</v>
      </c>
      <c r="O399" s="1" t="s">
        <v>78</v>
      </c>
      <c r="P399" s="1" t="s">
        <v>79</v>
      </c>
      <c r="Q399" s="1" t="s">
        <v>38</v>
      </c>
      <c r="R399" s="1" t="s">
        <v>3151</v>
      </c>
      <c r="S399" s="3">
        <v>918741000000</v>
      </c>
      <c r="T399" s="1" t="s">
        <v>51</v>
      </c>
      <c r="U399" s="1">
        <v>74</v>
      </c>
      <c r="V399" s="1">
        <v>81</v>
      </c>
      <c r="W399" s="1" t="s">
        <v>41</v>
      </c>
      <c r="X399" s="1">
        <v>265547</v>
      </c>
      <c r="Y399" s="2">
        <v>37882</v>
      </c>
      <c r="Z399" s="1">
        <v>-0.82102628285356605</v>
      </c>
      <c r="AA399" s="1">
        <v>20</v>
      </c>
      <c r="AB399" s="1">
        <v>676000</v>
      </c>
      <c r="AC399" s="1">
        <f t="shared" si="6"/>
        <v>736000</v>
      </c>
    </row>
    <row r="400" spans="1:29" x14ac:dyDescent="0.25">
      <c r="A400" s="1" t="s">
        <v>3156</v>
      </c>
      <c r="B400" s="1" t="s">
        <v>3157</v>
      </c>
      <c r="C400" s="1" t="s">
        <v>3158</v>
      </c>
      <c r="D400" s="1">
        <v>2019</v>
      </c>
      <c r="E400" s="1" t="s">
        <v>31</v>
      </c>
      <c r="F400" s="1">
        <v>4</v>
      </c>
      <c r="G400" s="1" t="s">
        <v>32</v>
      </c>
      <c r="H400" s="1" t="s">
        <v>33</v>
      </c>
      <c r="I400" s="1">
        <v>169000</v>
      </c>
      <c r="J400" s="1">
        <v>154000</v>
      </c>
      <c r="K400" s="1">
        <v>15000</v>
      </c>
      <c r="L400" s="1">
        <v>0</v>
      </c>
      <c r="M400" s="1" t="s">
        <v>34</v>
      </c>
      <c r="N400" s="1" t="s">
        <v>63</v>
      </c>
      <c r="O400" s="1" t="s">
        <v>84</v>
      </c>
      <c r="P400" s="1" t="s">
        <v>65</v>
      </c>
      <c r="Q400" s="1" t="s">
        <v>38</v>
      </c>
      <c r="R400" s="1" t="s">
        <v>3159</v>
      </c>
      <c r="S400" s="3">
        <v>918566000000</v>
      </c>
      <c r="T400" s="1" t="s">
        <v>51</v>
      </c>
      <c r="U400" s="1">
        <v>74</v>
      </c>
      <c r="V400" s="1">
        <v>62</v>
      </c>
      <c r="W400" s="1" t="s">
        <v>41</v>
      </c>
      <c r="X400" s="1">
        <v>184418</v>
      </c>
      <c r="Y400" s="2">
        <v>36746</v>
      </c>
      <c r="Z400" s="1">
        <v>-0.82102628285356605</v>
      </c>
      <c r="AA400" s="1">
        <v>23</v>
      </c>
      <c r="AB400" s="1">
        <v>676000</v>
      </c>
      <c r="AC400" s="1">
        <f t="shared" si="6"/>
        <v>736000</v>
      </c>
    </row>
    <row r="401" spans="1:29" x14ac:dyDescent="0.25">
      <c r="A401" s="1" t="s">
        <v>3188</v>
      </c>
      <c r="B401" s="1" t="s">
        <v>3189</v>
      </c>
      <c r="C401" s="1" t="s">
        <v>3190</v>
      </c>
      <c r="D401" s="1">
        <v>2019</v>
      </c>
      <c r="E401" s="1" t="s">
        <v>31</v>
      </c>
      <c r="F401" s="1">
        <v>4</v>
      </c>
      <c r="G401" s="1" t="s">
        <v>32</v>
      </c>
      <c r="H401" s="1" t="s">
        <v>56</v>
      </c>
      <c r="I401" s="1">
        <v>169000</v>
      </c>
      <c r="J401" s="1">
        <v>154000</v>
      </c>
      <c r="K401" s="1">
        <v>15000</v>
      </c>
      <c r="L401" s="1">
        <v>0</v>
      </c>
      <c r="M401" s="1" t="s">
        <v>34</v>
      </c>
      <c r="N401" s="1" t="s">
        <v>70</v>
      </c>
      <c r="O401" s="1" t="s">
        <v>84</v>
      </c>
      <c r="P401" s="1" t="s">
        <v>65</v>
      </c>
      <c r="Q401" s="1" t="s">
        <v>38</v>
      </c>
      <c r="R401" s="1" t="s">
        <v>3191</v>
      </c>
      <c r="S401" s="3">
        <v>918743000000</v>
      </c>
      <c r="T401" s="1" t="s">
        <v>51</v>
      </c>
      <c r="U401" s="1">
        <v>74</v>
      </c>
      <c r="V401" s="1">
        <v>61</v>
      </c>
      <c r="W401" s="1" t="s">
        <v>41</v>
      </c>
      <c r="X401" s="1">
        <v>563309</v>
      </c>
      <c r="Y401" s="2">
        <v>36946</v>
      </c>
      <c r="Z401" s="1">
        <v>-0.82102628285356605</v>
      </c>
      <c r="AA401" s="1">
        <v>23</v>
      </c>
      <c r="AB401" s="1">
        <v>676000</v>
      </c>
      <c r="AC401" s="1">
        <f t="shared" si="6"/>
        <v>736000</v>
      </c>
    </row>
    <row r="402" spans="1:29" x14ac:dyDescent="0.25">
      <c r="A402" s="1" t="s">
        <v>3210</v>
      </c>
      <c r="B402" s="1" t="s">
        <v>2581</v>
      </c>
      <c r="C402" s="1" t="s">
        <v>2582</v>
      </c>
      <c r="D402" s="1">
        <v>2019</v>
      </c>
      <c r="E402" s="1" t="s">
        <v>45</v>
      </c>
      <c r="F402" s="1">
        <v>2</v>
      </c>
      <c r="G402" s="1" t="s">
        <v>46</v>
      </c>
      <c r="H402" s="1" t="s">
        <v>90</v>
      </c>
      <c r="I402" s="1">
        <v>92000</v>
      </c>
      <c r="J402" s="1">
        <v>77000</v>
      </c>
      <c r="K402" s="1">
        <v>15000</v>
      </c>
      <c r="L402" s="1">
        <v>0</v>
      </c>
      <c r="M402" s="1" t="s">
        <v>34</v>
      </c>
      <c r="N402" s="1" t="s">
        <v>63</v>
      </c>
      <c r="O402" s="1" t="s">
        <v>188</v>
      </c>
      <c r="P402" s="1" t="s">
        <v>189</v>
      </c>
      <c r="Q402" s="1" t="s">
        <v>38</v>
      </c>
      <c r="R402" s="1" t="s">
        <v>3211</v>
      </c>
      <c r="S402" s="3">
        <v>918107000000</v>
      </c>
      <c r="T402" s="1" t="s">
        <v>86</v>
      </c>
      <c r="U402" s="1">
        <v>74</v>
      </c>
      <c r="V402" s="1">
        <v>85</v>
      </c>
      <c r="W402" s="1" t="s">
        <v>41</v>
      </c>
      <c r="X402" s="1">
        <v>706939</v>
      </c>
      <c r="Y402" s="2">
        <v>35399</v>
      </c>
      <c r="Z402" s="1">
        <v>-0.82102628285356605</v>
      </c>
      <c r="AA402" s="1">
        <v>27</v>
      </c>
      <c r="AB402" s="1">
        <v>184000</v>
      </c>
      <c r="AC402" s="1">
        <f t="shared" si="6"/>
        <v>214000</v>
      </c>
    </row>
    <row r="403" spans="1:29" x14ac:dyDescent="0.25">
      <c r="A403" s="1" t="s">
        <v>3212</v>
      </c>
      <c r="B403" s="1" t="s">
        <v>3213</v>
      </c>
      <c r="C403" s="1" t="s">
        <v>3214</v>
      </c>
      <c r="D403" s="1">
        <v>2019</v>
      </c>
      <c r="E403" s="1" t="s">
        <v>31</v>
      </c>
      <c r="F403" s="1">
        <v>4</v>
      </c>
      <c r="G403" s="1" t="s">
        <v>32</v>
      </c>
      <c r="H403" s="1" t="s">
        <v>33</v>
      </c>
      <c r="I403" s="1">
        <v>169000</v>
      </c>
      <c r="J403" s="1">
        <v>154000</v>
      </c>
      <c r="K403" s="1">
        <v>15000</v>
      </c>
      <c r="L403" s="1">
        <v>0</v>
      </c>
      <c r="M403" s="1" t="s">
        <v>34</v>
      </c>
      <c r="N403" s="1" t="s">
        <v>63</v>
      </c>
      <c r="O403" s="1" t="s">
        <v>36</v>
      </c>
      <c r="P403" s="1" t="s">
        <v>37</v>
      </c>
      <c r="Q403" s="1" t="s">
        <v>38</v>
      </c>
      <c r="R403" s="1" t="s">
        <v>3215</v>
      </c>
      <c r="S403" s="3">
        <v>919361000000</v>
      </c>
      <c r="T403" s="1" t="s">
        <v>86</v>
      </c>
      <c r="U403" s="1">
        <v>74</v>
      </c>
      <c r="V403" s="1">
        <v>79</v>
      </c>
      <c r="W403" s="1" t="s">
        <v>52</v>
      </c>
      <c r="X403" s="1">
        <v>481289</v>
      </c>
      <c r="Y403" s="2">
        <v>36904</v>
      </c>
      <c r="Z403" s="1">
        <v>-0.82102628285356605</v>
      </c>
      <c r="AA403" s="1">
        <v>23</v>
      </c>
      <c r="AB403" s="1">
        <v>676000</v>
      </c>
      <c r="AC403" s="1">
        <f t="shared" si="6"/>
        <v>736000</v>
      </c>
    </row>
    <row r="404" spans="1:29" x14ac:dyDescent="0.25">
      <c r="A404" s="1" t="s">
        <v>3246</v>
      </c>
      <c r="B404" s="1" t="s">
        <v>3247</v>
      </c>
      <c r="C404" s="1" t="s">
        <v>3248</v>
      </c>
      <c r="D404" s="1">
        <v>2019</v>
      </c>
      <c r="E404" s="1" t="s">
        <v>45</v>
      </c>
      <c r="F404" s="1">
        <v>2</v>
      </c>
      <c r="G404" s="1" t="s">
        <v>46</v>
      </c>
      <c r="H404" s="1" t="s">
        <v>113</v>
      </c>
      <c r="I404" s="1">
        <v>92000</v>
      </c>
      <c r="J404" s="1">
        <v>77000</v>
      </c>
      <c r="K404" s="1">
        <v>15000</v>
      </c>
      <c r="L404" s="1">
        <v>0</v>
      </c>
      <c r="M404" s="1" t="s">
        <v>34</v>
      </c>
      <c r="N404" s="1" t="s">
        <v>70</v>
      </c>
      <c r="O404" s="1" t="s">
        <v>84</v>
      </c>
      <c r="P404" s="1" t="s">
        <v>65</v>
      </c>
      <c r="Q404" s="1" t="s">
        <v>38</v>
      </c>
      <c r="R404" s="1" t="s">
        <v>3249</v>
      </c>
      <c r="S404" s="3">
        <v>917745000000</v>
      </c>
      <c r="T404" s="1" t="s">
        <v>51</v>
      </c>
      <c r="U404" s="1">
        <v>74</v>
      </c>
      <c r="V404" s="1">
        <v>63</v>
      </c>
      <c r="W404" s="1" t="s">
        <v>52</v>
      </c>
      <c r="X404" s="1">
        <v>302715</v>
      </c>
      <c r="Y404" s="2">
        <v>35779</v>
      </c>
      <c r="Z404" s="1">
        <v>-0.82102628285356605</v>
      </c>
      <c r="AA404" s="1">
        <v>26</v>
      </c>
      <c r="AB404" s="1">
        <v>184000</v>
      </c>
      <c r="AC404" s="1">
        <f t="shared" si="6"/>
        <v>214000</v>
      </c>
    </row>
    <row r="405" spans="1:29" x14ac:dyDescent="0.25">
      <c r="A405" s="1" t="s">
        <v>3275</v>
      </c>
      <c r="B405" s="1" t="s">
        <v>3276</v>
      </c>
      <c r="C405" s="1" t="s">
        <v>3277</v>
      </c>
      <c r="D405" s="1">
        <v>2019</v>
      </c>
      <c r="E405" s="1" t="s">
        <v>45</v>
      </c>
      <c r="F405" s="1">
        <v>2</v>
      </c>
      <c r="G405" s="1" t="s">
        <v>46</v>
      </c>
      <c r="H405" s="1" t="s">
        <v>90</v>
      </c>
      <c r="I405" s="1">
        <v>92000</v>
      </c>
      <c r="J405" s="1">
        <v>77000</v>
      </c>
      <c r="K405" s="1">
        <v>15000</v>
      </c>
      <c r="L405" s="1">
        <v>0</v>
      </c>
      <c r="M405" s="1" t="s">
        <v>34</v>
      </c>
      <c r="N405" s="1" t="s">
        <v>63</v>
      </c>
      <c r="O405" s="1" t="s">
        <v>57</v>
      </c>
      <c r="P405" s="1" t="s">
        <v>57</v>
      </c>
      <c r="Q405" s="1" t="s">
        <v>38</v>
      </c>
      <c r="R405" s="1" t="s">
        <v>3278</v>
      </c>
      <c r="S405" s="3">
        <v>918016000000</v>
      </c>
      <c r="T405" s="1" t="s">
        <v>40</v>
      </c>
      <c r="U405" s="1">
        <v>74</v>
      </c>
      <c r="V405" s="1">
        <v>90</v>
      </c>
      <c r="W405" s="1" t="s">
        <v>52</v>
      </c>
      <c r="X405" s="1">
        <v>152476</v>
      </c>
      <c r="Y405" s="2">
        <v>36927</v>
      </c>
      <c r="Z405" s="1">
        <v>-0.82102628285356605</v>
      </c>
      <c r="AA405" s="1">
        <v>23</v>
      </c>
      <c r="AB405" s="1">
        <v>184000</v>
      </c>
      <c r="AC405" s="1">
        <f t="shared" si="6"/>
        <v>214000</v>
      </c>
    </row>
    <row r="406" spans="1:29" x14ac:dyDescent="0.25">
      <c r="A406" s="1" t="s">
        <v>3295</v>
      </c>
      <c r="B406" s="1" t="s">
        <v>3296</v>
      </c>
      <c r="C406" s="1" t="s">
        <v>3297</v>
      </c>
      <c r="D406" s="1">
        <v>2019</v>
      </c>
      <c r="E406" s="1" t="s">
        <v>31</v>
      </c>
      <c r="F406" s="1">
        <v>4</v>
      </c>
      <c r="G406" s="1" t="s">
        <v>32</v>
      </c>
      <c r="H406" s="1" t="s">
        <v>151</v>
      </c>
      <c r="I406" s="1">
        <v>169000</v>
      </c>
      <c r="J406" s="1">
        <v>154000</v>
      </c>
      <c r="K406" s="1">
        <v>15000</v>
      </c>
      <c r="L406" s="1">
        <v>0</v>
      </c>
      <c r="M406" s="1" t="s">
        <v>34</v>
      </c>
      <c r="N406" s="1" t="s">
        <v>63</v>
      </c>
      <c r="O406" s="1" t="s">
        <v>188</v>
      </c>
      <c r="P406" s="1" t="s">
        <v>189</v>
      </c>
      <c r="Q406" s="1" t="s">
        <v>38</v>
      </c>
      <c r="R406" s="1" t="s">
        <v>3298</v>
      </c>
      <c r="S406" s="3">
        <v>918026000000</v>
      </c>
      <c r="T406" s="1" t="s">
        <v>51</v>
      </c>
      <c r="U406" s="1">
        <v>74</v>
      </c>
      <c r="V406" s="1">
        <v>71</v>
      </c>
      <c r="W406" s="1" t="s">
        <v>52</v>
      </c>
      <c r="X406" s="1">
        <v>124134</v>
      </c>
      <c r="Y406" s="2">
        <v>37083</v>
      </c>
      <c r="Z406" s="1">
        <v>-0.82102628285356605</v>
      </c>
      <c r="AA406" s="1">
        <v>22</v>
      </c>
      <c r="AB406" s="1">
        <v>676000</v>
      </c>
      <c r="AC406" s="1">
        <f t="shared" si="6"/>
        <v>736000</v>
      </c>
    </row>
    <row r="407" spans="1:29" x14ac:dyDescent="0.25">
      <c r="A407" s="1" t="s">
        <v>3313</v>
      </c>
      <c r="B407" s="1" t="s">
        <v>3314</v>
      </c>
      <c r="C407" s="1" t="s">
        <v>3315</v>
      </c>
      <c r="D407" s="1">
        <v>2019</v>
      </c>
      <c r="E407" s="1" t="s">
        <v>31</v>
      </c>
      <c r="F407" s="1">
        <v>4</v>
      </c>
      <c r="G407" s="1" t="s">
        <v>32</v>
      </c>
      <c r="H407" s="1" t="s">
        <v>47</v>
      </c>
      <c r="I407" s="1">
        <v>169000</v>
      </c>
      <c r="J407" s="1">
        <v>154000</v>
      </c>
      <c r="K407" s="1">
        <v>15000</v>
      </c>
      <c r="L407" s="1">
        <v>0</v>
      </c>
      <c r="M407" s="1" t="s">
        <v>34</v>
      </c>
      <c r="N407" s="1" t="s">
        <v>63</v>
      </c>
      <c r="O407" s="1" t="s">
        <v>57</v>
      </c>
      <c r="P407" s="1" t="s">
        <v>57</v>
      </c>
      <c r="Q407" s="1" t="s">
        <v>38</v>
      </c>
      <c r="R407" s="1" t="s">
        <v>3316</v>
      </c>
      <c r="S407" s="3">
        <v>917337000000</v>
      </c>
      <c r="T407" s="1" t="s">
        <v>86</v>
      </c>
      <c r="U407" s="1">
        <v>73</v>
      </c>
      <c r="V407" s="1">
        <v>77</v>
      </c>
      <c r="W407" s="1" t="s">
        <v>52</v>
      </c>
      <c r="X407" s="1">
        <v>146390</v>
      </c>
      <c r="Y407" s="2">
        <v>37941</v>
      </c>
      <c r="Z407" s="1">
        <v>-1.8210262828535599</v>
      </c>
      <c r="AA407" s="1">
        <v>20</v>
      </c>
      <c r="AB407" s="1">
        <v>676000</v>
      </c>
      <c r="AC407" s="1">
        <f t="shared" si="6"/>
        <v>736000</v>
      </c>
    </row>
    <row r="408" spans="1:29" x14ac:dyDescent="0.25">
      <c r="A408" s="1" t="s">
        <v>3323</v>
      </c>
      <c r="B408" s="1" t="s">
        <v>3324</v>
      </c>
      <c r="C408" s="1" t="s">
        <v>3325</v>
      </c>
      <c r="D408" s="1">
        <v>2019</v>
      </c>
      <c r="E408" s="1" t="s">
        <v>31</v>
      </c>
      <c r="F408" s="1">
        <v>4</v>
      </c>
      <c r="G408" s="1" t="s">
        <v>32</v>
      </c>
      <c r="H408" s="1" t="s">
        <v>33</v>
      </c>
      <c r="I408" s="1">
        <v>169000</v>
      </c>
      <c r="J408" s="1">
        <v>154000</v>
      </c>
      <c r="K408" s="1">
        <v>15000</v>
      </c>
      <c r="L408" s="1">
        <v>0</v>
      </c>
      <c r="M408" s="1" t="s">
        <v>34</v>
      </c>
      <c r="N408" s="1" t="s">
        <v>35</v>
      </c>
      <c r="O408" s="1" t="s">
        <v>57</v>
      </c>
      <c r="P408" s="1" t="s">
        <v>57</v>
      </c>
      <c r="Q408" s="1" t="s">
        <v>38</v>
      </c>
      <c r="R408" s="1" t="s">
        <v>3326</v>
      </c>
      <c r="S408" s="3">
        <v>918724000000</v>
      </c>
      <c r="T408" s="1" t="s">
        <v>40</v>
      </c>
      <c r="U408" s="1">
        <v>73</v>
      </c>
      <c r="V408" s="1">
        <v>71</v>
      </c>
      <c r="W408" s="1" t="s">
        <v>52</v>
      </c>
      <c r="X408" s="1">
        <v>772362</v>
      </c>
      <c r="Y408" s="2">
        <v>37259</v>
      </c>
      <c r="Z408" s="1">
        <v>-1.8210262828535599</v>
      </c>
      <c r="AA408" s="1">
        <v>22</v>
      </c>
      <c r="AB408" s="1">
        <v>676000</v>
      </c>
      <c r="AC408" s="1">
        <f t="shared" si="6"/>
        <v>736000</v>
      </c>
    </row>
    <row r="409" spans="1:29" x14ac:dyDescent="0.25">
      <c r="A409" s="1" t="s">
        <v>3335</v>
      </c>
      <c r="B409" s="1" t="s">
        <v>3336</v>
      </c>
      <c r="C409" s="1" t="s">
        <v>3337</v>
      </c>
      <c r="D409" s="1">
        <v>2019</v>
      </c>
      <c r="E409" s="1" t="s">
        <v>31</v>
      </c>
      <c r="F409" s="1">
        <v>4</v>
      </c>
      <c r="G409" s="1" t="s">
        <v>32</v>
      </c>
      <c r="H409" s="1" t="s">
        <v>113</v>
      </c>
      <c r="I409" s="1">
        <v>169000</v>
      </c>
      <c r="J409" s="1">
        <v>154000</v>
      </c>
      <c r="K409" s="1">
        <v>15000</v>
      </c>
      <c r="L409" s="1">
        <v>0</v>
      </c>
      <c r="M409" s="1" t="s">
        <v>34</v>
      </c>
      <c r="N409" s="1" t="s">
        <v>63</v>
      </c>
      <c r="O409" s="1" t="s">
        <v>36</v>
      </c>
      <c r="P409" s="1" t="s">
        <v>37</v>
      </c>
      <c r="Q409" s="1" t="s">
        <v>38</v>
      </c>
      <c r="R409" s="1" t="s">
        <v>3338</v>
      </c>
      <c r="S409" s="3">
        <v>918159000000</v>
      </c>
      <c r="T409" s="1" t="s">
        <v>51</v>
      </c>
      <c r="U409" s="1">
        <v>73</v>
      </c>
      <c r="V409" s="1">
        <v>90</v>
      </c>
      <c r="W409" s="1" t="s">
        <v>52</v>
      </c>
      <c r="X409" s="1">
        <v>396989</v>
      </c>
      <c r="Y409" s="2">
        <v>37418</v>
      </c>
      <c r="Z409" s="1">
        <v>-1.8210262828535599</v>
      </c>
      <c r="AA409" s="1">
        <v>22</v>
      </c>
      <c r="AB409" s="1">
        <v>676000</v>
      </c>
      <c r="AC409" s="1">
        <f t="shared" si="6"/>
        <v>736000</v>
      </c>
    </row>
    <row r="410" spans="1:29" x14ac:dyDescent="0.25">
      <c r="A410" s="1" t="s">
        <v>3339</v>
      </c>
      <c r="B410" s="1" t="s">
        <v>3340</v>
      </c>
      <c r="C410" s="1" t="s">
        <v>3341</v>
      </c>
      <c r="D410" s="1">
        <v>2019</v>
      </c>
      <c r="E410" s="1" t="s">
        <v>31</v>
      </c>
      <c r="F410" s="1">
        <v>4</v>
      </c>
      <c r="G410" s="1" t="s">
        <v>32</v>
      </c>
      <c r="H410" s="1" t="s">
        <v>102</v>
      </c>
      <c r="I410" s="1">
        <v>169000</v>
      </c>
      <c r="J410" s="1">
        <v>154000</v>
      </c>
      <c r="K410" s="1">
        <v>15000</v>
      </c>
      <c r="L410" s="1">
        <v>0</v>
      </c>
      <c r="M410" s="1" t="s">
        <v>34</v>
      </c>
      <c r="N410" s="1" t="s">
        <v>35</v>
      </c>
      <c r="O410" s="1" t="s">
        <v>91</v>
      </c>
      <c r="P410" s="1" t="s">
        <v>92</v>
      </c>
      <c r="Q410" s="1" t="s">
        <v>38</v>
      </c>
      <c r="R410" s="1" t="s">
        <v>3342</v>
      </c>
      <c r="S410" s="3">
        <v>918438000000</v>
      </c>
      <c r="T410" s="1" t="s">
        <v>98</v>
      </c>
      <c r="U410" s="1">
        <v>73</v>
      </c>
      <c r="V410" s="1">
        <v>70</v>
      </c>
      <c r="W410" s="1" t="s">
        <v>41</v>
      </c>
      <c r="X410" s="1">
        <v>249012</v>
      </c>
      <c r="Y410" s="2">
        <v>38491</v>
      </c>
      <c r="Z410" s="1">
        <v>-1.8210262828535599</v>
      </c>
      <c r="AA410" s="1">
        <v>19</v>
      </c>
      <c r="AB410" s="1">
        <v>676000</v>
      </c>
      <c r="AC410" s="1">
        <f t="shared" si="6"/>
        <v>736000</v>
      </c>
    </row>
    <row r="411" spans="1:29" x14ac:dyDescent="0.25">
      <c r="A411" s="1" t="s">
        <v>3402</v>
      </c>
      <c r="B411" s="1" t="s">
        <v>3403</v>
      </c>
      <c r="C411" s="1" t="s">
        <v>3404</v>
      </c>
      <c r="D411" s="1">
        <v>2019</v>
      </c>
      <c r="E411" s="1" t="s">
        <v>45</v>
      </c>
      <c r="F411" s="1">
        <v>2</v>
      </c>
      <c r="G411" s="1" t="s">
        <v>46</v>
      </c>
      <c r="H411" s="1" t="s">
        <v>33</v>
      </c>
      <c r="I411" s="1">
        <v>92000</v>
      </c>
      <c r="J411" s="1">
        <v>77000</v>
      </c>
      <c r="K411" s="1">
        <v>15000</v>
      </c>
      <c r="L411" s="1">
        <v>0</v>
      </c>
      <c r="M411" s="1" t="s">
        <v>34</v>
      </c>
      <c r="N411" s="1" t="s">
        <v>63</v>
      </c>
      <c r="O411" s="1" t="s">
        <v>48</v>
      </c>
      <c r="P411" s="1" t="s">
        <v>49</v>
      </c>
      <c r="Q411" s="1" t="s">
        <v>38</v>
      </c>
      <c r="R411" s="1" t="s">
        <v>3405</v>
      </c>
      <c r="S411" s="3">
        <v>917067000000</v>
      </c>
      <c r="T411" s="1" t="s">
        <v>74</v>
      </c>
      <c r="U411" s="1">
        <v>73</v>
      </c>
      <c r="V411" s="1">
        <v>64</v>
      </c>
      <c r="W411" s="1" t="s">
        <v>52</v>
      </c>
      <c r="X411" s="1">
        <v>706820</v>
      </c>
      <c r="Y411" s="2">
        <v>35784</v>
      </c>
      <c r="Z411" s="1">
        <v>-1.8210262828535599</v>
      </c>
      <c r="AA411" s="1">
        <v>26</v>
      </c>
      <c r="AB411" s="1">
        <v>184000</v>
      </c>
      <c r="AC411" s="1">
        <f t="shared" si="6"/>
        <v>214000</v>
      </c>
    </row>
    <row r="412" spans="1:29" x14ac:dyDescent="0.25">
      <c r="A412" s="1" t="s">
        <v>3457</v>
      </c>
      <c r="B412" s="1" t="s">
        <v>527</v>
      </c>
      <c r="C412" s="1" t="s">
        <v>528</v>
      </c>
      <c r="D412" s="1">
        <v>2019</v>
      </c>
      <c r="E412" s="1" t="s">
        <v>45</v>
      </c>
      <c r="F412" s="1">
        <v>2</v>
      </c>
      <c r="G412" s="1" t="s">
        <v>46</v>
      </c>
      <c r="H412" s="1" t="s">
        <v>113</v>
      </c>
      <c r="I412" s="1">
        <v>92000</v>
      </c>
      <c r="J412" s="1">
        <v>77000</v>
      </c>
      <c r="K412" s="1">
        <v>15000</v>
      </c>
      <c r="L412" s="1">
        <v>0</v>
      </c>
      <c r="M412" s="1" t="s">
        <v>34</v>
      </c>
      <c r="N412" s="1" t="s">
        <v>63</v>
      </c>
      <c r="O412" s="1" t="s">
        <v>84</v>
      </c>
      <c r="P412" s="1" t="s">
        <v>65</v>
      </c>
      <c r="Q412" s="1" t="s">
        <v>38</v>
      </c>
      <c r="R412" s="1" t="s">
        <v>3458</v>
      </c>
      <c r="S412" s="3">
        <v>919548000000</v>
      </c>
      <c r="T412" s="1" t="s">
        <v>86</v>
      </c>
      <c r="U412" s="1">
        <v>73</v>
      </c>
      <c r="V412" s="1">
        <v>88</v>
      </c>
      <c r="W412" s="1" t="s">
        <v>52</v>
      </c>
      <c r="X412" s="1">
        <v>249121</v>
      </c>
      <c r="Y412" s="2">
        <v>35409</v>
      </c>
      <c r="Z412" s="1">
        <v>-1.8210262828535599</v>
      </c>
      <c r="AA412" s="1">
        <v>27</v>
      </c>
      <c r="AB412" s="1">
        <v>184000</v>
      </c>
      <c r="AC412" s="1">
        <f t="shared" si="6"/>
        <v>214000</v>
      </c>
    </row>
    <row r="413" spans="1:29" x14ac:dyDescent="0.25">
      <c r="A413" s="1" t="s">
        <v>3505</v>
      </c>
      <c r="B413" s="1" t="s">
        <v>3506</v>
      </c>
      <c r="C413" s="1" t="s">
        <v>3507</v>
      </c>
      <c r="D413" s="1">
        <v>2019</v>
      </c>
      <c r="E413" s="1" t="s">
        <v>31</v>
      </c>
      <c r="F413" s="1">
        <v>4</v>
      </c>
      <c r="G413" s="1" t="s">
        <v>32</v>
      </c>
      <c r="H413" s="1" t="s">
        <v>33</v>
      </c>
      <c r="I413" s="1">
        <v>169000</v>
      </c>
      <c r="J413" s="1">
        <v>154000</v>
      </c>
      <c r="K413" s="1">
        <v>15000</v>
      </c>
      <c r="L413" s="1">
        <v>0</v>
      </c>
      <c r="M413" s="1" t="s">
        <v>34</v>
      </c>
      <c r="N413" s="1" t="s">
        <v>35</v>
      </c>
      <c r="O413" s="1" t="s">
        <v>78</v>
      </c>
      <c r="P413" s="1" t="s">
        <v>79</v>
      </c>
      <c r="Q413" s="1" t="s">
        <v>38</v>
      </c>
      <c r="R413" s="1" t="s">
        <v>3508</v>
      </c>
      <c r="S413" s="3">
        <v>918835000000</v>
      </c>
      <c r="T413" s="1" t="s">
        <v>98</v>
      </c>
      <c r="U413" s="1">
        <v>72</v>
      </c>
      <c r="V413" s="1">
        <v>83</v>
      </c>
      <c r="W413" s="1" t="s">
        <v>41</v>
      </c>
      <c r="X413" s="1">
        <v>330675</v>
      </c>
      <c r="Y413" s="2">
        <v>38403</v>
      </c>
      <c r="Z413" s="1">
        <v>-2.8210262828535599</v>
      </c>
      <c r="AA413" s="1">
        <v>19</v>
      </c>
      <c r="AB413" s="1">
        <v>676000</v>
      </c>
      <c r="AC413" s="1">
        <f t="shared" si="6"/>
        <v>736000</v>
      </c>
    </row>
    <row r="414" spans="1:29" x14ac:dyDescent="0.25">
      <c r="A414" s="1" t="s">
        <v>3547</v>
      </c>
      <c r="B414" s="1" t="s">
        <v>3548</v>
      </c>
      <c r="C414" s="1" t="s">
        <v>3549</v>
      </c>
      <c r="D414" s="1">
        <v>2019</v>
      </c>
      <c r="E414" s="1" t="s">
        <v>31</v>
      </c>
      <c r="F414" s="1">
        <v>4</v>
      </c>
      <c r="G414" s="1" t="s">
        <v>32</v>
      </c>
      <c r="H414" s="1" t="s">
        <v>62</v>
      </c>
      <c r="I414" s="1">
        <v>169000</v>
      </c>
      <c r="J414" s="1">
        <v>154000</v>
      </c>
      <c r="K414" s="1">
        <v>15000</v>
      </c>
      <c r="L414" s="1">
        <v>0</v>
      </c>
      <c r="M414" s="1" t="s">
        <v>34</v>
      </c>
      <c r="N414" s="1" t="s">
        <v>63</v>
      </c>
      <c r="O414" s="1" t="s">
        <v>64</v>
      </c>
      <c r="P414" s="1" t="s">
        <v>65</v>
      </c>
      <c r="Q414" s="1" t="s">
        <v>38</v>
      </c>
      <c r="R414" s="1" t="s">
        <v>3550</v>
      </c>
      <c r="S414" s="3">
        <v>917166000000</v>
      </c>
      <c r="T414" s="1" t="s">
        <v>86</v>
      </c>
      <c r="U414" s="1">
        <v>72</v>
      </c>
      <c r="V414" s="1">
        <v>79</v>
      </c>
      <c r="W414" s="1" t="s">
        <v>41</v>
      </c>
      <c r="X414" s="1">
        <v>187355</v>
      </c>
      <c r="Y414" s="2">
        <v>36930</v>
      </c>
      <c r="Z414" s="1">
        <v>-2.8210262828535599</v>
      </c>
      <c r="AA414" s="1">
        <v>23</v>
      </c>
      <c r="AB414" s="1">
        <v>676000</v>
      </c>
      <c r="AC414" s="1">
        <f t="shared" si="6"/>
        <v>736000</v>
      </c>
    </row>
    <row r="415" spans="1:29" x14ac:dyDescent="0.25">
      <c r="A415" s="1" t="s">
        <v>3561</v>
      </c>
      <c r="B415" s="1" t="s">
        <v>3562</v>
      </c>
      <c r="C415" s="1" t="s">
        <v>3563</v>
      </c>
      <c r="D415" s="1">
        <v>2019</v>
      </c>
      <c r="E415" s="1" t="s">
        <v>31</v>
      </c>
      <c r="F415" s="1">
        <v>4</v>
      </c>
      <c r="G415" s="1" t="s">
        <v>32</v>
      </c>
      <c r="H415" s="1" t="s">
        <v>90</v>
      </c>
      <c r="I415" s="1">
        <v>169000</v>
      </c>
      <c r="J415" s="1">
        <v>154000</v>
      </c>
      <c r="K415" s="1">
        <v>15000</v>
      </c>
      <c r="L415" s="1">
        <v>0</v>
      </c>
      <c r="M415" s="1" t="s">
        <v>34</v>
      </c>
      <c r="N415" s="1" t="s">
        <v>70</v>
      </c>
      <c r="O415" s="1" t="s">
        <v>64</v>
      </c>
      <c r="P415" s="1" t="s">
        <v>65</v>
      </c>
      <c r="Q415" s="1" t="s">
        <v>38</v>
      </c>
      <c r="R415" s="1" t="s">
        <v>3564</v>
      </c>
      <c r="S415" s="3">
        <v>917021000000</v>
      </c>
      <c r="T415" s="1" t="s">
        <v>74</v>
      </c>
      <c r="U415" s="1">
        <v>72</v>
      </c>
      <c r="V415" s="1">
        <v>64</v>
      </c>
      <c r="W415" s="1" t="s">
        <v>41</v>
      </c>
      <c r="X415" s="1">
        <v>514134</v>
      </c>
      <c r="Y415" s="2">
        <v>36758</v>
      </c>
      <c r="Z415" s="1">
        <v>-2.8210262828535599</v>
      </c>
      <c r="AA415" s="1">
        <v>23</v>
      </c>
      <c r="AB415" s="1">
        <v>676000</v>
      </c>
      <c r="AC415" s="1">
        <f t="shared" si="6"/>
        <v>736000</v>
      </c>
    </row>
    <row r="416" spans="1:29" x14ac:dyDescent="0.25">
      <c r="A416" s="1" t="s">
        <v>3606</v>
      </c>
      <c r="B416" s="1" t="s">
        <v>1207</v>
      </c>
      <c r="C416" s="1" t="s">
        <v>1208</v>
      </c>
      <c r="D416" s="1">
        <v>2019</v>
      </c>
      <c r="E416" s="1" t="s">
        <v>45</v>
      </c>
      <c r="F416" s="1">
        <v>2</v>
      </c>
      <c r="G416" s="1" t="s">
        <v>46</v>
      </c>
      <c r="H416" s="1" t="s">
        <v>90</v>
      </c>
      <c r="I416" s="1">
        <v>92000</v>
      </c>
      <c r="J416" s="1">
        <v>77000</v>
      </c>
      <c r="K416" s="1">
        <v>15000</v>
      </c>
      <c r="L416" s="1">
        <v>0</v>
      </c>
      <c r="M416" s="1" t="s">
        <v>34</v>
      </c>
      <c r="N416" s="1" t="s">
        <v>70</v>
      </c>
      <c r="O416" s="1" t="s">
        <v>36</v>
      </c>
      <c r="P416" s="1" t="s">
        <v>37</v>
      </c>
      <c r="Q416" s="1" t="s">
        <v>38</v>
      </c>
      <c r="R416" s="1" t="s">
        <v>3607</v>
      </c>
      <c r="S416" s="3">
        <v>917631000000</v>
      </c>
      <c r="T416" s="1" t="s">
        <v>98</v>
      </c>
      <c r="U416" s="1">
        <v>72</v>
      </c>
      <c r="V416" s="1">
        <v>84</v>
      </c>
      <c r="W416" s="1" t="s">
        <v>41</v>
      </c>
      <c r="X416" s="1">
        <v>491472</v>
      </c>
      <c r="Y416" s="2">
        <v>35876</v>
      </c>
      <c r="Z416" s="1">
        <v>-2.8210262828535599</v>
      </c>
      <c r="AA416" s="1">
        <v>26</v>
      </c>
      <c r="AB416" s="1">
        <v>184000</v>
      </c>
      <c r="AC416" s="1">
        <f t="shared" si="6"/>
        <v>214000</v>
      </c>
    </row>
    <row r="417" spans="1:29" x14ac:dyDescent="0.25">
      <c r="A417" s="1" t="s">
        <v>3640</v>
      </c>
      <c r="B417" s="1" t="s">
        <v>3641</v>
      </c>
      <c r="C417" s="1" t="s">
        <v>3642</v>
      </c>
      <c r="D417" s="1">
        <v>2019</v>
      </c>
      <c r="E417" s="1" t="s">
        <v>31</v>
      </c>
      <c r="F417" s="1">
        <v>4</v>
      </c>
      <c r="G417" s="1" t="s">
        <v>32</v>
      </c>
      <c r="H417" s="1" t="s">
        <v>122</v>
      </c>
      <c r="I417" s="1">
        <v>169000</v>
      </c>
      <c r="J417" s="1">
        <v>154000</v>
      </c>
      <c r="K417" s="1">
        <v>15000</v>
      </c>
      <c r="L417" s="1">
        <v>0</v>
      </c>
      <c r="M417" s="1" t="s">
        <v>34</v>
      </c>
      <c r="N417" s="1" t="s">
        <v>70</v>
      </c>
      <c r="O417" s="1" t="s">
        <v>188</v>
      </c>
      <c r="P417" s="1" t="s">
        <v>189</v>
      </c>
      <c r="Q417" s="1" t="s">
        <v>38</v>
      </c>
      <c r="R417" s="1" t="s">
        <v>3643</v>
      </c>
      <c r="S417" s="3">
        <v>918618000000</v>
      </c>
      <c r="T417" s="1" t="s">
        <v>74</v>
      </c>
      <c r="U417" s="1">
        <v>72</v>
      </c>
      <c r="V417" s="1">
        <v>76</v>
      </c>
      <c r="W417" s="1" t="s">
        <v>41</v>
      </c>
      <c r="X417" s="1">
        <v>413446</v>
      </c>
      <c r="Y417" s="2">
        <v>38686</v>
      </c>
      <c r="Z417" s="1">
        <v>-2.8210262828535599</v>
      </c>
      <c r="AA417" s="1">
        <v>18</v>
      </c>
      <c r="AB417" s="1">
        <v>676000</v>
      </c>
      <c r="AC417" s="1">
        <f t="shared" si="6"/>
        <v>736000</v>
      </c>
    </row>
    <row r="418" spans="1:29" x14ac:dyDescent="0.25">
      <c r="A418" s="1" t="s">
        <v>312</v>
      </c>
      <c r="B418" s="1" t="s">
        <v>1381</v>
      </c>
      <c r="C418" s="1" t="s">
        <v>1382</v>
      </c>
      <c r="D418" s="1">
        <v>2019</v>
      </c>
      <c r="E418" s="1" t="s">
        <v>45</v>
      </c>
      <c r="F418" s="1">
        <v>2</v>
      </c>
      <c r="G418" s="1" t="s">
        <v>46</v>
      </c>
      <c r="H418" s="1" t="s">
        <v>113</v>
      </c>
      <c r="I418" s="1">
        <v>92000</v>
      </c>
      <c r="J418" s="1">
        <v>77000</v>
      </c>
      <c r="K418" s="1">
        <v>15000</v>
      </c>
      <c r="L418" s="1">
        <v>0</v>
      </c>
      <c r="M418" s="1" t="s">
        <v>34</v>
      </c>
      <c r="N418" s="1" t="s">
        <v>35</v>
      </c>
      <c r="O418" s="1" t="s">
        <v>71</v>
      </c>
      <c r="P418" s="1" t="s">
        <v>72</v>
      </c>
      <c r="Q418" s="1" t="s">
        <v>38</v>
      </c>
      <c r="R418" s="1" t="s">
        <v>3686</v>
      </c>
      <c r="S418" s="3">
        <v>919383000000</v>
      </c>
      <c r="T418" s="1" t="s">
        <v>98</v>
      </c>
      <c r="U418" s="1">
        <v>71</v>
      </c>
      <c r="V418" s="1">
        <v>87</v>
      </c>
      <c r="W418" s="1" t="s">
        <v>52</v>
      </c>
      <c r="X418" s="1">
        <v>735461</v>
      </c>
      <c r="Y418" s="2">
        <v>35594</v>
      </c>
      <c r="Z418" s="1">
        <v>-3.8210262828535599</v>
      </c>
      <c r="AA418" s="1">
        <v>27</v>
      </c>
      <c r="AB418" s="1">
        <v>184000</v>
      </c>
      <c r="AC418" s="1">
        <f t="shared" si="6"/>
        <v>214000</v>
      </c>
    </row>
    <row r="419" spans="1:29" x14ac:dyDescent="0.25">
      <c r="A419" s="1" t="s">
        <v>3695</v>
      </c>
      <c r="B419" s="1" t="s">
        <v>3696</v>
      </c>
      <c r="C419" s="1" t="s">
        <v>3697</v>
      </c>
      <c r="D419" s="1">
        <v>2019</v>
      </c>
      <c r="E419" s="1" t="s">
        <v>31</v>
      </c>
      <c r="F419" s="1">
        <v>4</v>
      </c>
      <c r="G419" s="1" t="s">
        <v>32</v>
      </c>
      <c r="H419" s="1" t="s">
        <v>33</v>
      </c>
      <c r="I419" s="1">
        <v>169000</v>
      </c>
      <c r="J419" s="1">
        <v>154000</v>
      </c>
      <c r="K419" s="1">
        <v>15000</v>
      </c>
      <c r="L419" s="1">
        <v>0</v>
      </c>
      <c r="M419" s="1" t="s">
        <v>34</v>
      </c>
      <c r="N419" s="1" t="s">
        <v>70</v>
      </c>
      <c r="O419" s="1" t="s">
        <v>84</v>
      </c>
      <c r="P419" s="1" t="s">
        <v>65</v>
      </c>
      <c r="Q419" s="1" t="s">
        <v>38</v>
      </c>
      <c r="R419" s="1" t="s">
        <v>3698</v>
      </c>
      <c r="S419" s="3">
        <v>917967000000</v>
      </c>
      <c r="T419" s="1" t="s">
        <v>40</v>
      </c>
      <c r="U419" s="1">
        <v>71</v>
      </c>
      <c r="V419" s="1">
        <v>91</v>
      </c>
      <c r="W419" s="1" t="s">
        <v>41</v>
      </c>
      <c r="X419" s="1">
        <v>101693</v>
      </c>
      <c r="Y419" s="2">
        <v>37209</v>
      </c>
      <c r="Z419" s="1">
        <v>-3.8210262828535599</v>
      </c>
      <c r="AA419" s="1">
        <v>22</v>
      </c>
      <c r="AB419" s="1">
        <v>676000</v>
      </c>
      <c r="AC419" s="1">
        <f t="shared" si="6"/>
        <v>736000</v>
      </c>
    </row>
    <row r="420" spans="1:29" x14ac:dyDescent="0.25">
      <c r="A420" s="1" t="s">
        <v>3727</v>
      </c>
      <c r="B420" s="1" t="s">
        <v>3728</v>
      </c>
      <c r="C420" s="1" t="s">
        <v>3729</v>
      </c>
      <c r="D420" s="1">
        <v>2019</v>
      </c>
      <c r="E420" s="1" t="s">
        <v>31</v>
      </c>
      <c r="F420" s="1">
        <v>4</v>
      </c>
      <c r="G420" s="1" t="s">
        <v>32</v>
      </c>
      <c r="H420" s="1" t="s">
        <v>33</v>
      </c>
      <c r="I420" s="1">
        <v>169000</v>
      </c>
      <c r="J420" s="1">
        <v>154000</v>
      </c>
      <c r="K420" s="1">
        <v>15000</v>
      </c>
      <c r="L420" s="1">
        <v>0</v>
      </c>
      <c r="M420" s="1" t="s">
        <v>34</v>
      </c>
      <c r="N420" s="1" t="s">
        <v>70</v>
      </c>
      <c r="O420" s="1" t="s">
        <v>71</v>
      </c>
      <c r="P420" s="1" t="s">
        <v>72</v>
      </c>
      <c r="Q420" s="1" t="s">
        <v>38</v>
      </c>
      <c r="R420" s="1" t="s">
        <v>3730</v>
      </c>
      <c r="S420" s="3">
        <v>917812000000</v>
      </c>
      <c r="T420" s="1" t="s">
        <v>51</v>
      </c>
      <c r="U420" s="1">
        <v>71</v>
      </c>
      <c r="V420" s="1">
        <v>92</v>
      </c>
      <c r="W420" s="1" t="s">
        <v>52</v>
      </c>
      <c r="X420" s="1">
        <v>358107</v>
      </c>
      <c r="Y420" s="2">
        <v>37056</v>
      </c>
      <c r="Z420" s="1">
        <v>-3.8210262828535599</v>
      </c>
      <c r="AA420" s="1">
        <v>23</v>
      </c>
      <c r="AB420" s="1">
        <v>676000</v>
      </c>
      <c r="AC420" s="1">
        <f t="shared" si="6"/>
        <v>736000</v>
      </c>
    </row>
    <row r="421" spans="1:29" x14ac:dyDescent="0.25">
      <c r="A421" s="1" t="s">
        <v>3741</v>
      </c>
      <c r="B421" s="1" t="s">
        <v>3742</v>
      </c>
      <c r="C421" s="1" t="s">
        <v>3743</v>
      </c>
      <c r="D421" s="1">
        <v>2019</v>
      </c>
      <c r="E421" s="1" t="s">
        <v>31</v>
      </c>
      <c r="F421" s="1">
        <v>4</v>
      </c>
      <c r="G421" s="1" t="s">
        <v>32</v>
      </c>
      <c r="H421" s="1" t="s">
        <v>47</v>
      </c>
      <c r="I421" s="1">
        <v>169000</v>
      </c>
      <c r="J421" s="1">
        <v>154000</v>
      </c>
      <c r="K421" s="1">
        <v>15000</v>
      </c>
      <c r="L421" s="1">
        <v>0</v>
      </c>
      <c r="M421" s="1" t="s">
        <v>34</v>
      </c>
      <c r="N421" s="1" t="s">
        <v>70</v>
      </c>
      <c r="O421" s="1" t="s">
        <v>91</v>
      </c>
      <c r="P421" s="1" t="s">
        <v>92</v>
      </c>
      <c r="Q421" s="1" t="s">
        <v>38</v>
      </c>
      <c r="R421" s="1" t="s">
        <v>3744</v>
      </c>
      <c r="S421" s="3">
        <v>919813000000</v>
      </c>
      <c r="T421" s="1" t="s">
        <v>74</v>
      </c>
      <c r="U421" s="1">
        <v>71</v>
      </c>
      <c r="V421" s="1">
        <v>60</v>
      </c>
      <c r="W421" s="1" t="s">
        <v>52</v>
      </c>
      <c r="X421" s="1">
        <v>340906</v>
      </c>
      <c r="Y421" s="2">
        <v>38424</v>
      </c>
      <c r="Z421" s="1">
        <v>-3.8210262828535599</v>
      </c>
      <c r="AA421" s="1">
        <v>19</v>
      </c>
      <c r="AB421" s="1">
        <v>676000</v>
      </c>
      <c r="AC421" s="1">
        <f t="shared" si="6"/>
        <v>736000</v>
      </c>
    </row>
    <row r="422" spans="1:29" x14ac:dyDescent="0.25">
      <c r="A422" s="1" t="s">
        <v>3769</v>
      </c>
      <c r="B422" s="1" t="s">
        <v>3770</v>
      </c>
      <c r="C422" s="1" t="s">
        <v>3771</v>
      </c>
      <c r="D422" s="1">
        <v>2019</v>
      </c>
      <c r="E422" s="1" t="s">
        <v>45</v>
      </c>
      <c r="F422" s="1">
        <v>2</v>
      </c>
      <c r="G422" s="1" t="s">
        <v>46</v>
      </c>
      <c r="H422" s="1" t="s">
        <v>102</v>
      </c>
      <c r="I422" s="1">
        <v>92000</v>
      </c>
      <c r="J422" s="1">
        <v>77000</v>
      </c>
      <c r="K422" s="1">
        <v>15000</v>
      </c>
      <c r="L422" s="1">
        <v>0</v>
      </c>
      <c r="M422" s="1" t="s">
        <v>34</v>
      </c>
      <c r="N422" s="1" t="s">
        <v>63</v>
      </c>
      <c r="O422" s="1" t="s">
        <v>57</v>
      </c>
      <c r="P422" s="1" t="s">
        <v>57</v>
      </c>
      <c r="Q422" s="1" t="s">
        <v>38</v>
      </c>
      <c r="R422" s="1" t="s">
        <v>3772</v>
      </c>
      <c r="S422" s="3">
        <v>918888000000</v>
      </c>
      <c r="T422" s="1" t="s">
        <v>40</v>
      </c>
      <c r="U422" s="1">
        <v>71</v>
      </c>
      <c r="V422" s="1">
        <v>62</v>
      </c>
      <c r="W422" s="1" t="s">
        <v>41</v>
      </c>
      <c r="X422" s="1">
        <v>352114</v>
      </c>
      <c r="Y422" s="2">
        <v>35827</v>
      </c>
      <c r="Z422" s="1">
        <v>-3.8210262828535599</v>
      </c>
      <c r="AA422" s="1">
        <v>26</v>
      </c>
      <c r="AB422" s="1">
        <v>184000</v>
      </c>
      <c r="AC422" s="1">
        <f t="shared" si="6"/>
        <v>214000</v>
      </c>
    </row>
    <row r="423" spans="1:29" x14ac:dyDescent="0.25">
      <c r="A423" s="1" t="s">
        <v>3811</v>
      </c>
      <c r="B423" s="1" t="s">
        <v>2712</v>
      </c>
      <c r="C423" s="1" t="s">
        <v>2713</v>
      </c>
      <c r="D423" s="1">
        <v>2019</v>
      </c>
      <c r="E423" s="1" t="s">
        <v>45</v>
      </c>
      <c r="F423" s="1">
        <v>2</v>
      </c>
      <c r="G423" s="1" t="s">
        <v>46</v>
      </c>
      <c r="H423" s="1" t="s">
        <v>90</v>
      </c>
      <c r="I423" s="1">
        <v>92000</v>
      </c>
      <c r="J423" s="1">
        <v>77000</v>
      </c>
      <c r="K423" s="1">
        <v>15000</v>
      </c>
      <c r="L423" s="1">
        <v>0</v>
      </c>
      <c r="M423" s="1" t="s">
        <v>34</v>
      </c>
      <c r="N423" s="1" t="s">
        <v>63</v>
      </c>
      <c r="O423" s="1" t="s">
        <v>78</v>
      </c>
      <c r="P423" s="1" t="s">
        <v>79</v>
      </c>
      <c r="Q423" s="1" t="s">
        <v>38</v>
      </c>
      <c r="R423" s="1" t="s">
        <v>3812</v>
      </c>
      <c r="S423" s="3">
        <v>917342000000</v>
      </c>
      <c r="T423" s="1" t="s">
        <v>74</v>
      </c>
      <c r="U423" s="1">
        <v>71</v>
      </c>
      <c r="V423" s="1">
        <v>69</v>
      </c>
      <c r="W423" s="1" t="s">
        <v>52</v>
      </c>
      <c r="X423" s="1">
        <v>580183</v>
      </c>
      <c r="Y423" s="2">
        <v>36112</v>
      </c>
      <c r="Z423" s="1">
        <v>-3.8210262828535599</v>
      </c>
      <c r="AA423" s="1">
        <v>25</v>
      </c>
      <c r="AB423" s="1">
        <v>184000</v>
      </c>
      <c r="AC423" s="1">
        <f t="shared" si="6"/>
        <v>214000</v>
      </c>
    </row>
    <row r="424" spans="1:29" x14ac:dyDescent="0.25">
      <c r="A424" s="1" t="s">
        <v>3835</v>
      </c>
      <c r="B424" s="1" t="s">
        <v>2092</v>
      </c>
      <c r="C424" s="1" t="s">
        <v>2093</v>
      </c>
      <c r="D424" s="1">
        <v>2019</v>
      </c>
      <c r="E424" s="1" t="s">
        <v>45</v>
      </c>
      <c r="F424" s="1">
        <v>2</v>
      </c>
      <c r="G424" s="1" t="s">
        <v>46</v>
      </c>
      <c r="H424" s="1" t="s">
        <v>102</v>
      </c>
      <c r="I424" s="1">
        <v>92000</v>
      </c>
      <c r="J424" s="1">
        <v>77000</v>
      </c>
      <c r="K424" s="1">
        <v>15000</v>
      </c>
      <c r="L424" s="1">
        <v>0</v>
      </c>
      <c r="M424" s="1" t="s">
        <v>34</v>
      </c>
      <c r="N424" s="1" t="s">
        <v>63</v>
      </c>
      <c r="O424" s="1" t="s">
        <v>91</v>
      </c>
      <c r="P424" s="1" t="s">
        <v>92</v>
      </c>
      <c r="Q424" s="1" t="s">
        <v>38</v>
      </c>
      <c r="R424" s="1" t="s">
        <v>3836</v>
      </c>
      <c r="S424" s="3">
        <v>918380000000</v>
      </c>
      <c r="T424" s="1" t="s">
        <v>51</v>
      </c>
      <c r="U424" s="1">
        <v>70</v>
      </c>
      <c r="V424" s="1">
        <v>64</v>
      </c>
      <c r="W424" s="1" t="s">
        <v>41</v>
      </c>
      <c r="X424" s="1">
        <v>511732</v>
      </c>
      <c r="Y424" s="2">
        <v>36164</v>
      </c>
      <c r="Z424" s="1">
        <v>-4.8210262828535599</v>
      </c>
      <c r="AA424" s="1">
        <v>25</v>
      </c>
      <c r="AB424" s="1">
        <v>184000</v>
      </c>
      <c r="AC424" s="1">
        <f t="shared" si="6"/>
        <v>214000</v>
      </c>
    </row>
    <row r="425" spans="1:29" x14ac:dyDescent="0.25">
      <c r="A425" s="1" t="s">
        <v>3849</v>
      </c>
      <c r="B425" s="1" t="s">
        <v>3850</v>
      </c>
      <c r="C425" s="1" t="s">
        <v>3851</v>
      </c>
      <c r="D425" s="1">
        <v>2019</v>
      </c>
      <c r="E425" s="1" t="s">
        <v>45</v>
      </c>
      <c r="F425" s="1">
        <v>2</v>
      </c>
      <c r="G425" s="1" t="s">
        <v>46</v>
      </c>
      <c r="H425" s="1" t="s">
        <v>33</v>
      </c>
      <c r="I425" s="1">
        <v>92000</v>
      </c>
      <c r="J425" s="1">
        <v>77000</v>
      </c>
      <c r="K425" s="1">
        <v>15000</v>
      </c>
      <c r="L425" s="1">
        <v>0</v>
      </c>
      <c r="M425" s="1" t="s">
        <v>34</v>
      </c>
      <c r="N425" s="1" t="s">
        <v>35</v>
      </c>
      <c r="O425" s="1" t="s">
        <v>78</v>
      </c>
      <c r="P425" s="1" t="s">
        <v>79</v>
      </c>
      <c r="Q425" s="1" t="s">
        <v>38</v>
      </c>
      <c r="R425" s="1" t="s">
        <v>3852</v>
      </c>
      <c r="S425" s="3">
        <v>919518000000</v>
      </c>
      <c r="T425" s="1" t="s">
        <v>51</v>
      </c>
      <c r="U425" s="1">
        <v>70</v>
      </c>
      <c r="V425" s="1">
        <v>89</v>
      </c>
      <c r="W425" s="1" t="s">
        <v>52</v>
      </c>
      <c r="X425" s="1">
        <v>186025</v>
      </c>
      <c r="Y425" s="2">
        <v>36464</v>
      </c>
      <c r="Z425" s="1">
        <v>-4.8210262828535599</v>
      </c>
      <c r="AA425" s="1">
        <v>24</v>
      </c>
      <c r="AB425" s="1">
        <v>184000</v>
      </c>
      <c r="AC425" s="1">
        <f t="shared" si="6"/>
        <v>214000</v>
      </c>
    </row>
    <row r="426" spans="1:29" x14ac:dyDescent="0.25">
      <c r="A426" s="1" t="s">
        <v>3867</v>
      </c>
      <c r="B426" s="1" t="s">
        <v>2460</v>
      </c>
      <c r="C426" s="1" t="s">
        <v>2461</v>
      </c>
      <c r="D426" s="1">
        <v>2019</v>
      </c>
      <c r="E426" s="1" t="s">
        <v>45</v>
      </c>
      <c r="F426" s="1">
        <v>2</v>
      </c>
      <c r="G426" s="1" t="s">
        <v>46</v>
      </c>
      <c r="H426" s="1" t="s">
        <v>113</v>
      </c>
      <c r="I426" s="1">
        <v>92000</v>
      </c>
      <c r="J426" s="1">
        <v>77000</v>
      </c>
      <c r="K426" s="1">
        <v>15000</v>
      </c>
      <c r="L426" s="1">
        <v>0</v>
      </c>
      <c r="M426" s="1" t="s">
        <v>34</v>
      </c>
      <c r="N426" s="1" t="s">
        <v>70</v>
      </c>
      <c r="O426" s="1" t="s">
        <v>103</v>
      </c>
      <c r="P426" s="1" t="s">
        <v>104</v>
      </c>
      <c r="Q426" s="1" t="s">
        <v>38</v>
      </c>
      <c r="R426" s="1" t="s">
        <v>3868</v>
      </c>
      <c r="S426" s="3">
        <v>918030000000</v>
      </c>
      <c r="T426" s="1" t="s">
        <v>40</v>
      </c>
      <c r="U426" s="1">
        <v>70</v>
      </c>
      <c r="V426" s="1">
        <v>66</v>
      </c>
      <c r="W426" s="1" t="s">
        <v>52</v>
      </c>
      <c r="X426" s="1">
        <v>280720</v>
      </c>
      <c r="Y426" s="2">
        <v>36916</v>
      </c>
      <c r="Z426" s="1">
        <v>-4.8210262828535599</v>
      </c>
      <c r="AA426" s="1">
        <v>23</v>
      </c>
      <c r="AB426" s="1">
        <v>184000</v>
      </c>
      <c r="AC426" s="1">
        <f t="shared" si="6"/>
        <v>214000</v>
      </c>
    </row>
    <row r="427" spans="1:29" x14ac:dyDescent="0.25">
      <c r="A427" s="1" t="s">
        <v>3893</v>
      </c>
      <c r="B427" s="1" t="s">
        <v>3894</v>
      </c>
      <c r="C427" s="1" t="s">
        <v>3895</v>
      </c>
      <c r="D427" s="1">
        <v>2019</v>
      </c>
      <c r="E427" s="1" t="s">
        <v>31</v>
      </c>
      <c r="F427" s="1">
        <v>4</v>
      </c>
      <c r="G427" s="1" t="s">
        <v>32</v>
      </c>
      <c r="H427" s="1" t="s">
        <v>102</v>
      </c>
      <c r="I427" s="1">
        <v>169000</v>
      </c>
      <c r="J427" s="1">
        <v>154000</v>
      </c>
      <c r="K427" s="1">
        <v>15000</v>
      </c>
      <c r="L427" s="1">
        <v>0</v>
      </c>
      <c r="M427" s="1" t="s">
        <v>34</v>
      </c>
      <c r="N427" s="1" t="s">
        <v>70</v>
      </c>
      <c r="O427" s="1" t="s">
        <v>188</v>
      </c>
      <c r="P427" s="1" t="s">
        <v>189</v>
      </c>
      <c r="Q427" s="1" t="s">
        <v>38</v>
      </c>
      <c r="R427" s="1" t="s">
        <v>3896</v>
      </c>
      <c r="S427" s="3">
        <v>917235000000</v>
      </c>
      <c r="T427" s="1" t="s">
        <v>40</v>
      </c>
      <c r="U427" s="1">
        <v>70</v>
      </c>
      <c r="V427" s="1">
        <v>78</v>
      </c>
      <c r="W427" s="1" t="s">
        <v>41</v>
      </c>
      <c r="X427" s="1">
        <v>569383</v>
      </c>
      <c r="Y427" s="2">
        <v>37484</v>
      </c>
      <c r="Z427" s="1">
        <v>-4.8210262828535599</v>
      </c>
      <c r="AA427" s="1">
        <v>21</v>
      </c>
      <c r="AB427" s="1">
        <v>676000</v>
      </c>
      <c r="AC427" s="1">
        <f t="shared" si="6"/>
        <v>736000</v>
      </c>
    </row>
    <row r="428" spans="1:29" x14ac:dyDescent="0.25">
      <c r="A428" s="1" t="s">
        <v>3901</v>
      </c>
      <c r="B428" s="1" t="s">
        <v>3902</v>
      </c>
      <c r="C428" s="1" t="s">
        <v>3903</v>
      </c>
      <c r="D428" s="1">
        <v>2019</v>
      </c>
      <c r="E428" s="1" t="s">
        <v>31</v>
      </c>
      <c r="F428" s="1">
        <v>4</v>
      </c>
      <c r="G428" s="1" t="s">
        <v>32</v>
      </c>
      <c r="H428" s="1" t="s">
        <v>151</v>
      </c>
      <c r="I428" s="1">
        <v>169000</v>
      </c>
      <c r="J428" s="1">
        <v>154000</v>
      </c>
      <c r="K428" s="1">
        <v>15000</v>
      </c>
      <c r="L428" s="1">
        <v>0</v>
      </c>
      <c r="M428" s="1" t="s">
        <v>34</v>
      </c>
      <c r="N428" s="1" t="s">
        <v>35</v>
      </c>
      <c r="O428" s="1" t="s">
        <v>57</v>
      </c>
      <c r="P428" s="1" t="s">
        <v>57</v>
      </c>
      <c r="Q428" s="1" t="s">
        <v>38</v>
      </c>
      <c r="R428" s="1" t="s">
        <v>3904</v>
      </c>
      <c r="S428" s="3">
        <v>917584000000</v>
      </c>
      <c r="T428" s="1" t="s">
        <v>40</v>
      </c>
      <c r="U428" s="1">
        <v>70</v>
      </c>
      <c r="V428" s="1">
        <v>74</v>
      </c>
      <c r="W428" s="1" t="s">
        <v>52</v>
      </c>
      <c r="X428" s="1">
        <v>378572</v>
      </c>
      <c r="Y428" s="2">
        <v>38374</v>
      </c>
      <c r="Z428" s="1">
        <v>-4.8210262828535599</v>
      </c>
      <c r="AA428" s="1">
        <v>19</v>
      </c>
      <c r="AB428" s="1">
        <v>676000</v>
      </c>
      <c r="AC428" s="1">
        <f t="shared" si="6"/>
        <v>736000</v>
      </c>
    </row>
    <row r="429" spans="1:29" x14ac:dyDescent="0.25">
      <c r="A429" s="1" t="s">
        <v>3909</v>
      </c>
      <c r="B429" s="1" t="s">
        <v>3784</v>
      </c>
      <c r="C429" s="1" t="s">
        <v>3785</v>
      </c>
      <c r="D429" s="1">
        <v>2019</v>
      </c>
      <c r="E429" s="1" t="s">
        <v>31</v>
      </c>
      <c r="F429" s="1">
        <v>4</v>
      </c>
      <c r="G429" s="1" t="s">
        <v>32</v>
      </c>
      <c r="H429" s="1" t="s">
        <v>33</v>
      </c>
      <c r="I429" s="1">
        <v>169000</v>
      </c>
      <c r="J429" s="1">
        <v>154000</v>
      </c>
      <c r="K429" s="1">
        <v>15000</v>
      </c>
      <c r="L429" s="1">
        <v>0</v>
      </c>
      <c r="M429" s="1" t="s">
        <v>34</v>
      </c>
      <c r="N429" s="1" t="s">
        <v>35</v>
      </c>
      <c r="O429" s="1" t="s">
        <v>71</v>
      </c>
      <c r="P429" s="1" t="s">
        <v>72</v>
      </c>
      <c r="Q429" s="1" t="s">
        <v>38</v>
      </c>
      <c r="R429" s="1" t="s">
        <v>3910</v>
      </c>
      <c r="S429" s="3">
        <v>917775000000</v>
      </c>
      <c r="T429" s="1" t="s">
        <v>86</v>
      </c>
      <c r="U429" s="1">
        <v>70</v>
      </c>
      <c r="V429" s="1">
        <v>61</v>
      </c>
      <c r="W429" s="1" t="s">
        <v>41</v>
      </c>
      <c r="X429" s="1">
        <v>173345</v>
      </c>
      <c r="Y429" s="2">
        <v>38021</v>
      </c>
      <c r="Z429" s="1">
        <v>-4.8210262828535599</v>
      </c>
      <c r="AA429" s="1">
        <v>20</v>
      </c>
      <c r="AB429" s="1">
        <v>676000</v>
      </c>
      <c r="AC429" s="1">
        <f t="shared" si="6"/>
        <v>736000</v>
      </c>
    </row>
    <row r="430" spans="1:29" x14ac:dyDescent="0.25">
      <c r="A430" s="1" t="s">
        <v>3945</v>
      </c>
      <c r="B430" s="1" t="s">
        <v>3946</v>
      </c>
      <c r="C430" s="1" t="s">
        <v>3947</v>
      </c>
      <c r="D430" s="1">
        <v>2019</v>
      </c>
      <c r="E430" s="1" t="s">
        <v>31</v>
      </c>
      <c r="F430" s="1">
        <v>4</v>
      </c>
      <c r="G430" s="1" t="s">
        <v>32</v>
      </c>
      <c r="H430" s="1" t="s">
        <v>90</v>
      </c>
      <c r="I430" s="1">
        <v>169000</v>
      </c>
      <c r="J430" s="1">
        <v>154000</v>
      </c>
      <c r="K430" s="1">
        <v>15000</v>
      </c>
      <c r="L430" s="1">
        <v>0</v>
      </c>
      <c r="M430" s="1" t="s">
        <v>34</v>
      </c>
      <c r="N430" s="1" t="s">
        <v>63</v>
      </c>
      <c r="O430" s="1" t="s">
        <v>57</v>
      </c>
      <c r="P430" s="1" t="s">
        <v>57</v>
      </c>
      <c r="Q430" s="1" t="s">
        <v>38</v>
      </c>
      <c r="R430" s="1" t="s">
        <v>3948</v>
      </c>
      <c r="S430" s="3">
        <v>917730000000</v>
      </c>
      <c r="T430" s="1" t="s">
        <v>86</v>
      </c>
      <c r="U430" s="1">
        <v>70</v>
      </c>
      <c r="V430" s="1">
        <v>88</v>
      </c>
      <c r="W430" s="1" t="s">
        <v>41</v>
      </c>
      <c r="X430" s="1">
        <v>356863</v>
      </c>
      <c r="Y430" s="2">
        <v>37499</v>
      </c>
      <c r="Z430" s="1">
        <v>-4.8210262828535599</v>
      </c>
      <c r="AA430" s="1">
        <v>21</v>
      </c>
      <c r="AB430" s="1">
        <v>676000</v>
      </c>
      <c r="AC430" s="1">
        <f t="shared" si="6"/>
        <v>736000</v>
      </c>
    </row>
    <row r="431" spans="1:29" x14ac:dyDescent="0.25">
      <c r="A431" s="1" t="s">
        <v>3949</v>
      </c>
      <c r="B431" s="1" t="s">
        <v>3950</v>
      </c>
      <c r="C431" s="1" t="s">
        <v>3951</v>
      </c>
      <c r="D431" s="1">
        <v>2019</v>
      </c>
      <c r="E431" s="1" t="s">
        <v>31</v>
      </c>
      <c r="F431" s="1">
        <v>4</v>
      </c>
      <c r="G431" s="1" t="s">
        <v>32</v>
      </c>
      <c r="H431" s="1" t="s">
        <v>90</v>
      </c>
      <c r="I431" s="1">
        <v>169000</v>
      </c>
      <c r="J431" s="1">
        <v>154000</v>
      </c>
      <c r="K431" s="1">
        <v>15000</v>
      </c>
      <c r="L431" s="1">
        <v>0</v>
      </c>
      <c r="M431" s="1" t="s">
        <v>34</v>
      </c>
      <c r="N431" s="1" t="s">
        <v>63</v>
      </c>
      <c r="O431" s="1" t="s">
        <v>71</v>
      </c>
      <c r="P431" s="1" t="s">
        <v>72</v>
      </c>
      <c r="Q431" s="1" t="s">
        <v>38</v>
      </c>
      <c r="R431" s="1" t="s">
        <v>3952</v>
      </c>
      <c r="S431" s="3">
        <v>919988000000</v>
      </c>
      <c r="T431" s="1" t="s">
        <v>74</v>
      </c>
      <c r="U431" s="1">
        <v>70</v>
      </c>
      <c r="V431" s="1">
        <v>61</v>
      </c>
      <c r="W431" s="1" t="s">
        <v>52</v>
      </c>
      <c r="X431" s="1">
        <v>196917</v>
      </c>
      <c r="Y431" s="2">
        <v>38056</v>
      </c>
      <c r="Z431" s="1">
        <v>-4.8210262828535599</v>
      </c>
      <c r="AA431" s="1">
        <v>20</v>
      </c>
      <c r="AB431" s="1">
        <v>676000</v>
      </c>
      <c r="AC431" s="1">
        <f t="shared" si="6"/>
        <v>736000</v>
      </c>
    </row>
    <row r="432" spans="1:29" x14ac:dyDescent="0.25">
      <c r="A432" s="1" t="s">
        <v>3965</v>
      </c>
      <c r="B432" s="1" t="s">
        <v>3966</v>
      </c>
      <c r="C432" s="1" t="s">
        <v>3967</v>
      </c>
      <c r="D432" s="1">
        <v>2019</v>
      </c>
      <c r="E432" s="1" t="s">
        <v>31</v>
      </c>
      <c r="F432" s="1">
        <v>4</v>
      </c>
      <c r="G432" s="1" t="s">
        <v>32</v>
      </c>
      <c r="H432" s="1" t="s">
        <v>56</v>
      </c>
      <c r="I432" s="1">
        <v>169000</v>
      </c>
      <c r="J432" s="1">
        <v>154000</v>
      </c>
      <c r="K432" s="1">
        <v>15000</v>
      </c>
      <c r="L432" s="1">
        <v>0</v>
      </c>
      <c r="M432" s="1" t="s">
        <v>34</v>
      </c>
      <c r="N432" s="1" t="s">
        <v>70</v>
      </c>
      <c r="O432" s="1" t="s">
        <v>91</v>
      </c>
      <c r="P432" s="1" t="s">
        <v>92</v>
      </c>
      <c r="Q432" s="1" t="s">
        <v>38</v>
      </c>
      <c r="R432" s="1" t="s">
        <v>3968</v>
      </c>
      <c r="S432" s="3">
        <v>918353000000</v>
      </c>
      <c r="T432" s="1" t="s">
        <v>98</v>
      </c>
      <c r="U432" s="1">
        <v>70</v>
      </c>
      <c r="V432" s="1">
        <v>65</v>
      </c>
      <c r="W432" s="1" t="s">
        <v>41</v>
      </c>
      <c r="X432" s="1">
        <v>654415</v>
      </c>
      <c r="Y432" s="2">
        <v>37569</v>
      </c>
      <c r="Z432" s="1">
        <v>-4.8210262828535599</v>
      </c>
      <c r="AA432" s="1">
        <v>21</v>
      </c>
      <c r="AB432" s="1">
        <v>676000</v>
      </c>
      <c r="AC432" s="1">
        <f t="shared" si="6"/>
        <v>736000</v>
      </c>
    </row>
    <row r="433" spans="1:29" x14ac:dyDescent="0.25">
      <c r="A433" s="1" t="s">
        <v>3985</v>
      </c>
      <c r="B433" s="1" t="s">
        <v>3986</v>
      </c>
      <c r="C433" s="1" t="s">
        <v>3987</v>
      </c>
      <c r="D433" s="1">
        <v>2019</v>
      </c>
      <c r="E433" s="1" t="s">
        <v>31</v>
      </c>
      <c r="F433" s="1">
        <v>4</v>
      </c>
      <c r="G433" s="1" t="s">
        <v>32</v>
      </c>
      <c r="H433" s="1" t="s">
        <v>33</v>
      </c>
      <c r="I433" s="1">
        <v>169000</v>
      </c>
      <c r="J433" s="1">
        <v>154000</v>
      </c>
      <c r="K433" s="1">
        <v>15000</v>
      </c>
      <c r="L433" s="1">
        <v>0</v>
      </c>
      <c r="M433" s="1" t="s">
        <v>34</v>
      </c>
      <c r="N433" s="1" t="s">
        <v>63</v>
      </c>
      <c r="O433" s="1" t="s">
        <v>48</v>
      </c>
      <c r="P433" s="1" t="s">
        <v>49</v>
      </c>
      <c r="Q433" s="1" t="s">
        <v>38</v>
      </c>
      <c r="R433" s="1" t="s">
        <v>3988</v>
      </c>
      <c r="S433" s="3">
        <v>918433000000</v>
      </c>
      <c r="T433" s="1" t="s">
        <v>40</v>
      </c>
      <c r="U433" s="1">
        <v>69</v>
      </c>
      <c r="V433" s="1">
        <v>82</v>
      </c>
      <c r="W433" s="1" t="s">
        <v>41</v>
      </c>
      <c r="X433" s="1">
        <v>271267</v>
      </c>
      <c r="Y433" s="2">
        <v>37142</v>
      </c>
      <c r="Z433" s="1">
        <v>-5.8210262828535599</v>
      </c>
      <c r="AA433" s="1">
        <v>22</v>
      </c>
      <c r="AB433" s="1">
        <v>676000</v>
      </c>
      <c r="AC433" s="1">
        <f t="shared" si="6"/>
        <v>736000</v>
      </c>
    </row>
    <row r="434" spans="1:29" x14ac:dyDescent="0.25">
      <c r="A434" s="1" t="s">
        <v>4003</v>
      </c>
      <c r="B434" s="1" t="s">
        <v>3087</v>
      </c>
      <c r="C434" s="1" t="s">
        <v>3088</v>
      </c>
      <c r="D434" s="1">
        <v>2019</v>
      </c>
      <c r="E434" s="1" t="s">
        <v>45</v>
      </c>
      <c r="F434" s="1">
        <v>2</v>
      </c>
      <c r="G434" s="1" t="s">
        <v>46</v>
      </c>
      <c r="H434" s="1" t="s">
        <v>62</v>
      </c>
      <c r="I434" s="1">
        <v>92000</v>
      </c>
      <c r="J434" s="1">
        <v>77000</v>
      </c>
      <c r="K434" s="1">
        <v>15000</v>
      </c>
      <c r="L434" s="1">
        <v>0</v>
      </c>
      <c r="M434" s="1" t="s">
        <v>34</v>
      </c>
      <c r="N434" s="1" t="s">
        <v>70</v>
      </c>
      <c r="O434" s="1" t="s">
        <v>48</v>
      </c>
      <c r="P434" s="1" t="s">
        <v>49</v>
      </c>
      <c r="Q434" s="1" t="s">
        <v>38</v>
      </c>
      <c r="R434" s="1" t="s">
        <v>4004</v>
      </c>
      <c r="S434" s="3">
        <v>917694000000</v>
      </c>
      <c r="T434" s="1" t="s">
        <v>74</v>
      </c>
      <c r="U434" s="1">
        <v>69</v>
      </c>
      <c r="V434" s="1">
        <v>60</v>
      </c>
      <c r="W434" s="1" t="s">
        <v>52</v>
      </c>
      <c r="X434" s="1">
        <v>706666</v>
      </c>
      <c r="Y434" s="2">
        <v>35905</v>
      </c>
      <c r="Z434" s="1">
        <v>-5.8210262828535599</v>
      </c>
      <c r="AA434" s="1">
        <v>26</v>
      </c>
      <c r="AB434" s="1">
        <v>184000</v>
      </c>
      <c r="AC434" s="1">
        <f t="shared" si="6"/>
        <v>214000</v>
      </c>
    </row>
    <row r="435" spans="1:29" x14ac:dyDescent="0.25">
      <c r="A435" s="1" t="s">
        <v>4021</v>
      </c>
      <c r="B435" s="1" t="s">
        <v>4022</v>
      </c>
      <c r="C435" s="1" t="s">
        <v>4023</v>
      </c>
      <c r="D435" s="1">
        <v>2019</v>
      </c>
      <c r="E435" s="1" t="s">
        <v>31</v>
      </c>
      <c r="F435" s="1">
        <v>4</v>
      </c>
      <c r="G435" s="1" t="s">
        <v>32</v>
      </c>
      <c r="H435" s="1" t="s">
        <v>47</v>
      </c>
      <c r="I435" s="1">
        <v>169000</v>
      </c>
      <c r="J435" s="1">
        <v>154000</v>
      </c>
      <c r="K435" s="1">
        <v>15000</v>
      </c>
      <c r="L435" s="1">
        <v>0</v>
      </c>
      <c r="M435" s="1" t="s">
        <v>34</v>
      </c>
      <c r="N435" s="1" t="s">
        <v>63</v>
      </c>
      <c r="O435" s="1" t="s">
        <v>64</v>
      </c>
      <c r="P435" s="1" t="s">
        <v>65</v>
      </c>
      <c r="Q435" s="1" t="s">
        <v>38</v>
      </c>
      <c r="R435" s="1" t="s">
        <v>4024</v>
      </c>
      <c r="S435" s="3">
        <v>917679000000</v>
      </c>
      <c r="T435" s="1" t="s">
        <v>86</v>
      </c>
      <c r="U435" s="1">
        <v>69</v>
      </c>
      <c r="V435" s="1">
        <v>82</v>
      </c>
      <c r="W435" s="1" t="s">
        <v>41</v>
      </c>
      <c r="X435" s="1">
        <v>265129</v>
      </c>
      <c r="Y435" s="2">
        <v>38400</v>
      </c>
      <c r="Z435" s="1">
        <v>-5.8210262828535599</v>
      </c>
      <c r="AA435" s="1">
        <v>19</v>
      </c>
      <c r="AB435" s="1">
        <v>676000</v>
      </c>
      <c r="AC435" s="1">
        <f t="shared" si="6"/>
        <v>736000</v>
      </c>
    </row>
    <row r="436" spans="1:29" x14ac:dyDescent="0.25">
      <c r="A436" s="1" t="s">
        <v>4080</v>
      </c>
      <c r="B436" s="1" t="s">
        <v>4081</v>
      </c>
      <c r="C436" s="1" t="s">
        <v>4082</v>
      </c>
      <c r="D436" s="1">
        <v>2019</v>
      </c>
      <c r="E436" s="1" t="s">
        <v>31</v>
      </c>
      <c r="F436" s="1">
        <v>4</v>
      </c>
      <c r="G436" s="1" t="s">
        <v>32</v>
      </c>
      <c r="H436" s="1" t="s">
        <v>210</v>
      </c>
      <c r="I436" s="1">
        <v>169000</v>
      </c>
      <c r="J436" s="1">
        <v>154000</v>
      </c>
      <c r="K436" s="1">
        <v>15000</v>
      </c>
      <c r="L436" s="1">
        <v>0</v>
      </c>
      <c r="M436" s="1" t="s">
        <v>34</v>
      </c>
      <c r="N436" s="1" t="s">
        <v>70</v>
      </c>
      <c r="O436" s="1" t="s">
        <v>84</v>
      </c>
      <c r="P436" s="1" t="s">
        <v>65</v>
      </c>
      <c r="Q436" s="1" t="s">
        <v>38</v>
      </c>
      <c r="R436" s="1" t="s">
        <v>4083</v>
      </c>
      <c r="S436" s="3">
        <v>917003000000</v>
      </c>
      <c r="T436" s="1" t="s">
        <v>40</v>
      </c>
      <c r="U436" s="1">
        <v>69</v>
      </c>
      <c r="V436" s="1">
        <v>70</v>
      </c>
      <c r="W436" s="1" t="s">
        <v>52</v>
      </c>
      <c r="X436" s="1">
        <v>462055</v>
      </c>
      <c r="Y436" s="2">
        <v>38045</v>
      </c>
      <c r="Z436" s="1">
        <v>-5.8210262828535599</v>
      </c>
      <c r="AA436" s="1">
        <v>20</v>
      </c>
      <c r="AB436" s="1">
        <v>676000</v>
      </c>
      <c r="AC436" s="1">
        <f t="shared" si="6"/>
        <v>736000</v>
      </c>
    </row>
    <row r="437" spans="1:29" x14ac:dyDescent="0.25">
      <c r="A437" s="1" t="s">
        <v>4092</v>
      </c>
      <c r="B437" s="1" t="s">
        <v>4093</v>
      </c>
      <c r="C437" s="1" t="s">
        <v>4094</v>
      </c>
      <c r="D437" s="1">
        <v>2019</v>
      </c>
      <c r="E437" s="1" t="s">
        <v>31</v>
      </c>
      <c r="F437" s="1">
        <v>4</v>
      </c>
      <c r="G437" s="1" t="s">
        <v>32</v>
      </c>
      <c r="H437" s="1" t="s">
        <v>62</v>
      </c>
      <c r="I437" s="1">
        <v>169000</v>
      </c>
      <c r="J437" s="1">
        <v>154000</v>
      </c>
      <c r="K437" s="1">
        <v>15000</v>
      </c>
      <c r="L437" s="1">
        <v>0</v>
      </c>
      <c r="M437" s="1" t="s">
        <v>34</v>
      </c>
      <c r="N437" s="1" t="s">
        <v>35</v>
      </c>
      <c r="O437" s="1" t="s">
        <v>36</v>
      </c>
      <c r="P437" s="1" t="s">
        <v>37</v>
      </c>
      <c r="Q437" s="1" t="s">
        <v>38</v>
      </c>
      <c r="R437" s="1" t="s">
        <v>4095</v>
      </c>
      <c r="S437" s="3">
        <v>917471000000</v>
      </c>
      <c r="T437" s="1" t="s">
        <v>74</v>
      </c>
      <c r="U437" s="1">
        <v>69</v>
      </c>
      <c r="V437" s="1">
        <v>86</v>
      </c>
      <c r="W437" s="1" t="s">
        <v>52</v>
      </c>
      <c r="X437" s="1">
        <v>126426</v>
      </c>
      <c r="Y437" s="2">
        <v>37994</v>
      </c>
      <c r="Z437" s="1">
        <v>-5.8210262828535599</v>
      </c>
      <c r="AA437" s="1">
        <v>20</v>
      </c>
      <c r="AB437" s="1">
        <v>676000</v>
      </c>
      <c r="AC437" s="1">
        <f t="shared" si="6"/>
        <v>736000</v>
      </c>
    </row>
    <row r="438" spans="1:29" x14ac:dyDescent="0.25">
      <c r="A438" s="1" t="s">
        <v>4110</v>
      </c>
      <c r="B438" s="1" t="s">
        <v>3774</v>
      </c>
      <c r="C438" s="1" t="s">
        <v>3775</v>
      </c>
      <c r="D438" s="1">
        <v>2019</v>
      </c>
      <c r="E438" s="1" t="s">
        <v>45</v>
      </c>
      <c r="F438" s="1">
        <v>2</v>
      </c>
      <c r="G438" s="1" t="s">
        <v>46</v>
      </c>
      <c r="H438" s="1" t="s">
        <v>90</v>
      </c>
      <c r="I438" s="1">
        <v>92000</v>
      </c>
      <c r="J438" s="1">
        <v>77000</v>
      </c>
      <c r="K438" s="1">
        <v>15000</v>
      </c>
      <c r="L438" s="1">
        <v>0</v>
      </c>
      <c r="M438" s="1" t="s">
        <v>34</v>
      </c>
      <c r="N438" s="1" t="s">
        <v>70</v>
      </c>
      <c r="O438" s="1" t="s">
        <v>84</v>
      </c>
      <c r="P438" s="1" t="s">
        <v>65</v>
      </c>
      <c r="Q438" s="1" t="s">
        <v>38</v>
      </c>
      <c r="R438" s="1" t="s">
        <v>4111</v>
      </c>
      <c r="S438" s="3">
        <v>918789000000</v>
      </c>
      <c r="T438" s="1" t="s">
        <v>98</v>
      </c>
      <c r="U438" s="1">
        <v>69</v>
      </c>
      <c r="V438" s="1">
        <v>78</v>
      </c>
      <c r="W438" s="1" t="s">
        <v>52</v>
      </c>
      <c r="X438" s="1">
        <v>289035</v>
      </c>
      <c r="Y438" s="2">
        <v>35764</v>
      </c>
      <c r="Z438" s="1">
        <v>-5.8210262828535599</v>
      </c>
      <c r="AA438" s="1">
        <v>26</v>
      </c>
      <c r="AB438" s="1">
        <v>184000</v>
      </c>
      <c r="AC438" s="1">
        <f t="shared" si="6"/>
        <v>214000</v>
      </c>
    </row>
    <row r="439" spans="1:29" x14ac:dyDescent="0.25">
      <c r="A439" s="1" t="s">
        <v>4132</v>
      </c>
      <c r="B439" s="1" t="s">
        <v>4133</v>
      </c>
      <c r="C439" s="1" t="s">
        <v>4134</v>
      </c>
      <c r="D439" s="1">
        <v>2019</v>
      </c>
      <c r="E439" s="1" t="s">
        <v>31</v>
      </c>
      <c r="F439" s="1">
        <v>4</v>
      </c>
      <c r="G439" s="1" t="s">
        <v>32</v>
      </c>
      <c r="H439" s="1" t="s">
        <v>33</v>
      </c>
      <c r="I439" s="1">
        <v>169000</v>
      </c>
      <c r="J439" s="1">
        <v>154000</v>
      </c>
      <c r="K439" s="1">
        <v>15000</v>
      </c>
      <c r="L439" s="1">
        <v>0</v>
      </c>
      <c r="M439" s="1" t="s">
        <v>34</v>
      </c>
      <c r="N439" s="1" t="s">
        <v>63</v>
      </c>
      <c r="O439" s="1" t="s">
        <v>57</v>
      </c>
      <c r="P439" s="1" t="s">
        <v>57</v>
      </c>
      <c r="Q439" s="1" t="s">
        <v>38</v>
      </c>
      <c r="R439" s="1" t="s">
        <v>4135</v>
      </c>
      <c r="S439" s="3">
        <v>917246000000</v>
      </c>
      <c r="T439" s="1" t="s">
        <v>98</v>
      </c>
      <c r="U439" s="1">
        <v>69</v>
      </c>
      <c r="V439" s="1">
        <v>79</v>
      </c>
      <c r="W439" s="1" t="s">
        <v>41</v>
      </c>
      <c r="X439" s="1">
        <v>426595</v>
      </c>
      <c r="Y439" s="2">
        <v>38522</v>
      </c>
      <c r="Z439" s="1">
        <v>-5.8210262828535599</v>
      </c>
      <c r="AA439" s="1">
        <v>19</v>
      </c>
      <c r="AB439" s="1">
        <v>676000</v>
      </c>
      <c r="AC439" s="1">
        <f t="shared" si="6"/>
        <v>736000</v>
      </c>
    </row>
    <row r="440" spans="1:29" x14ac:dyDescent="0.25">
      <c r="A440" s="1" t="s">
        <v>4177</v>
      </c>
      <c r="B440" s="1" t="s">
        <v>2915</v>
      </c>
      <c r="C440" s="1" t="s">
        <v>2916</v>
      </c>
      <c r="D440" s="1">
        <v>2019</v>
      </c>
      <c r="E440" s="1" t="s">
        <v>45</v>
      </c>
      <c r="F440" s="1">
        <v>2</v>
      </c>
      <c r="G440" s="1" t="s">
        <v>46</v>
      </c>
      <c r="H440" s="1" t="s">
        <v>113</v>
      </c>
      <c r="I440" s="1">
        <v>92000</v>
      </c>
      <c r="J440" s="1">
        <v>77000</v>
      </c>
      <c r="K440" s="1">
        <v>15000</v>
      </c>
      <c r="L440" s="1">
        <v>0</v>
      </c>
      <c r="M440" s="1" t="s">
        <v>34</v>
      </c>
      <c r="N440" s="1" t="s">
        <v>70</v>
      </c>
      <c r="O440" s="1" t="s">
        <v>84</v>
      </c>
      <c r="P440" s="1" t="s">
        <v>65</v>
      </c>
      <c r="Q440" s="1" t="s">
        <v>38</v>
      </c>
      <c r="R440" s="1" t="s">
        <v>4178</v>
      </c>
      <c r="S440" s="3">
        <v>918313000000</v>
      </c>
      <c r="T440" s="1" t="s">
        <v>86</v>
      </c>
      <c r="U440" s="1">
        <v>68</v>
      </c>
      <c r="V440" s="1">
        <v>66</v>
      </c>
      <c r="W440" s="1" t="s">
        <v>52</v>
      </c>
      <c r="X440" s="1">
        <v>614187</v>
      </c>
      <c r="Y440" s="2">
        <v>35589</v>
      </c>
      <c r="Z440" s="1">
        <v>-6.8210262828535599</v>
      </c>
      <c r="AA440" s="1">
        <v>27</v>
      </c>
      <c r="AB440" s="1">
        <v>184000</v>
      </c>
      <c r="AC440" s="1">
        <f t="shared" si="6"/>
        <v>214000</v>
      </c>
    </row>
    <row r="441" spans="1:29" x14ac:dyDescent="0.25">
      <c r="A441" s="1" t="s">
        <v>4223</v>
      </c>
      <c r="B441" s="1" t="s">
        <v>1755</v>
      </c>
      <c r="C441" s="1" t="s">
        <v>1756</v>
      </c>
      <c r="D441" s="1">
        <v>2019</v>
      </c>
      <c r="E441" s="1" t="s">
        <v>31</v>
      </c>
      <c r="F441" s="1">
        <v>4</v>
      </c>
      <c r="G441" s="1" t="s">
        <v>32</v>
      </c>
      <c r="H441" s="1" t="s">
        <v>33</v>
      </c>
      <c r="I441" s="1">
        <v>169000</v>
      </c>
      <c r="J441" s="1">
        <v>154000</v>
      </c>
      <c r="K441" s="1">
        <v>15000</v>
      </c>
      <c r="L441" s="1">
        <v>0</v>
      </c>
      <c r="M441" s="1" t="s">
        <v>34</v>
      </c>
      <c r="N441" s="1" t="s">
        <v>70</v>
      </c>
      <c r="O441" s="1" t="s">
        <v>57</v>
      </c>
      <c r="P441" s="1" t="s">
        <v>57</v>
      </c>
      <c r="Q441" s="1" t="s">
        <v>38</v>
      </c>
      <c r="R441" s="1" t="s">
        <v>4224</v>
      </c>
      <c r="S441" s="3">
        <v>917426000000</v>
      </c>
      <c r="T441" s="1" t="s">
        <v>51</v>
      </c>
      <c r="U441" s="1">
        <v>68</v>
      </c>
      <c r="V441" s="1">
        <v>83</v>
      </c>
      <c r="W441" s="1" t="s">
        <v>52</v>
      </c>
      <c r="X441" s="1">
        <v>144398</v>
      </c>
      <c r="Y441" s="2">
        <v>37568</v>
      </c>
      <c r="Z441" s="1">
        <v>-6.8210262828535599</v>
      </c>
      <c r="AA441" s="1">
        <v>21</v>
      </c>
      <c r="AB441" s="1">
        <v>676000</v>
      </c>
      <c r="AC441" s="1">
        <f t="shared" si="6"/>
        <v>736000</v>
      </c>
    </row>
    <row r="442" spans="1:29" x14ac:dyDescent="0.25">
      <c r="A442" s="1" t="s">
        <v>4227</v>
      </c>
      <c r="B442" s="1" t="s">
        <v>4228</v>
      </c>
      <c r="C442" s="1" t="s">
        <v>4229</v>
      </c>
      <c r="D442" s="1">
        <v>2019</v>
      </c>
      <c r="E442" s="1" t="s">
        <v>45</v>
      </c>
      <c r="F442" s="1">
        <v>2</v>
      </c>
      <c r="G442" s="1" t="s">
        <v>46</v>
      </c>
      <c r="H442" s="1" t="s">
        <v>47</v>
      </c>
      <c r="I442" s="1">
        <v>92000</v>
      </c>
      <c r="J442" s="1">
        <v>77000</v>
      </c>
      <c r="K442" s="1">
        <v>15000</v>
      </c>
      <c r="L442" s="1">
        <v>0</v>
      </c>
      <c r="M442" s="1" t="s">
        <v>34</v>
      </c>
      <c r="N442" s="1" t="s">
        <v>35</v>
      </c>
      <c r="O442" s="1" t="s">
        <v>84</v>
      </c>
      <c r="P442" s="1" t="s">
        <v>65</v>
      </c>
      <c r="Q442" s="1" t="s">
        <v>38</v>
      </c>
      <c r="R442" s="1" t="s">
        <v>4230</v>
      </c>
      <c r="S442" s="3">
        <v>918252000000</v>
      </c>
      <c r="T442" s="1" t="s">
        <v>51</v>
      </c>
      <c r="U442" s="1">
        <v>68</v>
      </c>
      <c r="V442" s="1">
        <v>62</v>
      </c>
      <c r="W442" s="1" t="s">
        <v>52</v>
      </c>
      <c r="X442" s="1">
        <v>387522</v>
      </c>
      <c r="Y442" s="2">
        <v>36541</v>
      </c>
      <c r="Z442" s="1">
        <v>-6.8210262828535599</v>
      </c>
      <c r="AA442" s="1">
        <v>24</v>
      </c>
      <c r="AB442" s="1">
        <v>184000</v>
      </c>
      <c r="AC442" s="1">
        <f t="shared" si="6"/>
        <v>214000</v>
      </c>
    </row>
    <row r="443" spans="1:29" x14ac:dyDescent="0.25">
      <c r="A443" s="1" t="s">
        <v>4263</v>
      </c>
      <c r="B443" s="1" t="s">
        <v>4264</v>
      </c>
      <c r="C443" s="1" t="s">
        <v>4265</v>
      </c>
      <c r="D443" s="1">
        <v>2019</v>
      </c>
      <c r="E443" s="1" t="s">
        <v>31</v>
      </c>
      <c r="F443" s="1">
        <v>4</v>
      </c>
      <c r="G443" s="1" t="s">
        <v>32</v>
      </c>
      <c r="H443" s="1" t="s">
        <v>90</v>
      </c>
      <c r="I443" s="1">
        <v>169000</v>
      </c>
      <c r="J443" s="1">
        <v>154000</v>
      </c>
      <c r="K443" s="1">
        <v>15000</v>
      </c>
      <c r="L443" s="1">
        <v>0</v>
      </c>
      <c r="M443" s="1" t="s">
        <v>34</v>
      </c>
      <c r="N443" s="1" t="s">
        <v>70</v>
      </c>
      <c r="O443" s="1" t="s">
        <v>91</v>
      </c>
      <c r="P443" s="1" t="s">
        <v>92</v>
      </c>
      <c r="Q443" s="1" t="s">
        <v>38</v>
      </c>
      <c r="R443" s="1" t="s">
        <v>4266</v>
      </c>
      <c r="S443" s="3">
        <v>917239000000</v>
      </c>
      <c r="T443" s="1" t="s">
        <v>86</v>
      </c>
      <c r="U443" s="1">
        <v>68</v>
      </c>
      <c r="V443" s="1">
        <v>72</v>
      </c>
      <c r="W443" s="1" t="s">
        <v>41</v>
      </c>
      <c r="X443" s="1">
        <v>428313</v>
      </c>
      <c r="Y443" s="2">
        <v>38476</v>
      </c>
      <c r="Z443" s="1">
        <v>-6.8210262828535599</v>
      </c>
      <c r="AA443" s="1">
        <v>19</v>
      </c>
      <c r="AB443" s="1">
        <v>676000</v>
      </c>
      <c r="AC443" s="1">
        <f t="shared" si="6"/>
        <v>736000</v>
      </c>
    </row>
    <row r="444" spans="1:29" x14ac:dyDescent="0.25">
      <c r="A444" s="1" t="s">
        <v>4271</v>
      </c>
      <c r="B444" s="1" t="s">
        <v>497</v>
      </c>
      <c r="C444" s="1" t="s">
        <v>498</v>
      </c>
      <c r="D444" s="1">
        <v>2019</v>
      </c>
      <c r="E444" s="1" t="s">
        <v>31</v>
      </c>
      <c r="F444" s="1">
        <v>4</v>
      </c>
      <c r="G444" s="1" t="s">
        <v>32</v>
      </c>
      <c r="H444" s="1" t="s">
        <v>102</v>
      </c>
      <c r="I444" s="1">
        <v>169000</v>
      </c>
      <c r="J444" s="1">
        <v>154000</v>
      </c>
      <c r="K444" s="1">
        <v>15000</v>
      </c>
      <c r="L444" s="1">
        <v>0</v>
      </c>
      <c r="M444" s="1" t="s">
        <v>34</v>
      </c>
      <c r="N444" s="1" t="s">
        <v>35</v>
      </c>
      <c r="O444" s="1" t="s">
        <v>91</v>
      </c>
      <c r="P444" s="1" t="s">
        <v>92</v>
      </c>
      <c r="Q444" s="1" t="s">
        <v>38</v>
      </c>
      <c r="R444" s="1" t="s">
        <v>4272</v>
      </c>
      <c r="S444" s="3">
        <v>917068000000</v>
      </c>
      <c r="T444" s="1" t="s">
        <v>98</v>
      </c>
      <c r="U444" s="1">
        <v>68</v>
      </c>
      <c r="V444" s="1">
        <v>62</v>
      </c>
      <c r="W444" s="1" t="s">
        <v>52</v>
      </c>
      <c r="X444" s="1">
        <v>221665</v>
      </c>
      <c r="Y444" s="2">
        <v>37121</v>
      </c>
      <c r="Z444" s="1">
        <v>-6.8210262828535599</v>
      </c>
      <c r="AA444" s="1">
        <v>22</v>
      </c>
      <c r="AB444" s="1">
        <v>676000</v>
      </c>
      <c r="AC444" s="1">
        <f t="shared" si="6"/>
        <v>736000</v>
      </c>
    </row>
    <row r="445" spans="1:29" x14ac:dyDescent="0.25">
      <c r="A445" s="1" t="s">
        <v>1330</v>
      </c>
      <c r="B445" s="1" t="s">
        <v>3260</v>
      </c>
      <c r="C445" s="1" t="s">
        <v>3261</v>
      </c>
      <c r="D445" s="1">
        <v>2019</v>
      </c>
      <c r="E445" s="1" t="s">
        <v>31</v>
      </c>
      <c r="F445" s="1">
        <v>4</v>
      </c>
      <c r="G445" s="1" t="s">
        <v>32</v>
      </c>
      <c r="H445" s="1" t="s">
        <v>151</v>
      </c>
      <c r="I445" s="1">
        <v>169000</v>
      </c>
      <c r="J445" s="1">
        <v>154000</v>
      </c>
      <c r="K445" s="1">
        <v>15000</v>
      </c>
      <c r="L445" s="1">
        <v>0</v>
      </c>
      <c r="M445" s="1" t="s">
        <v>34</v>
      </c>
      <c r="N445" s="1" t="s">
        <v>63</v>
      </c>
      <c r="O445" s="1" t="s">
        <v>64</v>
      </c>
      <c r="P445" s="1" t="s">
        <v>65</v>
      </c>
      <c r="Q445" s="1" t="s">
        <v>38</v>
      </c>
      <c r="R445" s="1" t="s">
        <v>4279</v>
      </c>
      <c r="S445" s="3">
        <v>919275000000</v>
      </c>
      <c r="T445" s="1" t="s">
        <v>86</v>
      </c>
      <c r="U445" s="1">
        <v>68</v>
      </c>
      <c r="V445" s="1">
        <v>68</v>
      </c>
      <c r="W445" s="1" t="s">
        <v>52</v>
      </c>
      <c r="X445" s="1">
        <v>712113</v>
      </c>
      <c r="Y445" s="2">
        <v>37776</v>
      </c>
      <c r="Z445" s="1">
        <v>-6.8210262828535599</v>
      </c>
      <c r="AA445" s="1">
        <v>21</v>
      </c>
      <c r="AB445" s="1">
        <v>676000</v>
      </c>
      <c r="AC445" s="1">
        <f t="shared" si="6"/>
        <v>736000</v>
      </c>
    </row>
    <row r="446" spans="1:29" x14ac:dyDescent="0.25">
      <c r="A446" s="1" t="s">
        <v>4280</v>
      </c>
      <c r="B446" s="1" t="s">
        <v>4281</v>
      </c>
      <c r="C446" s="1" t="s">
        <v>4282</v>
      </c>
      <c r="D446" s="1">
        <v>2019</v>
      </c>
      <c r="E446" s="1" t="s">
        <v>31</v>
      </c>
      <c r="F446" s="1">
        <v>4</v>
      </c>
      <c r="G446" s="1" t="s">
        <v>32</v>
      </c>
      <c r="H446" s="1" t="s">
        <v>56</v>
      </c>
      <c r="I446" s="1">
        <v>169000</v>
      </c>
      <c r="J446" s="1">
        <v>154000</v>
      </c>
      <c r="K446" s="1">
        <v>15000</v>
      </c>
      <c r="L446" s="1">
        <v>0</v>
      </c>
      <c r="M446" s="1" t="s">
        <v>34</v>
      </c>
      <c r="N446" s="1" t="s">
        <v>35</v>
      </c>
      <c r="O446" s="1" t="s">
        <v>48</v>
      </c>
      <c r="P446" s="1" t="s">
        <v>49</v>
      </c>
      <c r="Q446" s="1" t="s">
        <v>38</v>
      </c>
      <c r="R446" s="1" t="s">
        <v>4283</v>
      </c>
      <c r="S446" s="3">
        <v>919122000000</v>
      </c>
      <c r="T446" s="1" t="s">
        <v>86</v>
      </c>
      <c r="U446" s="1">
        <v>68</v>
      </c>
      <c r="V446" s="1">
        <v>91</v>
      </c>
      <c r="W446" s="1" t="s">
        <v>52</v>
      </c>
      <c r="X446" s="1">
        <v>738905</v>
      </c>
      <c r="Y446" s="2">
        <v>38515</v>
      </c>
      <c r="Z446" s="1">
        <v>-6.8210262828535599</v>
      </c>
      <c r="AA446" s="1">
        <v>19</v>
      </c>
      <c r="AB446" s="1">
        <v>676000</v>
      </c>
      <c r="AC446" s="1">
        <f t="shared" si="6"/>
        <v>736000</v>
      </c>
    </row>
    <row r="447" spans="1:29" x14ac:dyDescent="0.25">
      <c r="A447" s="1" t="s">
        <v>4288</v>
      </c>
      <c r="B447" s="1" t="s">
        <v>4289</v>
      </c>
      <c r="C447" s="1" t="s">
        <v>4290</v>
      </c>
      <c r="D447" s="1">
        <v>2019</v>
      </c>
      <c r="E447" s="1" t="s">
        <v>31</v>
      </c>
      <c r="F447" s="1">
        <v>4</v>
      </c>
      <c r="G447" s="1" t="s">
        <v>32</v>
      </c>
      <c r="H447" s="1" t="s">
        <v>151</v>
      </c>
      <c r="I447" s="1">
        <v>169000</v>
      </c>
      <c r="J447" s="1">
        <v>154000</v>
      </c>
      <c r="K447" s="1">
        <v>15000</v>
      </c>
      <c r="L447" s="1">
        <v>0</v>
      </c>
      <c r="M447" s="1" t="s">
        <v>34</v>
      </c>
      <c r="N447" s="1" t="s">
        <v>63</v>
      </c>
      <c r="O447" s="1" t="s">
        <v>36</v>
      </c>
      <c r="P447" s="1" t="s">
        <v>37</v>
      </c>
      <c r="Q447" s="1" t="s">
        <v>38</v>
      </c>
      <c r="R447" s="1" t="s">
        <v>4291</v>
      </c>
      <c r="S447" s="3">
        <v>918548000000</v>
      </c>
      <c r="T447" s="1" t="s">
        <v>51</v>
      </c>
      <c r="U447" s="1">
        <v>68</v>
      </c>
      <c r="V447" s="1">
        <v>71</v>
      </c>
      <c r="W447" s="1" t="s">
        <v>41</v>
      </c>
      <c r="X447" s="1">
        <v>631710</v>
      </c>
      <c r="Y447" s="2">
        <v>38140</v>
      </c>
      <c r="Z447" s="1">
        <v>-6.8210262828535599</v>
      </c>
      <c r="AA447" s="1">
        <v>20</v>
      </c>
      <c r="AB447" s="1">
        <v>676000</v>
      </c>
      <c r="AC447" s="1">
        <f t="shared" si="6"/>
        <v>736000</v>
      </c>
    </row>
    <row r="448" spans="1:29" x14ac:dyDescent="0.25">
      <c r="A448" s="1" t="s">
        <v>4306</v>
      </c>
      <c r="B448" s="1" t="s">
        <v>4307</v>
      </c>
      <c r="C448" s="1" t="s">
        <v>4308</v>
      </c>
      <c r="D448" s="1">
        <v>2019</v>
      </c>
      <c r="E448" s="1" t="s">
        <v>31</v>
      </c>
      <c r="F448" s="1">
        <v>4</v>
      </c>
      <c r="G448" s="1" t="s">
        <v>32</v>
      </c>
      <c r="H448" s="1" t="s">
        <v>210</v>
      </c>
      <c r="I448" s="1">
        <v>169000</v>
      </c>
      <c r="J448" s="1">
        <v>154000</v>
      </c>
      <c r="K448" s="1">
        <v>15000</v>
      </c>
      <c r="L448" s="1">
        <v>0</v>
      </c>
      <c r="M448" s="1" t="s">
        <v>34</v>
      </c>
      <c r="N448" s="1" t="s">
        <v>70</v>
      </c>
      <c r="O448" s="1" t="s">
        <v>188</v>
      </c>
      <c r="P448" s="1" t="s">
        <v>189</v>
      </c>
      <c r="Q448" s="1" t="s">
        <v>38</v>
      </c>
      <c r="R448" s="1" t="s">
        <v>4309</v>
      </c>
      <c r="S448" s="3">
        <v>918419000000</v>
      </c>
      <c r="T448" s="1" t="s">
        <v>40</v>
      </c>
      <c r="U448" s="1">
        <v>68</v>
      </c>
      <c r="V448" s="1">
        <v>62</v>
      </c>
      <c r="W448" s="1" t="s">
        <v>52</v>
      </c>
      <c r="X448" s="1">
        <v>758583</v>
      </c>
      <c r="Y448" s="2">
        <v>38022</v>
      </c>
      <c r="Z448" s="1">
        <v>-6.8210262828535599</v>
      </c>
      <c r="AA448" s="1">
        <v>20</v>
      </c>
      <c r="AB448" s="1">
        <v>676000</v>
      </c>
      <c r="AC448" s="1">
        <f t="shared" si="6"/>
        <v>736000</v>
      </c>
    </row>
    <row r="449" spans="1:29" x14ac:dyDescent="0.25">
      <c r="A449" s="1" t="s">
        <v>4320</v>
      </c>
      <c r="B449" s="1" t="s">
        <v>723</v>
      </c>
      <c r="C449" s="1" t="s">
        <v>724</v>
      </c>
      <c r="D449" s="1">
        <v>2019</v>
      </c>
      <c r="E449" s="1" t="s">
        <v>31</v>
      </c>
      <c r="F449" s="1">
        <v>4</v>
      </c>
      <c r="G449" s="1" t="s">
        <v>32</v>
      </c>
      <c r="H449" s="1" t="s">
        <v>47</v>
      </c>
      <c r="I449" s="1">
        <v>169000</v>
      </c>
      <c r="J449" s="1">
        <v>154000</v>
      </c>
      <c r="K449" s="1">
        <v>15000</v>
      </c>
      <c r="L449" s="1">
        <v>0</v>
      </c>
      <c r="M449" s="1" t="s">
        <v>34</v>
      </c>
      <c r="N449" s="1" t="s">
        <v>70</v>
      </c>
      <c r="O449" s="1" t="s">
        <v>78</v>
      </c>
      <c r="P449" s="1" t="s">
        <v>79</v>
      </c>
      <c r="Q449" s="1" t="s">
        <v>38</v>
      </c>
      <c r="R449" s="1" t="s">
        <v>4321</v>
      </c>
      <c r="S449" s="3">
        <v>918505000000</v>
      </c>
      <c r="T449" s="1" t="s">
        <v>98</v>
      </c>
      <c r="U449" s="1">
        <v>67</v>
      </c>
      <c r="V449" s="1">
        <v>86</v>
      </c>
      <c r="W449" s="1" t="s">
        <v>41</v>
      </c>
      <c r="X449" s="1">
        <v>130538</v>
      </c>
      <c r="Y449" s="2">
        <v>38293</v>
      </c>
      <c r="Z449" s="1">
        <v>-7.8210262828535599</v>
      </c>
      <c r="AA449" s="1">
        <v>19</v>
      </c>
      <c r="AB449" s="1">
        <v>676000</v>
      </c>
      <c r="AC449" s="1">
        <f t="shared" si="6"/>
        <v>736000</v>
      </c>
    </row>
    <row r="450" spans="1:29" x14ac:dyDescent="0.25">
      <c r="A450" s="1" t="s">
        <v>4332</v>
      </c>
      <c r="B450" s="1" t="s">
        <v>4333</v>
      </c>
      <c r="C450" s="1" t="s">
        <v>4334</v>
      </c>
      <c r="D450" s="1">
        <v>2019</v>
      </c>
      <c r="E450" s="1" t="s">
        <v>31</v>
      </c>
      <c r="F450" s="1">
        <v>4</v>
      </c>
      <c r="G450" s="1" t="s">
        <v>32</v>
      </c>
      <c r="H450" s="1" t="s">
        <v>210</v>
      </c>
      <c r="I450" s="1">
        <v>169000</v>
      </c>
      <c r="J450" s="1">
        <v>154000</v>
      </c>
      <c r="K450" s="1">
        <v>15000</v>
      </c>
      <c r="L450" s="1">
        <v>0</v>
      </c>
      <c r="M450" s="1" t="s">
        <v>34</v>
      </c>
      <c r="N450" s="1" t="s">
        <v>35</v>
      </c>
      <c r="O450" s="1" t="s">
        <v>48</v>
      </c>
      <c r="P450" s="1" t="s">
        <v>49</v>
      </c>
      <c r="Q450" s="1" t="s">
        <v>38</v>
      </c>
      <c r="R450" s="1" t="s">
        <v>4335</v>
      </c>
      <c r="S450" s="3">
        <v>918852000000</v>
      </c>
      <c r="T450" s="1" t="s">
        <v>40</v>
      </c>
      <c r="U450" s="1">
        <v>67</v>
      </c>
      <c r="V450" s="1">
        <v>62</v>
      </c>
      <c r="W450" s="1" t="s">
        <v>52</v>
      </c>
      <c r="X450" s="1">
        <v>201222</v>
      </c>
      <c r="Y450" s="2">
        <v>37613</v>
      </c>
      <c r="Z450" s="1">
        <v>-7.8210262828535599</v>
      </c>
      <c r="AA450" s="1">
        <v>21</v>
      </c>
      <c r="AB450" s="1">
        <v>676000</v>
      </c>
      <c r="AC450" s="1">
        <f t="shared" si="6"/>
        <v>736000</v>
      </c>
    </row>
    <row r="451" spans="1:29" x14ac:dyDescent="0.25">
      <c r="A451" s="1" t="s">
        <v>4342</v>
      </c>
      <c r="B451" s="1" t="s">
        <v>4343</v>
      </c>
      <c r="C451" s="1" t="s">
        <v>4344</v>
      </c>
      <c r="D451" s="1">
        <v>2019</v>
      </c>
      <c r="E451" s="1" t="s">
        <v>31</v>
      </c>
      <c r="F451" s="1">
        <v>4</v>
      </c>
      <c r="G451" s="1" t="s">
        <v>32</v>
      </c>
      <c r="H451" s="1" t="s">
        <v>62</v>
      </c>
      <c r="I451" s="1">
        <v>169000</v>
      </c>
      <c r="J451" s="1">
        <v>154000</v>
      </c>
      <c r="K451" s="1">
        <v>15000</v>
      </c>
      <c r="L451" s="1">
        <v>0</v>
      </c>
      <c r="M451" s="1" t="s">
        <v>34</v>
      </c>
      <c r="N451" s="1" t="s">
        <v>70</v>
      </c>
      <c r="O451" s="1" t="s">
        <v>57</v>
      </c>
      <c r="P451" s="1" t="s">
        <v>57</v>
      </c>
      <c r="Q451" s="1" t="s">
        <v>38</v>
      </c>
      <c r="R451" s="1" t="s">
        <v>4345</v>
      </c>
      <c r="S451" s="3">
        <v>919983000000</v>
      </c>
      <c r="T451" s="1" t="s">
        <v>40</v>
      </c>
      <c r="U451" s="1">
        <v>67</v>
      </c>
      <c r="V451" s="1">
        <v>62</v>
      </c>
      <c r="W451" s="1" t="s">
        <v>52</v>
      </c>
      <c r="X451" s="1">
        <v>479604</v>
      </c>
      <c r="Y451" s="2">
        <v>38237</v>
      </c>
      <c r="Z451" s="1">
        <v>-7.8210262828535599</v>
      </c>
      <c r="AA451" s="1">
        <v>19</v>
      </c>
      <c r="AB451" s="1">
        <v>676000</v>
      </c>
      <c r="AC451" s="1">
        <f t="shared" si="6"/>
        <v>736000</v>
      </c>
    </row>
    <row r="452" spans="1:29" x14ac:dyDescent="0.25">
      <c r="A452" s="1" t="s">
        <v>4352</v>
      </c>
      <c r="B452" s="1" t="s">
        <v>4353</v>
      </c>
      <c r="C452" s="1" t="s">
        <v>4354</v>
      </c>
      <c r="D452" s="1">
        <v>2019</v>
      </c>
      <c r="E452" s="1" t="s">
        <v>31</v>
      </c>
      <c r="F452" s="1">
        <v>4</v>
      </c>
      <c r="G452" s="1" t="s">
        <v>32</v>
      </c>
      <c r="H452" s="1" t="s">
        <v>102</v>
      </c>
      <c r="I452" s="1">
        <v>169000</v>
      </c>
      <c r="J452" s="1">
        <v>154000</v>
      </c>
      <c r="K452" s="1">
        <v>15000</v>
      </c>
      <c r="L452" s="1">
        <v>0</v>
      </c>
      <c r="M452" s="1" t="s">
        <v>34</v>
      </c>
      <c r="N452" s="1" t="s">
        <v>35</v>
      </c>
      <c r="O452" s="1" t="s">
        <v>103</v>
      </c>
      <c r="P452" s="1" t="s">
        <v>104</v>
      </c>
      <c r="Q452" s="1" t="s">
        <v>38</v>
      </c>
      <c r="R452" s="1" t="s">
        <v>4355</v>
      </c>
      <c r="S452" s="3">
        <v>917734000000</v>
      </c>
      <c r="T452" s="1" t="s">
        <v>98</v>
      </c>
      <c r="U452" s="1">
        <v>67</v>
      </c>
      <c r="V452" s="1">
        <v>69</v>
      </c>
      <c r="W452" s="1" t="s">
        <v>41</v>
      </c>
      <c r="X452" s="1">
        <v>384993</v>
      </c>
      <c r="Y452" s="2">
        <v>38701</v>
      </c>
      <c r="Z452" s="1">
        <v>-7.8210262828535599</v>
      </c>
      <c r="AA452" s="1">
        <v>18</v>
      </c>
      <c r="AB452" s="1">
        <v>676000</v>
      </c>
      <c r="AC452" s="1">
        <f t="shared" si="6"/>
        <v>736000</v>
      </c>
    </row>
    <row r="453" spans="1:29" x14ac:dyDescent="0.25">
      <c r="A453" s="1" t="s">
        <v>4364</v>
      </c>
      <c r="B453" s="1" t="s">
        <v>1343</v>
      </c>
      <c r="C453" s="1" t="s">
        <v>1344</v>
      </c>
      <c r="D453" s="1">
        <v>2019</v>
      </c>
      <c r="E453" s="1" t="s">
        <v>31</v>
      </c>
      <c r="F453" s="1">
        <v>4</v>
      </c>
      <c r="G453" s="1" t="s">
        <v>32</v>
      </c>
      <c r="H453" s="1" t="s">
        <v>62</v>
      </c>
      <c r="I453" s="1">
        <v>169000</v>
      </c>
      <c r="J453" s="1">
        <v>154000</v>
      </c>
      <c r="K453" s="1">
        <v>15000</v>
      </c>
      <c r="L453" s="1">
        <v>0</v>
      </c>
      <c r="M453" s="1" t="s">
        <v>34</v>
      </c>
      <c r="N453" s="1" t="s">
        <v>63</v>
      </c>
      <c r="O453" s="1" t="s">
        <v>36</v>
      </c>
      <c r="P453" s="1" t="s">
        <v>37</v>
      </c>
      <c r="Q453" s="1" t="s">
        <v>38</v>
      </c>
      <c r="R453" s="1" t="s">
        <v>4365</v>
      </c>
      <c r="S453" s="3">
        <v>919557000000</v>
      </c>
      <c r="T453" s="1" t="s">
        <v>98</v>
      </c>
      <c r="U453" s="1">
        <v>67</v>
      </c>
      <c r="V453" s="1">
        <v>81</v>
      </c>
      <c r="W453" s="1" t="s">
        <v>41</v>
      </c>
      <c r="X453" s="1">
        <v>189493</v>
      </c>
      <c r="Y453" s="2">
        <v>38100</v>
      </c>
      <c r="Z453" s="1">
        <v>-7.8210262828535599</v>
      </c>
      <c r="AA453" s="1">
        <v>20</v>
      </c>
      <c r="AB453" s="1">
        <v>676000</v>
      </c>
      <c r="AC453" s="1">
        <f t="shared" si="6"/>
        <v>736000</v>
      </c>
    </row>
    <row r="454" spans="1:29" x14ac:dyDescent="0.25">
      <c r="A454" s="1" t="s">
        <v>4385</v>
      </c>
      <c r="B454" s="1" t="s">
        <v>4386</v>
      </c>
      <c r="C454" s="1" t="s">
        <v>4387</v>
      </c>
      <c r="D454" s="1">
        <v>2019</v>
      </c>
      <c r="E454" s="1" t="s">
        <v>31</v>
      </c>
      <c r="F454" s="1">
        <v>4</v>
      </c>
      <c r="G454" s="1" t="s">
        <v>32</v>
      </c>
      <c r="H454" s="1" t="s">
        <v>56</v>
      </c>
      <c r="I454" s="1">
        <v>169000</v>
      </c>
      <c r="J454" s="1">
        <v>154000</v>
      </c>
      <c r="K454" s="1">
        <v>15000</v>
      </c>
      <c r="L454" s="1">
        <v>0</v>
      </c>
      <c r="M454" s="1" t="s">
        <v>34</v>
      </c>
      <c r="N454" s="1" t="s">
        <v>63</v>
      </c>
      <c r="O454" s="1" t="s">
        <v>71</v>
      </c>
      <c r="P454" s="1" t="s">
        <v>72</v>
      </c>
      <c r="Q454" s="1" t="s">
        <v>38</v>
      </c>
      <c r="R454" s="1" t="s">
        <v>4388</v>
      </c>
      <c r="S454" s="3">
        <v>918710000000</v>
      </c>
      <c r="T454" s="1" t="s">
        <v>98</v>
      </c>
      <c r="U454" s="1">
        <v>67</v>
      </c>
      <c r="V454" s="1">
        <v>66</v>
      </c>
      <c r="W454" s="1" t="s">
        <v>41</v>
      </c>
      <c r="X454" s="1">
        <v>744746</v>
      </c>
      <c r="Y454" s="2">
        <v>38502</v>
      </c>
      <c r="Z454" s="1">
        <v>-7.8210262828535599</v>
      </c>
      <c r="AA454" s="1">
        <v>19</v>
      </c>
      <c r="AB454" s="1">
        <v>676000</v>
      </c>
      <c r="AC454" s="1">
        <f t="shared" ref="AC454:AC517" si="7">IF(F454 = 2, AB454+30000,AB454+60000)</f>
        <v>736000</v>
      </c>
    </row>
    <row r="455" spans="1:29" x14ac:dyDescent="0.25">
      <c r="A455" s="1" t="s">
        <v>4397</v>
      </c>
      <c r="B455" s="1" t="s">
        <v>4398</v>
      </c>
      <c r="C455" s="1" t="s">
        <v>4399</v>
      </c>
      <c r="D455" s="1">
        <v>2019</v>
      </c>
      <c r="E455" s="1" t="s">
        <v>31</v>
      </c>
      <c r="F455" s="1">
        <v>4</v>
      </c>
      <c r="G455" s="1" t="s">
        <v>32</v>
      </c>
      <c r="H455" s="1" t="s">
        <v>122</v>
      </c>
      <c r="I455" s="1">
        <v>169000</v>
      </c>
      <c r="J455" s="1">
        <v>154000</v>
      </c>
      <c r="K455" s="1">
        <v>15000</v>
      </c>
      <c r="L455" s="1">
        <v>0</v>
      </c>
      <c r="M455" s="1" t="s">
        <v>34</v>
      </c>
      <c r="N455" s="1" t="s">
        <v>70</v>
      </c>
      <c r="O455" s="1" t="s">
        <v>91</v>
      </c>
      <c r="P455" s="1" t="s">
        <v>92</v>
      </c>
      <c r="Q455" s="1" t="s">
        <v>38</v>
      </c>
      <c r="R455" s="1" t="s">
        <v>4400</v>
      </c>
      <c r="S455" s="3">
        <v>918330000000</v>
      </c>
      <c r="T455" s="1" t="s">
        <v>98</v>
      </c>
      <c r="U455" s="1">
        <v>67</v>
      </c>
      <c r="V455" s="1">
        <v>72</v>
      </c>
      <c r="W455" s="1" t="s">
        <v>41</v>
      </c>
      <c r="X455" s="1">
        <v>595298</v>
      </c>
      <c r="Y455" s="2">
        <v>36989</v>
      </c>
      <c r="Z455" s="1">
        <v>-7.8210262828535599</v>
      </c>
      <c r="AA455" s="1">
        <v>23</v>
      </c>
      <c r="AB455" s="1">
        <v>676000</v>
      </c>
      <c r="AC455" s="1">
        <f t="shared" si="7"/>
        <v>736000</v>
      </c>
    </row>
    <row r="456" spans="1:29" x14ac:dyDescent="0.25">
      <c r="A456" s="1" t="s">
        <v>4419</v>
      </c>
      <c r="B456" s="1" t="s">
        <v>4420</v>
      </c>
      <c r="C456" s="1" t="s">
        <v>4421</v>
      </c>
      <c r="D456" s="1">
        <v>2019</v>
      </c>
      <c r="E456" s="1" t="s">
        <v>31</v>
      </c>
      <c r="F456" s="1">
        <v>4</v>
      </c>
      <c r="G456" s="1" t="s">
        <v>32</v>
      </c>
      <c r="H456" s="1" t="s">
        <v>90</v>
      </c>
      <c r="I456" s="1">
        <v>169000</v>
      </c>
      <c r="J456" s="1">
        <v>154000</v>
      </c>
      <c r="K456" s="1">
        <v>15000</v>
      </c>
      <c r="L456" s="1">
        <v>0</v>
      </c>
      <c r="M456" s="1" t="s">
        <v>34</v>
      </c>
      <c r="N456" s="1" t="s">
        <v>63</v>
      </c>
      <c r="O456" s="1" t="s">
        <v>64</v>
      </c>
      <c r="P456" s="1" t="s">
        <v>65</v>
      </c>
      <c r="Q456" s="1" t="s">
        <v>38</v>
      </c>
      <c r="R456" s="1" t="s">
        <v>4422</v>
      </c>
      <c r="S456" s="3">
        <v>918233000000</v>
      </c>
      <c r="T456" s="1" t="s">
        <v>51</v>
      </c>
      <c r="U456" s="1">
        <v>67</v>
      </c>
      <c r="V456" s="1">
        <v>60</v>
      </c>
      <c r="W456" s="1" t="s">
        <v>41</v>
      </c>
      <c r="X456" s="1">
        <v>427640</v>
      </c>
      <c r="Y456" s="2">
        <v>38096</v>
      </c>
      <c r="Z456" s="1">
        <v>-7.8210262828535599</v>
      </c>
      <c r="AA456" s="1">
        <v>20</v>
      </c>
      <c r="AB456" s="1">
        <v>676000</v>
      </c>
      <c r="AC456" s="1">
        <f t="shared" si="7"/>
        <v>736000</v>
      </c>
    </row>
    <row r="457" spans="1:29" x14ac:dyDescent="0.25">
      <c r="A457" s="1" t="s">
        <v>4423</v>
      </c>
      <c r="B457" s="1" t="s">
        <v>4424</v>
      </c>
      <c r="C457" s="1" t="s">
        <v>4425</v>
      </c>
      <c r="D457" s="1">
        <v>2019</v>
      </c>
      <c r="E457" s="1" t="s">
        <v>31</v>
      </c>
      <c r="F457" s="1">
        <v>4</v>
      </c>
      <c r="G457" s="1" t="s">
        <v>32</v>
      </c>
      <c r="H457" s="1" t="s">
        <v>210</v>
      </c>
      <c r="I457" s="1">
        <v>169000</v>
      </c>
      <c r="J457" s="1">
        <v>154000</v>
      </c>
      <c r="K457" s="1">
        <v>15000</v>
      </c>
      <c r="L457" s="1">
        <v>0</v>
      </c>
      <c r="M457" s="1" t="s">
        <v>34</v>
      </c>
      <c r="N457" s="1" t="s">
        <v>35</v>
      </c>
      <c r="O457" s="1" t="s">
        <v>48</v>
      </c>
      <c r="P457" s="1" t="s">
        <v>49</v>
      </c>
      <c r="Q457" s="1" t="s">
        <v>38</v>
      </c>
      <c r="R457" s="1" t="s">
        <v>4426</v>
      </c>
      <c r="S457" s="3">
        <v>917884000000</v>
      </c>
      <c r="T457" s="1" t="s">
        <v>40</v>
      </c>
      <c r="U457" s="1">
        <v>67</v>
      </c>
      <c r="V457" s="1">
        <v>62</v>
      </c>
      <c r="W457" s="1" t="s">
        <v>41</v>
      </c>
      <c r="X457" s="1">
        <v>704796</v>
      </c>
      <c r="Y457" s="2">
        <v>36765</v>
      </c>
      <c r="Z457" s="1">
        <v>-7.8210262828535599</v>
      </c>
      <c r="AA457" s="1">
        <v>23</v>
      </c>
      <c r="AB457" s="1">
        <v>676000</v>
      </c>
      <c r="AC457" s="1">
        <f t="shared" si="7"/>
        <v>736000</v>
      </c>
    </row>
    <row r="458" spans="1:29" x14ac:dyDescent="0.25">
      <c r="A458" s="1" t="s">
        <v>4427</v>
      </c>
      <c r="B458" s="1" t="s">
        <v>4428</v>
      </c>
      <c r="C458" s="1" t="s">
        <v>4429</v>
      </c>
      <c r="D458" s="1">
        <v>2019</v>
      </c>
      <c r="E458" s="1" t="s">
        <v>31</v>
      </c>
      <c r="F458" s="1">
        <v>4</v>
      </c>
      <c r="G458" s="1" t="s">
        <v>32</v>
      </c>
      <c r="H458" s="1" t="s">
        <v>33</v>
      </c>
      <c r="I458" s="1">
        <v>169000</v>
      </c>
      <c r="J458" s="1">
        <v>154000</v>
      </c>
      <c r="K458" s="1">
        <v>15000</v>
      </c>
      <c r="L458" s="1">
        <v>0</v>
      </c>
      <c r="M458" s="1" t="s">
        <v>34</v>
      </c>
      <c r="N458" s="1" t="s">
        <v>70</v>
      </c>
      <c r="O458" s="1" t="s">
        <v>64</v>
      </c>
      <c r="P458" s="1" t="s">
        <v>65</v>
      </c>
      <c r="Q458" s="1" t="s">
        <v>38</v>
      </c>
      <c r="R458" s="1" t="s">
        <v>4430</v>
      </c>
      <c r="S458" s="3">
        <v>917679000000</v>
      </c>
      <c r="T458" s="1" t="s">
        <v>86</v>
      </c>
      <c r="U458" s="1">
        <v>67</v>
      </c>
      <c r="V458" s="1">
        <v>74</v>
      </c>
      <c r="W458" s="1" t="s">
        <v>41</v>
      </c>
      <c r="X458" s="1">
        <v>333052</v>
      </c>
      <c r="Y458" s="2">
        <v>38017</v>
      </c>
      <c r="Z458" s="1">
        <v>-7.8210262828535599</v>
      </c>
      <c r="AA458" s="1">
        <v>20</v>
      </c>
      <c r="AB458" s="1">
        <v>676000</v>
      </c>
      <c r="AC458" s="1">
        <f t="shared" si="7"/>
        <v>736000</v>
      </c>
    </row>
    <row r="459" spans="1:29" x14ac:dyDescent="0.25">
      <c r="A459" s="1" t="s">
        <v>4431</v>
      </c>
      <c r="B459" s="1" t="s">
        <v>4432</v>
      </c>
      <c r="C459" s="1" t="s">
        <v>4433</v>
      </c>
      <c r="D459" s="1">
        <v>2019</v>
      </c>
      <c r="E459" s="1" t="s">
        <v>31</v>
      </c>
      <c r="F459" s="1">
        <v>4</v>
      </c>
      <c r="G459" s="1" t="s">
        <v>32</v>
      </c>
      <c r="H459" s="1" t="s">
        <v>210</v>
      </c>
      <c r="I459" s="1">
        <v>169000</v>
      </c>
      <c r="J459" s="1">
        <v>154000</v>
      </c>
      <c r="K459" s="1">
        <v>15000</v>
      </c>
      <c r="L459" s="1">
        <v>0</v>
      </c>
      <c r="M459" s="1" t="s">
        <v>34</v>
      </c>
      <c r="N459" s="1" t="s">
        <v>63</v>
      </c>
      <c r="O459" s="1" t="s">
        <v>91</v>
      </c>
      <c r="P459" s="1" t="s">
        <v>92</v>
      </c>
      <c r="Q459" s="1" t="s">
        <v>38</v>
      </c>
      <c r="R459" s="1" t="s">
        <v>4434</v>
      </c>
      <c r="S459" s="3">
        <v>917128000000</v>
      </c>
      <c r="T459" s="1" t="s">
        <v>86</v>
      </c>
      <c r="U459" s="1">
        <v>67</v>
      </c>
      <c r="V459" s="1">
        <v>65</v>
      </c>
      <c r="W459" s="1" t="s">
        <v>41</v>
      </c>
      <c r="X459" s="1">
        <v>197747</v>
      </c>
      <c r="Y459" s="2">
        <v>37350</v>
      </c>
      <c r="Z459" s="1">
        <v>-7.8210262828535599</v>
      </c>
      <c r="AA459" s="1">
        <v>22</v>
      </c>
      <c r="AB459" s="1">
        <v>676000</v>
      </c>
      <c r="AC459" s="1">
        <f t="shared" si="7"/>
        <v>736000</v>
      </c>
    </row>
    <row r="460" spans="1:29" x14ac:dyDescent="0.25">
      <c r="A460" s="1" t="s">
        <v>4445</v>
      </c>
      <c r="B460" s="1" t="s">
        <v>4446</v>
      </c>
      <c r="C460" s="1" t="s">
        <v>4447</v>
      </c>
      <c r="D460" s="1">
        <v>2019</v>
      </c>
      <c r="E460" s="1" t="s">
        <v>31</v>
      </c>
      <c r="F460" s="1">
        <v>4</v>
      </c>
      <c r="G460" s="1" t="s">
        <v>32</v>
      </c>
      <c r="H460" s="1" t="s">
        <v>33</v>
      </c>
      <c r="I460" s="1">
        <v>169000</v>
      </c>
      <c r="J460" s="1">
        <v>154000</v>
      </c>
      <c r="K460" s="1">
        <v>15000</v>
      </c>
      <c r="L460" s="1">
        <v>0</v>
      </c>
      <c r="M460" s="1" t="s">
        <v>34</v>
      </c>
      <c r="N460" s="1" t="s">
        <v>35</v>
      </c>
      <c r="O460" s="1" t="s">
        <v>71</v>
      </c>
      <c r="P460" s="1" t="s">
        <v>72</v>
      </c>
      <c r="Q460" s="1" t="s">
        <v>38</v>
      </c>
      <c r="R460" s="1" t="s">
        <v>4448</v>
      </c>
      <c r="S460" s="3">
        <v>919434000000</v>
      </c>
      <c r="T460" s="1" t="s">
        <v>40</v>
      </c>
      <c r="U460" s="1">
        <v>67</v>
      </c>
      <c r="V460" s="1">
        <v>71</v>
      </c>
      <c r="W460" s="1" t="s">
        <v>52</v>
      </c>
      <c r="X460" s="1">
        <v>245606</v>
      </c>
      <c r="Y460" s="2">
        <v>37771</v>
      </c>
      <c r="Z460" s="1">
        <v>-7.8210262828535599</v>
      </c>
      <c r="AA460" s="1">
        <v>21</v>
      </c>
      <c r="AB460" s="1">
        <v>676000</v>
      </c>
      <c r="AC460" s="1">
        <f t="shared" si="7"/>
        <v>736000</v>
      </c>
    </row>
    <row r="461" spans="1:29" x14ac:dyDescent="0.25">
      <c r="A461" s="1" t="s">
        <v>4469</v>
      </c>
      <c r="B461" s="1" t="s">
        <v>4470</v>
      </c>
      <c r="C461" s="1" t="s">
        <v>4471</v>
      </c>
      <c r="D461" s="1">
        <v>2019</v>
      </c>
      <c r="E461" s="1" t="s">
        <v>31</v>
      </c>
      <c r="F461" s="1">
        <v>4</v>
      </c>
      <c r="G461" s="1" t="s">
        <v>32</v>
      </c>
      <c r="H461" s="1" t="s">
        <v>47</v>
      </c>
      <c r="I461" s="1">
        <v>169000</v>
      </c>
      <c r="J461" s="1">
        <v>154000</v>
      </c>
      <c r="K461" s="1">
        <v>15000</v>
      </c>
      <c r="L461" s="1">
        <v>0</v>
      </c>
      <c r="M461" s="1" t="s">
        <v>34</v>
      </c>
      <c r="N461" s="1" t="s">
        <v>35</v>
      </c>
      <c r="O461" s="1" t="s">
        <v>103</v>
      </c>
      <c r="P461" s="1" t="s">
        <v>104</v>
      </c>
      <c r="Q461" s="1" t="s">
        <v>38</v>
      </c>
      <c r="R461" s="1" t="s">
        <v>4472</v>
      </c>
      <c r="S461" s="3">
        <v>918883000000</v>
      </c>
      <c r="T461" s="1" t="s">
        <v>74</v>
      </c>
      <c r="U461" s="1">
        <v>66</v>
      </c>
      <c r="V461" s="1">
        <v>71</v>
      </c>
      <c r="W461" s="1" t="s">
        <v>41</v>
      </c>
      <c r="X461" s="1">
        <v>768915</v>
      </c>
      <c r="Y461" s="2">
        <v>38721</v>
      </c>
      <c r="Z461" s="1">
        <v>-8.8210262828535608</v>
      </c>
      <c r="AA461" s="1">
        <v>18</v>
      </c>
      <c r="AB461" s="1">
        <v>676000</v>
      </c>
      <c r="AC461" s="1">
        <f t="shared" si="7"/>
        <v>736000</v>
      </c>
    </row>
    <row r="462" spans="1:29" x14ac:dyDescent="0.25">
      <c r="A462" s="1" t="s">
        <v>4473</v>
      </c>
      <c r="B462" s="1" t="s">
        <v>4474</v>
      </c>
      <c r="C462" s="1" t="s">
        <v>4475</v>
      </c>
      <c r="D462" s="1">
        <v>2019</v>
      </c>
      <c r="E462" s="1" t="s">
        <v>31</v>
      </c>
      <c r="F462" s="1">
        <v>4</v>
      </c>
      <c r="G462" s="1" t="s">
        <v>32</v>
      </c>
      <c r="H462" s="1" t="s">
        <v>113</v>
      </c>
      <c r="I462" s="1">
        <v>169000</v>
      </c>
      <c r="J462" s="1">
        <v>154000</v>
      </c>
      <c r="K462" s="1">
        <v>15000</v>
      </c>
      <c r="L462" s="1">
        <v>0</v>
      </c>
      <c r="M462" s="1" t="s">
        <v>34</v>
      </c>
      <c r="N462" s="1" t="s">
        <v>63</v>
      </c>
      <c r="O462" s="1" t="s">
        <v>103</v>
      </c>
      <c r="P462" s="1" t="s">
        <v>104</v>
      </c>
      <c r="Q462" s="1" t="s">
        <v>38</v>
      </c>
      <c r="R462" s="1" t="s">
        <v>4476</v>
      </c>
      <c r="S462" s="3">
        <v>918544000000</v>
      </c>
      <c r="T462" s="1" t="s">
        <v>51</v>
      </c>
      <c r="U462" s="1">
        <v>66</v>
      </c>
      <c r="V462" s="1">
        <v>83</v>
      </c>
      <c r="W462" s="1" t="s">
        <v>52</v>
      </c>
      <c r="X462" s="1">
        <v>371940</v>
      </c>
      <c r="Y462" s="2">
        <v>38706</v>
      </c>
      <c r="Z462" s="1">
        <v>-8.8210262828535608</v>
      </c>
      <c r="AA462" s="1">
        <v>18</v>
      </c>
      <c r="AB462" s="1">
        <v>676000</v>
      </c>
      <c r="AC462" s="1">
        <f t="shared" si="7"/>
        <v>736000</v>
      </c>
    </row>
    <row r="463" spans="1:29" x14ac:dyDescent="0.25">
      <c r="A463" s="1" t="s">
        <v>4477</v>
      </c>
      <c r="B463" s="1" t="s">
        <v>4478</v>
      </c>
      <c r="C463" s="1" t="s">
        <v>4479</v>
      </c>
      <c r="D463" s="1">
        <v>2019</v>
      </c>
      <c r="E463" s="1" t="s">
        <v>31</v>
      </c>
      <c r="F463" s="1">
        <v>4</v>
      </c>
      <c r="G463" s="1" t="s">
        <v>32</v>
      </c>
      <c r="H463" s="1" t="s">
        <v>56</v>
      </c>
      <c r="I463" s="1">
        <v>169000</v>
      </c>
      <c r="J463" s="1">
        <v>154000</v>
      </c>
      <c r="K463" s="1">
        <v>15000</v>
      </c>
      <c r="L463" s="1">
        <v>0</v>
      </c>
      <c r="M463" s="1" t="s">
        <v>34</v>
      </c>
      <c r="N463" s="1" t="s">
        <v>63</v>
      </c>
      <c r="O463" s="1" t="s">
        <v>57</v>
      </c>
      <c r="P463" s="1" t="s">
        <v>57</v>
      </c>
      <c r="Q463" s="1" t="s">
        <v>38</v>
      </c>
      <c r="R463" s="1" t="s">
        <v>4480</v>
      </c>
      <c r="S463" s="3">
        <v>919323000000</v>
      </c>
      <c r="T463" s="1" t="s">
        <v>86</v>
      </c>
      <c r="U463" s="1">
        <v>66</v>
      </c>
      <c r="V463" s="1">
        <v>90</v>
      </c>
      <c r="W463" s="1" t="s">
        <v>41</v>
      </c>
      <c r="X463" s="1">
        <v>638856</v>
      </c>
      <c r="Y463" s="2">
        <v>37317</v>
      </c>
      <c r="Z463" s="1">
        <v>-8.8210262828535608</v>
      </c>
      <c r="AA463" s="1">
        <v>22</v>
      </c>
      <c r="AB463" s="1">
        <v>676000</v>
      </c>
      <c r="AC463" s="1">
        <f t="shared" si="7"/>
        <v>736000</v>
      </c>
    </row>
    <row r="464" spans="1:29" x14ac:dyDescent="0.25">
      <c r="A464" s="1" t="s">
        <v>4483</v>
      </c>
      <c r="B464" s="1" t="s">
        <v>1437</v>
      </c>
      <c r="C464" s="1" t="s">
        <v>1438</v>
      </c>
      <c r="D464" s="1">
        <v>2019</v>
      </c>
      <c r="E464" s="1" t="s">
        <v>45</v>
      </c>
      <c r="F464" s="1">
        <v>2</v>
      </c>
      <c r="G464" s="1" t="s">
        <v>46</v>
      </c>
      <c r="H464" s="1" t="s">
        <v>47</v>
      </c>
      <c r="I464" s="1">
        <v>92000</v>
      </c>
      <c r="J464" s="1">
        <v>77000</v>
      </c>
      <c r="K464" s="1">
        <v>15000</v>
      </c>
      <c r="L464" s="1">
        <v>0</v>
      </c>
      <c r="M464" s="1" t="s">
        <v>34</v>
      </c>
      <c r="N464" s="1" t="s">
        <v>70</v>
      </c>
      <c r="O464" s="1" t="s">
        <v>57</v>
      </c>
      <c r="P464" s="1" t="s">
        <v>57</v>
      </c>
      <c r="Q464" s="1" t="s">
        <v>38</v>
      </c>
      <c r="R464" s="1" t="s">
        <v>1029</v>
      </c>
      <c r="S464" s="3">
        <v>918352000000</v>
      </c>
      <c r="T464" s="1" t="s">
        <v>51</v>
      </c>
      <c r="U464" s="1">
        <v>66</v>
      </c>
      <c r="V464" s="1">
        <v>72</v>
      </c>
      <c r="W464" s="1" t="s">
        <v>41</v>
      </c>
      <c r="X464" s="1">
        <v>310846</v>
      </c>
      <c r="Y464" s="2">
        <v>35789</v>
      </c>
      <c r="Z464" s="1">
        <v>-8.8210262828535608</v>
      </c>
      <c r="AA464" s="1">
        <v>26</v>
      </c>
      <c r="AB464" s="1">
        <v>184000</v>
      </c>
      <c r="AC464" s="1">
        <f t="shared" si="7"/>
        <v>214000</v>
      </c>
    </row>
    <row r="465" spans="1:29" x14ac:dyDescent="0.25">
      <c r="A465" s="1" t="s">
        <v>4525</v>
      </c>
      <c r="B465" s="1" t="s">
        <v>4526</v>
      </c>
      <c r="C465" s="1" t="s">
        <v>4527</v>
      </c>
      <c r="D465" s="1">
        <v>2019</v>
      </c>
      <c r="E465" s="1" t="s">
        <v>31</v>
      </c>
      <c r="F465" s="1">
        <v>4</v>
      </c>
      <c r="G465" s="1" t="s">
        <v>32</v>
      </c>
      <c r="H465" s="1" t="s">
        <v>151</v>
      </c>
      <c r="I465" s="1">
        <v>169000</v>
      </c>
      <c r="J465" s="1">
        <v>154000</v>
      </c>
      <c r="K465" s="1">
        <v>15000</v>
      </c>
      <c r="L465" s="1">
        <v>0</v>
      </c>
      <c r="M465" s="1" t="s">
        <v>34</v>
      </c>
      <c r="N465" s="1" t="s">
        <v>35</v>
      </c>
      <c r="O465" s="1" t="s">
        <v>57</v>
      </c>
      <c r="P465" s="1" t="s">
        <v>57</v>
      </c>
      <c r="Q465" s="1" t="s">
        <v>38</v>
      </c>
      <c r="R465" s="1" t="s">
        <v>4528</v>
      </c>
      <c r="S465" s="3">
        <v>918437000000</v>
      </c>
      <c r="T465" s="1" t="s">
        <v>98</v>
      </c>
      <c r="U465" s="1">
        <v>66</v>
      </c>
      <c r="V465" s="1">
        <v>69</v>
      </c>
      <c r="W465" s="1" t="s">
        <v>41</v>
      </c>
      <c r="X465" s="1">
        <v>521791</v>
      </c>
      <c r="Y465" s="2">
        <v>37936</v>
      </c>
      <c r="Z465" s="1">
        <v>-8.8210262828535608</v>
      </c>
      <c r="AA465" s="1">
        <v>20</v>
      </c>
      <c r="AB465" s="1">
        <v>676000</v>
      </c>
      <c r="AC465" s="1">
        <f t="shared" si="7"/>
        <v>736000</v>
      </c>
    </row>
    <row r="466" spans="1:29" x14ac:dyDescent="0.25">
      <c r="A466" s="1" t="s">
        <v>4569</v>
      </c>
      <c r="B466" s="1" t="s">
        <v>2128</v>
      </c>
      <c r="C466" s="1" t="s">
        <v>2129</v>
      </c>
      <c r="D466" s="1">
        <v>2019</v>
      </c>
      <c r="E466" s="1" t="s">
        <v>31</v>
      </c>
      <c r="F466" s="1">
        <v>4</v>
      </c>
      <c r="G466" s="1" t="s">
        <v>32</v>
      </c>
      <c r="H466" s="1" t="s">
        <v>102</v>
      </c>
      <c r="I466" s="1">
        <v>169000</v>
      </c>
      <c r="J466" s="1">
        <v>154000</v>
      </c>
      <c r="K466" s="1">
        <v>15000</v>
      </c>
      <c r="L466" s="1">
        <v>0</v>
      </c>
      <c r="M466" s="1" t="s">
        <v>34</v>
      </c>
      <c r="N466" s="1" t="s">
        <v>63</v>
      </c>
      <c r="O466" s="1" t="s">
        <v>103</v>
      </c>
      <c r="P466" s="1" t="s">
        <v>104</v>
      </c>
      <c r="Q466" s="1" t="s">
        <v>38</v>
      </c>
      <c r="R466" s="1" t="s">
        <v>4570</v>
      </c>
      <c r="S466" s="3">
        <v>917197000000</v>
      </c>
      <c r="T466" s="1" t="s">
        <v>51</v>
      </c>
      <c r="U466" s="1">
        <v>66</v>
      </c>
      <c r="V466" s="1">
        <v>77</v>
      </c>
      <c r="W466" s="1" t="s">
        <v>41</v>
      </c>
      <c r="X466" s="1">
        <v>501207</v>
      </c>
      <c r="Y466" s="2">
        <v>37299</v>
      </c>
      <c r="Z466" s="1">
        <v>-8.8210262828535608</v>
      </c>
      <c r="AA466" s="1">
        <v>22</v>
      </c>
      <c r="AB466" s="1">
        <v>676000</v>
      </c>
      <c r="AC466" s="1">
        <f t="shared" si="7"/>
        <v>736000</v>
      </c>
    </row>
    <row r="467" spans="1:29" x14ac:dyDescent="0.25">
      <c r="A467" s="1" t="s">
        <v>4599</v>
      </c>
      <c r="B467" s="1" t="s">
        <v>305</v>
      </c>
      <c r="C467" s="1" t="s">
        <v>306</v>
      </c>
      <c r="D467" s="1">
        <v>2019</v>
      </c>
      <c r="E467" s="1" t="s">
        <v>31</v>
      </c>
      <c r="F467" s="1">
        <v>4</v>
      </c>
      <c r="G467" s="1" t="s">
        <v>32</v>
      </c>
      <c r="H467" s="1" t="s">
        <v>33</v>
      </c>
      <c r="I467" s="1">
        <v>169000</v>
      </c>
      <c r="J467" s="1">
        <v>154000</v>
      </c>
      <c r="K467" s="1">
        <v>15000</v>
      </c>
      <c r="L467" s="1">
        <v>0</v>
      </c>
      <c r="M467" s="1" t="s">
        <v>34</v>
      </c>
      <c r="N467" s="1" t="s">
        <v>70</v>
      </c>
      <c r="O467" s="1" t="s">
        <v>64</v>
      </c>
      <c r="P467" s="1" t="s">
        <v>65</v>
      </c>
      <c r="Q467" s="1" t="s">
        <v>38</v>
      </c>
      <c r="R467" s="1" t="s">
        <v>4600</v>
      </c>
      <c r="S467" s="3">
        <v>917144000000</v>
      </c>
      <c r="T467" s="1" t="s">
        <v>74</v>
      </c>
      <c r="U467" s="1">
        <v>66</v>
      </c>
      <c r="V467" s="1">
        <v>75</v>
      </c>
      <c r="W467" s="1" t="s">
        <v>41</v>
      </c>
      <c r="X467" s="1">
        <v>302569</v>
      </c>
      <c r="Y467" s="2">
        <v>38387</v>
      </c>
      <c r="Z467" s="1">
        <v>-8.8210262828535608</v>
      </c>
      <c r="AA467" s="1">
        <v>19</v>
      </c>
      <c r="AB467" s="1">
        <v>676000</v>
      </c>
      <c r="AC467" s="1">
        <f t="shared" si="7"/>
        <v>736000</v>
      </c>
    </row>
    <row r="468" spans="1:29" x14ac:dyDescent="0.25">
      <c r="A468" s="1" t="s">
        <v>4671</v>
      </c>
      <c r="B468" s="1" t="s">
        <v>4672</v>
      </c>
      <c r="C468" s="1" t="s">
        <v>4673</v>
      </c>
      <c r="D468" s="1">
        <v>2019</v>
      </c>
      <c r="E468" s="1" t="s">
        <v>31</v>
      </c>
      <c r="F468" s="1">
        <v>4</v>
      </c>
      <c r="G468" s="1" t="s">
        <v>32</v>
      </c>
      <c r="H468" s="1" t="s">
        <v>113</v>
      </c>
      <c r="I468" s="1">
        <v>169000</v>
      </c>
      <c r="J468" s="1">
        <v>154000</v>
      </c>
      <c r="K468" s="1">
        <v>15000</v>
      </c>
      <c r="L468" s="1">
        <v>0</v>
      </c>
      <c r="M468" s="1" t="s">
        <v>34</v>
      </c>
      <c r="N468" s="1" t="s">
        <v>70</v>
      </c>
      <c r="O468" s="1" t="s">
        <v>78</v>
      </c>
      <c r="P468" s="1" t="s">
        <v>79</v>
      </c>
      <c r="Q468" s="1" t="s">
        <v>38</v>
      </c>
      <c r="R468" s="1" t="s">
        <v>4674</v>
      </c>
      <c r="S468" s="3">
        <v>919342000000</v>
      </c>
      <c r="T468" s="1" t="s">
        <v>40</v>
      </c>
      <c r="U468" s="1">
        <v>65</v>
      </c>
      <c r="V468" s="1">
        <v>86</v>
      </c>
      <c r="W468" s="1" t="s">
        <v>41</v>
      </c>
      <c r="X468" s="1">
        <v>523299</v>
      </c>
      <c r="Y468" s="2">
        <v>38670</v>
      </c>
      <c r="Z468" s="1">
        <v>-9.8210262828535608</v>
      </c>
      <c r="AA468" s="1">
        <v>18</v>
      </c>
      <c r="AB468" s="1">
        <v>676000</v>
      </c>
      <c r="AC468" s="1">
        <f t="shared" si="7"/>
        <v>736000</v>
      </c>
    </row>
    <row r="469" spans="1:29" x14ac:dyDescent="0.25">
      <c r="A469" s="1" t="s">
        <v>898</v>
      </c>
      <c r="B469" s="1" t="s">
        <v>4677</v>
      </c>
      <c r="C469" s="1" t="s">
        <v>4678</v>
      </c>
      <c r="D469" s="1">
        <v>2019</v>
      </c>
      <c r="E469" s="1" t="s">
        <v>31</v>
      </c>
      <c r="F469" s="1">
        <v>4</v>
      </c>
      <c r="G469" s="1" t="s">
        <v>32</v>
      </c>
      <c r="H469" s="1" t="s">
        <v>102</v>
      </c>
      <c r="I469" s="1">
        <v>169000</v>
      </c>
      <c r="J469" s="1">
        <v>154000</v>
      </c>
      <c r="K469" s="1">
        <v>15000</v>
      </c>
      <c r="L469" s="1">
        <v>0</v>
      </c>
      <c r="M469" s="1" t="s">
        <v>34</v>
      </c>
      <c r="N469" s="1" t="s">
        <v>70</v>
      </c>
      <c r="O469" s="1" t="s">
        <v>71</v>
      </c>
      <c r="P469" s="1" t="s">
        <v>72</v>
      </c>
      <c r="Q469" s="1" t="s">
        <v>38</v>
      </c>
      <c r="R469" s="1" t="s">
        <v>4679</v>
      </c>
      <c r="S469" s="3">
        <v>919873000000</v>
      </c>
      <c r="T469" s="1" t="s">
        <v>74</v>
      </c>
      <c r="U469" s="1">
        <v>65</v>
      </c>
      <c r="V469" s="1">
        <v>75</v>
      </c>
      <c r="W469" s="1" t="s">
        <v>41</v>
      </c>
      <c r="X469" s="1">
        <v>226278</v>
      </c>
      <c r="Y469" s="2">
        <v>36950</v>
      </c>
      <c r="Z469" s="1">
        <v>-9.8210262828535608</v>
      </c>
      <c r="AA469" s="1">
        <v>23</v>
      </c>
      <c r="AB469" s="1">
        <v>676000</v>
      </c>
      <c r="AC469" s="1">
        <f t="shared" si="7"/>
        <v>736000</v>
      </c>
    </row>
    <row r="470" spans="1:29" x14ac:dyDescent="0.25">
      <c r="A470" s="1" t="s">
        <v>4684</v>
      </c>
      <c r="B470" s="1" t="s">
        <v>4228</v>
      </c>
      <c r="C470" s="1" t="s">
        <v>4229</v>
      </c>
      <c r="D470" s="1">
        <v>2019</v>
      </c>
      <c r="E470" s="1" t="s">
        <v>31</v>
      </c>
      <c r="F470" s="1">
        <v>4</v>
      </c>
      <c r="G470" s="1" t="s">
        <v>32</v>
      </c>
      <c r="H470" s="1" t="s">
        <v>90</v>
      </c>
      <c r="I470" s="1">
        <v>169000</v>
      </c>
      <c r="J470" s="1">
        <v>154000</v>
      </c>
      <c r="K470" s="1">
        <v>15000</v>
      </c>
      <c r="L470" s="1">
        <v>0</v>
      </c>
      <c r="M470" s="1" t="s">
        <v>34</v>
      </c>
      <c r="N470" s="1" t="s">
        <v>35</v>
      </c>
      <c r="O470" s="1" t="s">
        <v>103</v>
      </c>
      <c r="P470" s="1" t="s">
        <v>104</v>
      </c>
      <c r="Q470" s="1" t="s">
        <v>38</v>
      </c>
      <c r="R470" s="1" t="s">
        <v>4685</v>
      </c>
      <c r="S470" s="3">
        <v>918250000000</v>
      </c>
      <c r="T470" s="1" t="s">
        <v>86</v>
      </c>
      <c r="U470" s="1">
        <v>65</v>
      </c>
      <c r="V470" s="1">
        <v>75</v>
      </c>
      <c r="W470" s="1" t="s">
        <v>41</v>
      </c>
      <c r="X470" s="1">
        <v>761888</v>
      </c>
      <c r="Y470" s="2">
        <v>38698</v>
      </c>
      <c r="Z470" s="1">
        <v>-9.8210262828535608</v>
      </c>
      <c r="AA470" s="1">
        <v>18</v>
      </c>
      <c r="AB470" s="1">
        <v>676000</v>
      </c>
      <c r="AC470" s="1">
        <f t="shared" si="7"/>
        <v>736000</v>
      </c>
    </row>
    <row r="471" spans="1:29" x14ac:dyDescent="0.25">
      <c r="A471" s="1" t="s">
        <v>4718</v>
      </c>
      <c r="B471" s="1" t="s">
        <v>4719</v>
      </c>
      <c r="C471" s="1" t="s">
        <v>4720</v>
      </c>
      <c r="D471" s="1">
        <v>2019</v>
      </c>
      <c r="E471" s="1" t="s">
        <v>31</v>
      </c>
      <c r="F471" s="1">
        <v>4</v>
      </c>
      <c r="G471" s="1" t="s">
        <v>32</v>
      </c>
      <c r="H471" s="1" t="s">
        <v>113</v>
      </c>
      <c r="I471" s="1">
        <v>169000</v>
      </c>
      <c r="J471" s="1">
        <v>154000</v>
      </c>
      <c r="K471" s="1">
        <v>15000</v>
      </c>
      <c r="L471" s="1">
        <v>0</v>
      </c>
      <c r="M471" s="1" t="s">
        <v>34</v>
      </c>
      <c r="N471" s="1" t="s">
        <v>35</v>
      </c>
      <c r="O471" s="1" t="s">
        <v>91</v>
      </c>
      <c r="P471" s="1" t="s">
        <v>92</v>
      </c>
      <c r="Q471" s="1" t="s">
        <v>38</v>
      </c>
      <c r="R471" s="1" t="s">
        <v>4721</v>
      </c>
      <c r="S471" s="3">
        <v>919873000000</v>
      </c>
      <c r="T471" s="1" t="s">
        <v>51</v>
      </c>
      <c r="U471" s="1">
        <v>65</v>
      </c>
      <c r="V471" s="1">
        <v>89</v>
      </c>
      <c r="W471" s="1" t="s">
        <v>41</v>
      </c>
      <c r="X471" s="1">
        <v>320493</v>
      </c>
      <c r="Y471" s="2">
        <v>38268</v>
      </c>
      <c r="Z471" s="1">
        <v>-9.8210262828535608</v>
      </c>
      <c r="AA471" s="1">
        <v>19</v>
      </c>
      <c r="AB471" s="1">
        <v>676000</v>
      </c>
      <c r="AC471" s="1">
        <f t="shared" si="7"/>
        <v>736000</v>
      </c>
    </row>
    <row r="472" spans="1:29" x14ac:dyDescent="0.25">
      <c r="A472" s="1" t="s">
        <v>4736</v>
      </c>
      <c r="B472" s="1" t="s">
        <v>4737</v>
      </c>
      <c r="C472" s="1" t="s">
        <v>4738</v>
      </c>
      <c r="D472" s="1">
        <v>2019</v>
      </c>
      <c r="E472" s="1" t="s">
        <v>31</v>
      </c>
      <c r="F472" s="1">
        <v>4</v>
      </c>
      <c r="G472" s="1" t="s">
        <v>32</v>
      </c>
      <c r="H472" s="1" t="s">
        <v>151</v>
      </c>
      <c r="I472" s="1">
        <v>169000</v>
      </c>
      <c r="J472" s="1">
        <v>154000</v>
      </c>
      <c r="K472" s="1">
        <v>15000</v>
      </c>
      <c r="L472" s="1">
        <v>0</v>
      </c>
      <c r="M472" s="1" t="s">
        <v>34</v>
      </c>
      <c r="N472" s="1" t="s">
        <v>35</v>
      </c>
      <c r="O472" s="1" t="s">
        <v>57</v>
      </c>
      <c r="P472" s="1" t="s">
        <v>57</v>
      </c>
      <c r="Q472" s="1" t="s">
        <v>38</v>
      </c>
      <c r="R472" s="1" t="s">
        <v>4739</v>
      </c>
      <c r="S472" s="3">
        <v>919697000000</v>
      </c>
      <c r="T472" s="1" t="s">
        <v>40</v>
      </c>
      <c r="U472" s="1">
        <v>65</v>
      </c>
      <c r="V472" s="1">
        <v>79</v>
      </c>
      <c r="W472" s="1" t="s">
        <v>41</v>
      </c>
      <c r="X472" s="1">
        <v>622975</v>
      </c>
      <c r="Y472" s="2">
        <v>37276</v>
      </c>
      <c r="Z472" s="1">
        <v>-9.8210262828535608</v>
      </c>
      <c r="AA472" s="1">
        <v>22</v>
      </c>
      <c r="AB472" s="1">
        <v>676000</v>
      </c>
      <c r="AC472" s="1">
        <f t="shared" si="7"/>
        <v>736000</v>
      </c>
    </row>
    <row r="473" spans="1:29" x14ac:dyDescent="0.25">
      <c r="A473" s="1" t="s">
        <v>4774</v>
      </c>
      <c r="B473" s="1" t="s">
        <v>4775</v>
      </c>
      <c r="C473" s="1" t="s">
        <v>4776</v>
      </c>
      <c r="D473" s="1">
        <v>2019</v>
      </c>
      <c r="E473" s="1" t="s">
        <v>31</v>
      </c>
      <c r="F473" s="1">
        <v>4</v>
      </c>
      <c r="G473" s="1" t="s">
        <v>32</v>
      </c>
      <c r="H473" s="1" t="s">
        <v>90</v>
      </c>
      <c r="I473" s="1">
        <v>169000</v>
      </c>
      <c r="J473" s="1">
        <v>154000</v>
      </c>
      <c r="K473" s="1">
        <v>15000</v>
      </c>
      <c r="L473" s="1">
        <v>0</v>
      </c>
      <c r="M473" s="1" t="s">
        <v>34</v>
      </c>
      <c r="N473" s="1" t="s">
        <v>63</v>
      </c>
      <c r="O473" s="1" t="s">
        <v>57</v>
      </c>
      <c r="P473" s="1" t="s">
        <v>57</v>
      </c>
      <c r="Q473" s="1" t="s">
        <v>38</v>
      </c>
      <c r="R473" s="1" t="s">
        <v>4777</v>
      </c>
      <c r="S473" s="3">
        <v>919460000000</v>
      </c>
      <c r="T473" s="1" t="s">
        <v>51</v>
      </c>
      <c r="U473" s="1">
        <v>65</v>
      </c>
      <c r="V473" s="1">
        <v>67</v>
      </c>
      <c r="W473" s="1" t="s">
        <v>52</v>
      </c>
      <c r="X473" s="1">
        <v>198234</v>
      </c>
      <c r="Y473" s="2">
        <v>38215</v>
      </c>
      <c r="Z473" s="1">
        <v>-9.8210262828535608</v>
      </c>
      <c r="AA473" s="1">
        <v>19</v>
      </c>
      <c r="AB473" s="1">
        <v>676000</v>
      </c>
      <c r="AC473" s="1">
        <f t="shared" si="7"/>
        <v>736000</v>
      </c>
    </row>
    <row r="474" spans="1:29" x14ac:dyDescent="0.25">
      <c r="A474" s="1" t="s">
        <v>4784</v>
      </c>
      <c r="B474" s="1" t="s">
        <v>4785</v>
      </c>
      <c r="C474" s="1" t="s">
        <v>4786</v>
      </c>
      <c r="D474" s="1">
        <v>2019</v>
      </c>
      <c r="E474" s="1" t="s">
        <v>31</v>
      </c>
      <c r="F474" s="1">
        <v>4</v>
      </c>
      <c r="G474" s="1" t="s">
        <v>32</v>
      </c>
      <c r="H474" s="1" t="s">
        <v>62</v>
      </c>
      <c r="I474" s="1">
        <v>169000</v>
      </c>
      <c r="J474" s="1">
        <v>154000</v>
      </c>
      <c r="K474" s="1">
        <v>15000</v>
      </c>
      <c r="L474" s="1">
        <v>0</v>
      </c>
      <c r="M474" s="1" t="s">
        <v>34</v>
      </c>
      <c r="N474" s="1" t="s">
        <v>63</v>
      </c>
      <c r="O474" s="1" t="s">
        <v>188</v>
      </c>
      <c r="P474" s="1" t="s">
        <v>189</v>
      </c>
      <c r="Q474" s="1" t="s">
        <v>38</v>
      </c>
      <c r="R474" s="1" t="s">
        <v>4787</v>
      </c>
      <c r="S474" s="3">
        <v>917249000000</v>
      </c>
      <c r="T474" s="1" t="s">
        <v>74</v>
      </c>
      <c r="U474" s="1">
        <v>64</v>
      </c>
      <c r="V474" s="1">
        <v>89</v>
      </c>
      <c r="W474" s="1" t="s">
        <v>52</v>
      </c>
      <c r="X474" s="1">
        <v>407533</v>
      </c>
      <c r="Y474" s="2">
        <v>37879</v>
      </c>
      <c r="Z474" s="1">
        <v>-10.8210262828535</v>
      </c>
      <c r="AA474" s="1">
        <v>20</v>
      </c>
      <c r="AB474" s="1">
        <v>676000</v>
      </c>
      <c r="AC474" s="1">
        <f t="shared" si="7"/>
        <v>736000</v>
      </c>
    </row>
    <row r="475" spans="1:29" x14ac:dyDescent="0.25">
      <c r="A475" s="1" t="s">
        <v>4798</v>
      </c>
      <c r="B475" s="1" t="s">
        <v>4799</v>
      </c>
      <c r="C475" s="1" t="s">
        <v>4800</v>
      </c>
      <c r="D475" s="1">
        <v>2019</v>
      </c>
      <c r="E475" s="1" t="s">
        <v>31</v>
      </c>
      <c r="F475" s="1">
        <v>4</v>
      </c>
      <c r="G475" s="1" t="s">
        <v>32</v>
      </c>
      <c r="H475" s="1" t="s">
        <v>33</v>
      </c>
      <c r="I475" s="1">
        <v>169000</v>
      </c>
      <c r="J475" s="1">
        <v>154000</v>
      </c>
      <c r="K475" s="1">
        <v>15000</v>
      </c>
      <c r="L475" s="1">
        <v>0</v>
      </c>
      <c r="M475" s="1" t="s">
        <v>34</v>
      </c>
      <c r="N475" s="1" t="s">
        <v>63</v>
      </c>
      <c r="O475" s="1" t="s">
        <v>103</v>
      </c>
      <c r="P475" s="1" t="s">
        <v>104</v>
      </c>
      <c r="Q475" s="1" t="s">
        <v>38</v>
      </c>
      <c r="R475" s="1" t="s">
        <v>4801</v>
      </c>
      <c r="S475" s="3">
        <v>918822000000</v>
      </c>
      <c r="T475" s="1" t="s">
        <v>40</v>
      </c>
      <c r="U475" s="1">
        <v>64</v>
      </c>
      <c r="V475" s="1">
        <v>68</v>
      </c>
      <c r="W475" s="1" t="s">
        <v>41</v>
      </c>
      <c r="X475" s="1">
        <v>611921</v>
      </c>
      <c r="Y475" s="2">
        <v>36715</v>
      </c>
      <c r="Z475" s="1">
        <v>-10.8210262828535</v>
      </c>
      <c r="AA475" s="1">
        <v>24</v>
      </c>
      <c r="AB475" s="1">
        <v>676000</v>
      </c>
      <c r="AC475" s="1">
        <f t="shared" si="7"/>
        <v>736000</v>
      </c>
    </row>
    <row r="476" spans="1:29" x14ac:dyDescent="0.25">
      <c r="A476" s="1" t="s">
        <v>4806</v>
      </c>
      <c r="B476" s="1" t="s">
        <v>4807</v>
      </c>
      <c r="C476" s="1" t="s">
        <v>4808</v>
      </c>
      <c r="D476" s="1">
        <v>2019</v>
      </c>
      <c r="E476" s="1" t="s">
        <v>31</v>
      </c>
      <c r="F476" s="1">
        <v>4</v>
      </c>
      <c r="G476" s="1" t="s">
        <v>32</v>
      </c>
      <c r="H476" s="1" t="s">
        <v>90</v>
      </c>
      <c r="I476" s="1">
        <v>169000</v>
      </c>
      <c r="J476" s="1">
        <v>154000</v>
      </c>
      <c r="K476" s="1">
        <v>15000</v>
      </c>
      <c r="L476" s="1">
        <v>0</v>
      </c>
      <c r="M476" s="1" t="s">
        <v>34</v>
      </c>
      <c r="N476" s="1" t="s">
        <v>35</v>
      </c>
      <c r="O476" s="1" t="s">
        <v>78</v>
      </c>
      <c r="P476" s="1" t="s">
        <v>79</v>
      </c>
      <c r="Q476" s="1" t="s">
        <v>38</v>
      </c>
      <c r="R476" s="1" t="s">
        <v>4809</v>
      </c>
      <c r="S476" s="3">
        <v>919427000000</v>
      </c>
      <c r="T476" s="1" t="s">
        <v>40</v>
      </c>
      <c r="U476" s="1">
        <v>64</v>
      </c>
      <c r="V476" s="1">
        <v>92</v>
      </c>
      <c r="W476" s="1" t="s">
        <v>41</v>
      </c>
      <c r="X476" s="1">
        <v>116537</v>
      </c>
      <c r="Y476" s="2">
        <v>38431</v>
      </c>
      <c r="Z476" s="1">
        <v>-10.8210262828535</v>
      </c>
      <c r="AA476" s="1">
        <v>19</v>
      </c>
      <c r="AB476" s="1">
        <v>676000</v>
      </c>
      <c r="AC476" s="1">
        <f t="shared" si="7"/>
        <v>736000</v>
      </c>
    </row>
    <row r="477" spans="1:29" x14ac:dyDescent="0.25">
      <c r="A477" s="1" t="s">
        <v>4814</v>
      </c>
      <c r="B477" s="1" t="s">
        <v>2448</v>
      </c>
      <c r="C477" s="1" t="s">
        <v>2449</v>
      </c>
      <c r="D477" s="1">
        <v>2019</v>
      </c>
      <c r="E477" s="1" t="s">
        <v>31</v>
      </c>
      <c r="F477" s="1">
        <v>4</v>
      </c>
      <c r="G477" s="1" t="s">
        <v>32</v>
      </c>
      <c r="H477" s="1" t="s">
        <v>151</v>
      </c>
      <c r="I477" s="1">
        <v>169000</v>
      </c>
      <c r="J477" s="1">
        <v>154000</v>
      </c>
      <c r="K477" s="1">
        <v>15000</v>
      </c>
      <c r="L477" s="1">
        <v>0</v>
      </c>
      <c r="M477" s="1" t="s">
        <v>34</v>
      </c>
      <c r="N477" s="1" t="s">
        <v>63</v>
      </c>
      <c r="O477" s="1" t="s">
        <v>48</v>
      </c>
      <c r="P477" s="1" t="s">
        <v>49</v>
      </c>
      <c r="Q477" s="1" t="s">
        <v>38</v>
      </c>
      <c r="R477" s="1" t="s">
        <v>4815</v>
      </c>
      <c r="S477" s="3">
        <v>917359000000</v>
      </c>
      <c r="T477" s="1" t="s">
        <v>51</v>
      </c>
      <c r="U477" s="1">
        <v>64</v>
      </c>
      <c r="V477" s="1">
        <v>73</v>
      </c>
      <c r="W477" s="1" t="s">
        <v>41</v>
      </c>
      <c r="X477" s="1">
        <v>377162</v>
      </c>
      <c r="Y477" s="2">
        <v>37469</v>
      </c>
      <c r="Z477" s="1">
        <v>-10.8210262828535</v>
      </c>
      <c r="AA477" s="1">
        <v>21</v>
      </c>
      <c r="AB477" s="1">
        <v>676000</v>
      </c>
      <c r="AC477" s="1">
        <f t="shared" si="7"/>
        <v>736000</v>
      </c>
    </row>
    <row r="478" spans="1:29" x14ac:dyDescent="0.25">
      <c r="A478" s="1" t="s">
        <v>4826</v>
      </c>
      <c r="B478" s="1" t="s">
        <v>433</v>
      </c>
      <c r="C478" s="1" t="s">
        <v>434</v>
      </c>
      <c r="D478" s="1">
        <v>2019</v>
      </c>
      <c r="E478" s="1" t="s">
        <v>45</v>
      </c>
      <c r="F478" s="1">
        <v>2</v>
      </c>
      <c r="G478" s="1" t="s">
        <v>46</v>
      </c>
      <c r="H478" s="1" t="s">
        <v>90</v>
      </c>
      <c r="I478" s="1">
        <v>92000</v>
      </c>
      <c r="J478" s="1">
        <v>77000</v>
      </c>
      <c r="K478" s="1">
        <v>15000</v>
      </c>
      <c r="L478" s="1">
        <v>0</v>
      </c>
      <c r="M478" s="1" t="s">
        <v>34</v>
      </c>
      <c r="N478" s="1" t="s">
        <v>35</v>
      </c>
      <c r="O478" s="1" t="s">
        <v>84</v>
      </c>
      <c r="P478" s="1" t="s">
        <v>65</v>
      </c>
      <c r="Q478" s="1" t="s">
        <v>38</v>
      </c>
      <c r="R478" s="1" t="s">
        <v>4827</v>
      </c>
      <c r="S478" s="3">
        <v>919697000000</v>
      </c>
      <c r="T478" s="1" t="s">
        <v>51</v>
      </c>
      <c r="U478" s="1">
        <v>64</v>
      </c>
      <c r="V478" s="1">
        <v>91</v>
      </c>
      <c r="W478" s="1" t="s">
        <v>52</v>
      </c>
      <c r="X478" s="1">
        <v>474623</v>
      </c>
      <c r="Y478" s="2">
        <v>37105</v>
      </c>
      <c r="Z478" s="1">
        <v>-10.8210262828535</v>
      </c>
      <c r="AA478" s="1">
        <v>22</v>
      </c>
      <c r="AB478" s="1">
        <v>184000</v>
      </c>
      <c r="AC478" s="1">
        <f t="shared" si="7"/>
        <v>214000</v>
      </c>
    </row>
    <row r="479" spans="1:29" x14ac:dyDescent="0.25">
      <c r="A479" s="1" t="s">
        <v>4836</v>
      </c>
      <c r="B479" s="1" t="s">
        <v>4837</v>
      </c>
      <c r="C479" s="1" t="s">
        <v>4838</v>
      </c>
      <c r="D479" s="1">
        <v>2019</v>
      </c>
      <c r="E479" s="1" t="s">
        <v>31</v>
      </c>
      <c r="F479" s="1">
        <v>4</v>
      </c>
      <c r="G479" s="1" t="s">
        <v>32</v>
      </c>
      <c r="H479" s="1" t="s">
        <v>210</v>
      </c>
      <c r="I479" s="1">
        <v>169000</v>
      </c>
      <c r="J479" s="1">
        <v>154000</v>
      </c>
      <c r="K479" s="1">
        <v>15000</v>
      </c>
      <c r="L479" s="1">
        <v>0</v>
      </c>
      <c r="M479" s="1" t="s">
        <v>34</v>
      </c>
      <c r="N479" s="1" t="s">
        <v>35</v>
      </c>
      <c r="O479" s="1" t="s">
        <v>48</v>
      </c>
      <c r="P479" s="1" t="s">
        <v>49</v>
      </c>
      <c r="Q479" s="1" t="s">
        <v>38</v>
      </c>
      <c r="R479" s="1" t="s">
        <v>4839</v>
      </c>
      <c r="S479" s="3">
        <v>919429000000</v>
      </c>
      <c r="T479" s="1" t="s">
        <v>40</v>
      </c>
      <c r="U479" s="1">
        <v>64</v>
      </c>
      <c r="V479" s="1">
        <v>80</v>
      </c>
      <c r="W479" s="1" t="s">
        <v>52</v>
      </c>
      <c r="X479" s="1">
        <v>234348</v>
      </c>
      <c r="Y479" s="2">
        <v>37089</v>
      </c>
      <c r="Z479" s="1">
        <v>-10.8210262828535</v>
      </c>
      <c r="AA479" s="1">
        <v>22</v>
      </c>
      <c r="AB479" s="1">
        <v>676000</v>
      </c>
      <c r="AC479" s="1">
        <f t="shared" si="7"/>
        <v>736000</v>
      </c>
    </row>
    <row r="480" spans="1:29" x14ac:dyDescent="0.25">
      <c r="A480" s="1" t="s">
        <v>4852</v>
      </c>
      <c r="B480" s="1" t="s">
        <v>4853</v>
      </c>
      <c r="C480" s="1" t="s">
        <v>4854</v>
      </c>
      <c r="D480" s="1">
        <v>2019</v>
      </c>
      <c r="E480" s="1" t="s">
        <v>31</v>
      </c>
      <c r="F480" s="1">
        <v>4</v>
      </c>
      <c r="G480" s="1" t="s">
        <v>32</v>
      </c>
      <c r="H480" s="1" t="s">
        <v>210</v>
      </c>
      <c r="I480" s="1">
        <v>169000</v>
      </c>
      <c r="J480" s="1">
        <v>154000</v>
      </c>
      <c r="K480" s="1">
        <v>15000</v>
      </c>
      <c r="L480" s="1">
        <v>0</v>
      </c>
      <c r="M480" s="1" t="s">
        <v>34</v>
      </c>
      <c r="N480" s="1" t="s">
        <v>35</v>
      </c>
      <c r="O480" s="1" t="s">
        <v>84</v>
      </c>
      <c r="P480" s="1" t="s">
        <v>65</v>
      </c>
      <c r="Q480" s="1" t="s">
        <v>38</v>
      </c>
      <c r="R480" s="1" t="s">
        <v>4855</v>
      </c>
      <c r="S480" s="3">
        <v>918664000000</v>
      </c>
      <c r="T480" s="1" t="s">
        <v>98</v>
      </c>
      <c r="U480" s="1">
        <v>64</v>
      </c>
      <c r="V480" s="1">
        <v>81</v>
      </c>
      <c r="W480" s="1" t="s">
        <v>41</v>
      </c>
      <c r="X480" s="1">
        <v>246105</v>
      </c>
      <c r="Y480" s="2">
        <v>37430</v>
      </c>
      <c r="Z480" s="1">
        <v>-10.8210262828535</v>
      </c>
      <c r="AA480" s="1">
        <v>22</v>
      </c>
      <c r="AB480" s="1">
        <v>676000</v>
      </c>
      <c r="AC480" s="1">
        <f t="shared" si="7"/>
        <v>736000</v>
      </c>
    </row>
    <row r="481" spans="1:29" x14ac:dyDescent="0.25">
      <c r="A481" s="1" t="s">
        <v>4870</v>
      </c>
      <c r="B481" s="1" t="s">
        <v>4871</v>
      </c>
      <c r="C481" s="1" t="s">
        <v>4872</v>
      </c>
      <c r="D481" s="1">
        <v>2019</v>
      </c>
      <c r="E481" s="1" t="s">
        <v>31</v>
      </c>
      <c r="F481" s="1">
        <v>4</v>
      </c>
      <c r="G481" s="1" t="s">
        <v>32</v>
      </c>
      <c r="H481" s="1" t="s">
        <v>210</v>
      </c>
      <c r="I481" s="1">
        <v>169000</v>
      </c>
      <c r="J481" s="1">
        <v>154000</v>
      </c>
      <c r="K481" s="1">
        <v>15000</v>
      </c>
      <c r="L481" s="1">
        <v>0</v>
      </c>
      <c r="M481" s="1" t="s">
        <v>34</v>
      </c>
      <c r="N481" s="1" t="s">
        <v>70</v>
      </c>
      <c r="O481" s="1" t="s">
        <v>84</v>
      </c>
      <c r="P481" s="1" t="s">
        <v>65</v>
      </c>
      <c r="Q481" s="1" t="s">
        <v>38</v>
      </c>
      <c r="R481" s="1" t="s">
        <v>4873</v>
      </c>
      <c r="S481" s="3">
        <v>917847000000</v>
      </c>
      <c r="T481" s="1" t="s">
        <v>40</v>
      </c>
      <c r="U481" s="1">
        <v>64</v>
      </c>
      <c r="V481" s="1">
        <v>72</v>
      </c>
      <c r="W481" s="1" t="s">
        <v>41</v>
      </c>
      <c r="X481" s="1">
        <v>298934</v>
      </c>
      <c r="Y481" s="2">
        <v>37504</v>
      </c>
      <c r="Z481" s="1">
        <v>-10.8210262828535</v>
      </c>
      <c r="AA481" s="1">
        <v>21</v>
      </c>
      <c r="AB481" s="1">
        <v>676000</v>
      </c>
      <c r="AC481" s="1">
        <f t="shared" si="7"/>
        <v>736000</v>
      </c>
    </row>
    <row r="482" spans="1:29" x14ac:dyDescent="0.25">
      <c r="A482" s="1" t="s">
        <v>4898</v>
      </c>
      <c r="B482" s="1" t="s">
        <v>4899</v>
      </c>
      <c r="C482" s="1" t="s">
        <v>4900</v>
      </c>
      <c r="D482" s="1">
        <v>2019</v>
      </c>
      <c r="E482" s="1" t="s">
        <v>31</v>
      </c>
      <c r="F482" s="1">
        <v>4</v>
      </c>
      <c r="G482" s="1" t="s">
        <v>32</v>
      </c>
      <c r="H482" s="1" t="s">
        <v>56</v>
      </c>
      <c r="I482" s="1">
        <v>169000</v>
      </c>
      <c r="J482" s="1">
        <v>154000</v>
      </c>
      <c r="K482" s="1">
        <v>15000</v>
      </c>
      <c r="L482" s="1">
        <v>0</v>
      </c>
      <c r="M482" s="1" t="s">
        <v>34</v>
      </c>
      <c r="N482" s="1" t="s">
        <v>35</v>
      </c>
      <c r="O482" s="1" t="s">
        <v>84</v>
      </c>
      <c r="P482" s="1" t="s">
        <v>65</v>
      </c>
      <c r="Q482" s="1" t="s">
        <v>38</v>
      </c>
      <c r="R482" s="1" t="s">
        <v>4901</v>
      </c>
      <c r="S482" s="3">
        <v>919870000000</v>
      </c>
      <c r="T482" s="1" t="s">
        <v>86</v>
      </c>
      <c r="U482" s="1">
        <v>64</v>
      </c>
      <c r="V482" s="1">
        <v>92</v>
      </c>
      <c r="W482" s="1" t="s">
        <v>52</v>
      </c>
      <c r="X482" s="1">
        <v>585546</v>
      </c>
      <c r="Y482" s="2">
        <v>37554</v>
      </c>
      <c r="Z482" s="1">
        <v>-10.8210262828535</v>
      </c>
      <c r="AA482" s="1">
        <v>21</v>
      </c>
      <c r="AB482" s="1">
        <v>676000</v>
      </c>
      <c r="AC482" s="1">
        <f t="shared" si="7"/>
        <v>736000</v>
      </c>
    </row>
    <row r="483" spans="1:29" x14ac:dyDescent="0.25">
      <c r="A483" s="1" t="s">
        <v>4912</v>
      </c>
      <c r="B483" s="1" t="s">
        <v>4913</v>
      </c>
      <c r="C483" s="1" t="s">
        <v>4914</v>
      </c>
      <c r="D483" s="1">
        <v>2019</v>
      </c>
      <c r="E483" s="1" t="s">
        <v>31</v>
      </c>
      <c r="F483" s="1">
        <v>4</v>
      </c>
      <c r="G483" s="1" t="s">
        <v>32</v>
      </c>
      <c r="H483" s="1" t="s">
        <v>210</v>
      </c>
      <c r="I483" s="1">
        <v>169000</v>
      </c>
      <c r="J483" s="1">
        <v>154000</v>
      </c>
      <c r="K483" s="1">
        <v>15000</v>
      </c>
      <c r="L483" s="1">
        <v>0</v>
      </c>
      <c r="M483" s="1" t="s">
        <v>34</v>
      </c>
      <c r="N483" s="1" t="s">
        <v>63</v>
      </c>
      <c r="O483" s="1" t="s">
        <v>64</v>
      </c>
      <c r="P483" s="1" t="s">
        <v>65</v>
      </c>
      <c r="Q483" s="1" t="s">
        <v>38</v>
      </c>
      <c r="R483" s="1" t="s">
        <v>4915</v>
      </c>
      <c r="S483" s="3">
        <v>919088000000</v>
      </c>
      <c r="T483" s="1" t="s">
        <v>86</v>
      </c>
      <c r="U483" s="1">
        <v>64</v>
      </c>
      <c r="V483" s="1">
        <v>64</v>
      </c>
      <c r="W483" s="1" t="s">
        <v>52</v>
      </c>
      <c r="X483" s="1">
        <v>148348</v>
      </c>
      <c r="Y483" s="2">
        <v>38140</v>
      </c>
      <c r="Z483" s="1">
        <v>-10.8210262828535</v>
      </c>
      <c r="AA483" s="1">
        <v>20</v>
      </c>
      <c r="AB483" s="1">
        <v>676000</v>
      </c>
      <c r="AC483" s="1">
        <f t="shared" si="7"/>
        <v>736000</v>
      </c>
    </row>
    <row r="484" spans="1:29" x14ac:dyDescent="0.25">
      <c r="A484" s="1" t="s">
        <v>4932</v>
      </c>
      <c r="B484" s="1" t="s">
        <v>2758</v>
      </c>
      <c r="C484" s="1" t="s">
        <v>2759</v>
      </c>
      <c r="D484" s="1">
        <v>2019</v>
      </c>
      <c r="E484" s="1" t="s">
        <v>31</v>
      </c>
      <c r="F484" s="1">
        <v>4</v>
      </c>
      <c r="G484" s="1" t="s">
        <v>32</v>
      </c>
      <c r="H484" s="1" t="s">
        <v>122</v>
      </c>
      <c r="I484" s="1">
        <v>169000</v>
      </c>
      <c r="J484" s="1">
        <v>154000</v>
      </c>
      <c r="K484" s="1">
        <v>15000</v>
      </c>
      <c r="L484" s="1">
        <v>0</v>
      </c>
      <c r="M484" s="1" t="s">
        <v>34</v>
      </c>
      <c r="N484" s="1" t="s">
        <v>35</v>
      </c>
      <c r="O484" s="1" t="s">
        <v>64</v>
      </c>
      <c r="P484" s="1" t="s">
        <v>65</v>
      </c>
      <c r="Q484" s="1" t="s">
        <v>38</v>
      </c>
      <c r="R484" s="1" t="s">
        <v>4933</v>
      </c>
      <c r="S484" s="3">
        <v>919587000000</v>
      </c>
      <c r="T484" s="1" t="s">
        <v>40</v>
      </c>
      <c r="U484" s="1">
        <v>64</v>
      </c>
      <c r="V484" s="1">
        <v>81</v>
      </c>
      <c r="W484" s="1" t="s">
        <v>52</v>
      </c>
      <c r="X484" s="1">
        <v>231237</v>
      </c>
      <c r="Y484" s="2">
        <v>38005</v>
      </c>
      <c r="Z484" s="1">
        <v>-10.8210262828535</v>
      </c>
      <c r="AA484" s="1">
        <v>20</v>
      </c>
      <c r="AB484" s="1">
        <v>676000</v>
      </c>
      <c r="AC484" s="1">
        <f t="shared" si="7"/>
        <v>736000</v>
      </c>
    </row>
    <row r="485" spans="1:29" x14ac:dyDescent="0.25">
      <c r="A485" s="1" t="s">
        <v>4986</v>
      </c>
      <c r="B485" s="1" t="s">
        <v>4987</v>
      </c>
      <c r="C485" s="1" t="s">
        <v>4988</v>
      </c>
      <c r="D485" s="1">
        <v>2019</v>
      </c>
      <c r="E485" s="1" t="s">
        <v>31</v>
      </c>
      <c r="F485" s="1">
        <v>4</v>
      </c>
      <c r="G485" s="1" t="s">
        <v>32</v>
      </c>
      <c r="H485" s="1" t="s">
        <v>90</v>
      </c>
      <c r="I485" s="1">
        <v>169000</v>
      </c>
      <c r="J485" s="1">
        <v>154000</v>
      </c>
      <c r="K485" s="1">
        <v>15000</v>
      </c>
      <c r="L485" s="1">
        <v>0</v>
      </c>
      <c r="M485" s="1" t="s">
        <v>34</v>
      </c>
      <c r="N485" s="1" t="s">
        <v>63</v>
      </c>
      <c r="O485" s="1" t="s">
        <v>57</v>
      </c>
      <c r="P485" s="1" t="s">
        <v>57</v>
      </c>
      <c r="Q485" s="1" t="s">
        <v>38</v>
      </c>
      <c r="R485" s="1" t="s">
        <v>4989</v>
      </c>
      <c r="S485" s="3">
        <v>917602000000</v>
      </c>
      <c r="T485" s="1" t="s">
        <v>86</v>
      </c>
      <c r="U485" s="1">
        <v>63</v>
      </c>
      <c r="V485" s="1">
        <v>83</v>
      </c>
      <c r="W485" s="1" t="s">
        <v>52</v>
      </c>
      <c r="X485" s="1">
        <v>483259</v>
      </c>
      <c r="Y485" s="2">
        <v>37040</v>
      </c>
      <c r="Z485" s="1">
        <v>-11.8210262828535</v>
      </c>
      <c r="AA485" s="1">
        <v>23</v>
      </c>
      <c r="AB485" s="1">
        <v>676000</v>
      </c>
      <c r="AC485" s="1">
        <f t="shared" si="7"/>
        <v>736000</v>
      </c>
    </row>
    <row r="486" spans="1:29" x14ac:dyDescent="0.25">
      <c r="A486" s="1" t="s">
        <v>5000</v>
      </c>
      <c r="B486" s="1" t="s">
        <v>5001</v>
      </c>
      <c r="C486" s="1" t="s">
        <v>5002</v>
      </c>
      <c r="D486" s="1">
        <v>2019</v>
      </c>
      <c r="E486" s="1" t="s">
        <v>31</v>
      </c>
      <c r="F486" s="1">
        <v>4</v>
      </c>
      <c r="G486" s="1" t="s">
        <v>32</v>
      </c>
      <c r="H486" s="1" t="s">
        <v>56</v>
      </c>
      <c r="I486" s="1">
        <v>169000</v>
      </c>
      <c r="J486" s="1">
        <v>154000</v>
      </c>
      <c r="K486" s="1">
        <v>15000</v>
      </c>
      <c r="L486" s="1">
        <v>0</v>
      </c>
      <c r="M486" s="1" t="s">
        <v>34</v>
      </c>
      <c r="N486" s="1" t="s">
        <v>70</v>
      </c>
      <c r="O486" s="1" t="s">
        <v>36</v>
      </c>
      <c r="P486" s="1" t="s">
        <v>37</v>
      </c>
      <c r="Q486" s="1" t="s">
        <v>38</v>
      </c>
      <c r="R486" s="1" t="s">
        <v>5003</v>
      </c>
      <c r="S486" s="3">
        <v>917953000000</v>
      </c>
      <c r="T486" s="1" t="s">
        <v>40</v>
      </c>
      <c r="U486" s="1">
        <v>63</v>
      </c>
      <c r="V486" s="1">
        <v>75</v>
      </c>
      <c r="W486" s="1" t="s">
        <v>52</v>
      </c>
      <c r="X486" s="1">
        <v>223689</v>
      </c>
      <c r="Y486" s="2">
        <v>38632</v>
      </c>
      <c r="Z486" s="1">
        <v>-11.8210262828535</v>
      </c>
      <c r="AA486" s="1">
        <v>18</v>
      </c>
      <c r="AB486" s="1">
        <v>676000</v>
      </c>
      <c r="AC486" s="1">
        <f t="shared" si="7"/>
        <v>736000</v>
      </c>
    </row>
    <row r="487" spans="1:29" x14ac:dyDescent="0.25">
      <c r="A487" s="1" t="s">
        <v>5036</v>
      </c>
      <c r="B487" s="1" t="s">
        <v>2903</v>
      </c>
      <c r="C487" s="1" t="s">
        <v>2904</v>
      </c>
      <c r="D487" s="1">
        <v>2019</v>
      </c>
      <c r="E487" s="1" t="s">
        <v>45</v>
      </c>
      <c r="F487" s="1">
        <v>2</v>
      </c>
      <c r="G487" s="1" t="s">
        <v>46</v>
      </c>
      <c r="H487" s="1" t="s">
        <v>33</v>
      </c>
      <c r="I487" s="1">
        <v>92000</v>
      </c>
      <c r="J487" s="1">
        <v>77000</v>
      </c>
      <c r="K487" s="1">
        <v>15000</v>
      </c>
      <c r="L487" s="1">
        <v>0</v>
      </c>
      <c r="M487" s="1" t="s">
        <v>34</v>
      </c>
      <c r="N487" s="1" t="s">
        <v>70</v>
      </c>
      <c r="O487" s="1" t="s">
        <v>71</v>
      </c>
      <c r="P487" s="1" t="s">
        <v>72</v>
      </c>
      <c r="Q487" s="1" t="s">
        <v>38</v>
      </c>
      <c r="R487" s="1" t="s">
        <v>5037</v>
      </c>
      <c r="S487" s="3">
        <v>918342000000</v>
      </c>
      <c r="T487" s="1" t="s">
        <v>86</v>
      </c>
      <c r="U487" s="1">
        <v>63</v>
      </c>
      <c r="V487" s="1">
        <v>89</v>
      </c>
      <c r="W487" s="1" t="s">
        <v>41</v>
      </c>
      <c r="X487" s="1">
        <v>571371</v>
      </c>
      <c r="Y487" s="2">
        <v>37278</v>
      </c>
      <c r="Z487" s="1">
        <v>-11.8210262828535</v>
      </c>
      <c r="AA487" s="1">
        <v>22</v>
      </c>
      <c r="AB487" s="1">
        <v>184000</v>
      </c>
      <c r="AC487" s="1">
        <f t="shared" si="7"/>
        <v>214000</v>
      </c>
    </row>
    <row r="488" spans="1:29" x14ac:dyDescent="0.25">
      <c r="A488" s="1" t="s">
        <v>5083</v>
      </c>
      <c r="B488" s="1" t="s">
        <v>5084</v>
      </c>
      <c r="C488" s="1" t="s">
        <v>5085</v>
      </c>
      <c r="D488" s="1">
        <v>2019</v>
      </c>
      <c r="E488" s="1" t="s">
        <v>31</v>
      </c>
      <c r="F488" s="1">
        <v>4</v>
      </c>
      <c r="G488" s="1" t="s">
        <v>32</v>
      </c>
      <c r="H488" s="1" t="s">
        <v>102</v>
      </c>
      <c r="I488" s="1">
        <v>169000</v>
      </c>
      <c r="J488" s="1">
        <v>154000</v>
      </c>
      <c r="K488" s="1">
        <v>15000</v>
      </c>
      <c r="L488" s="1">
        <v>0</v>
      </c>
      <c r="M488" s="1" t="s">
        <v>34</v>
      </c>
      <c r="N488" s="1" t="s">
        <v>35</v>
      </c>
      <c r="O488" s="1" t="s">
        <v>64</v>
      </c>
      <c r="P488" s="1" t="s">
        <v>65</v>
      </c>
      <c r="Q488" s="1" t="s">
        <v>38</v>
      </c>
      <c r="R488" s="1" t="s">
        <v>5086</v>
      </c>
      <c r="S488" s="3">
        <v>918497000000</v>
      </c>
      <c r="T488" s="1" t="s">
        <v>74</v>
      </c>
      <c r="U488" s="1">
        <v>63</v>
      </c>
      <c r="V488" s="1">
        <v>76</v>
      </c>
      <c r="W488" s="1" t="s">
        <v>41</v>
      </c>
      <c r="X488" s="1">
        <v>371871</v>
      </c>
      <c r="Y488" s="2">
        <v>37783</v>
      </c>
      <c r="Z488" s="1">
        <v>-11.8210262828535</v>
      </c>
      <c r="AA488" s="1">
        <v>21</v>
      </c>
      <c r="AB488" s="1">
        <v>676000</v>
      </c>
      <c r="AC488" s="1">
        <f t="shared" si="7"/>
        <v>736000</v>
      </c>
    </row>
    <row r="489" spans="1:29" x14ac:dyDescent="0.25">
      <c r="A489" s="1" t="s">
        <v>5099</v>
      </c>
      <c r="B489" s="1" t="s">
        <v>2196</v>
      </c>
      <c r="C489" s="1" t="s">
        <v>2197</v>
      </c>
      <c r="D489" s="1">
        <v>2019</v>
      </c>
      <c r="E489" s="1" t="s">
        <v>45</v>
      </c>
      <c r="F489" s="1">
        <v>2</v>
      </c>
      <c r="G489" s="1" t="s">
        <v>46</v>
      </c>
      <c r="H489" s="1" t="s">
        <v>47</v>
      </c>
      <c r="I489" s="1">
        <v>92000</v>
      </c>
      <c r="J489" s="1">
        <v>77000</v>
      </c>
      <c r="K489" s="1">
        <v>15000</v>
      </c>
      <c r="L489" s="1">
        <v>0</v>
      </c>
      <c r="M489" s="1" t="s">
        <v>34</v>
      </c>
      <c r="N489" s="1" t="s">
        <v>35</v>
      </c>
      <c r="O489" s="1" t="s">
        <v>48</v>
      </c>
      <c r="P489" s="1" t="s">
        <v>49</v>
      </c>
      <c r="Q489" s="1" t="s">
        <v>38</v>
      </c>
      <c r="R489" s="1" t="s">
        <v>5100</v>
      </c>
      <c r="S489" s="3">
        <v>918086000000</v>
      </c>
      <c r="T489" s="1" t="s">
        <v>86</v>
      </c>
      <c r="U489" s="1">
        <v>63</v>
      </c>
      <c r="V489" s="1">
        <v>79</v>
      </c>
      <c r="W489" s="1" t="s">
        <v>52</v>
      </c>
      <c r="X489" s="1">
        <v>118044</v>
      </c>
      <c r="Y489" s="2">
        <v>36184</v>
      </c>
      <c r="Z489" s="1">
        <v>-11.8210262828535</v>
      </c>
      <c r="AA489" s="1">
        <v>25</v>
      </c>
      <c r="AB489" s="1">
        <v>184000</v>
      </c>
      <c r="AC489" s="1">
        <f t="shared" si="7"/>
        <v>214000</v>
      </c>
    </row>
    <row r="490" spans="1:29" x14ac:dyDescent="0.25">
      <c r="A490" s="1" t="s">
        <v>5101</v>
      </c>
      <c r="B490" s="1" t="s">
        <v>5102</v>
      </c>
      <c r="C490" s="1" t="s">
        <v>5103</v>
      </c>
      <c r="D490" s="1">
        <v>2019</v>
      </c>
      <c r="E490" s="1" t="s">
        <v>31</v>
      </c>
      <c r="F490" s="1">
        <v>4</v>
      </c>
      <c r="G490" s="1" t="s">
        <v>32</v>
      </c>
      <c r="H490" s="1" t="s">
        <v>113</v>
      </c>
      <c r="I490" s="1">
        <v>169000</v>
      </c>
      <c r="J490" s="1">
        <v>154000</v>
      </c>
      <c r="K490" s="1">
        <v>15000</v>
      </c>
      <c r="L490" s="1">
        <v>0</v>
      </c>
      <c r="M490" s="1" t="s">
        <v>34</v>
      </c>
      <c r="N490" s="1" t="s">
        <v>70</v>
      </c>
      <c r="O490" s="1" t="s">
        <v>91</v>
      </c>
      <c r="P490" s="1" t="s">
        <v>92</v>
      </c>
      <c r="Q490" s="1" t="s">
        <v>38</v>
      </c>
      <c r="R490" s="1" t="s">
        <v>5104</v>
      </c>
      <c r="S490" s="3">
        <v>919373000000</v>
      </c>
      <c r="T490" s="1" t="s">
        <v>86</v>
      </c>
      <c r="U490" s="1">
        <v>63</v>
      </c>
      <c r="V490" s="1">
        <v>72</v>
      </c>
      <c r="W490" s="1" t="s">
        <v>52</v>
      </c>
      <c r="X490" s="1">
        <v>288053</v>
      </c>
      <c r="Y490" s="2">
        <v>37577</v>
      </c>
      <c r="Z490" s="1">
        <v>-11.8210262828535</v>
      </c>
      <c r="AA490" s="1">
        <v>21</v>
      </c>
      <c r="AB490" s="1">
        <v>676000</v>
      </c>
      <c r="AC490" s="1">
        <f t="shared" si="7"/>
        <v>736000</v>
      </c>
    </row>
    <row r="491" spans="1:29" x14ac:dyDescent="0.25">
      <c r="A491" s="1" t="s">
        <v>5105</v>
      </c>
      <c r="B491" s="1" t="s">
        <v>4853</v>
      </c>
      <c r="C491" s="1" t="s">
        <v>4854</v>
      </c>
      <c r="D491" s="1">
        <v>2019</v>
      </c>
      <c r="E491" s="1" t="s">
        <v>45</v>
      </c>
      <c r="F491" s="1">
        <v>2</v>
      </c>
      <c r="G491" s="1" t="s">
        <v>46</v>
      </c>
      <c r="H491" s="1" t="s">
        <v>33</v>
      </c>
      <c r="I491" s="1">
        <v>92000</v>
      </c>
      <c r="J491" s="1">
        <v>77000</v>
      </c>
      <c r="K491" s="1">
        <v>15000</v>
      </c>
      <c r="L491" s="1">
        <v>0</v>
      </c>
      <c r="M491" s="1" t="s">
        <v>34</v>
      </c>
      <c r="N491" s="1" t="s">
        <v>35</v>
      </c>
      <c r="O491" s="1" t="s">
        <v>84</v>
      </c>
      <c r="P491" s="1" t="s">
        <v>65</v>
      </c>
      <c r="Q491" s="1" t="s">
        <v>38</v>
      </c>
      <c r="R491" s="1" t="s">
        <v>5106</v>
      </c>
      <c r="S491" s="3">
        <v>919803000000</v>
      </c>
      <c r="T491" s="1" t="s">
        <v>74</v>
      </c>
      <c r="U491" s="1">
        <v>63</v>
      </c>
      <c r="V491" s="1">
        <v>79</v>
      </c>
      <c r="W491" s="1" t="s">
        <v>41</v>
      </c>
      <c r="X491" s="1">
        <v>511155</v>
      </c>
      <c r="Y491" s="2">
        <v>36348</v>
      </c>
      <c r="Z491" s="1">
        <v>-11.8210262828535</v>
      </c>
      <c r="AA491" s="1">
        <v>25</v>
      </c>
      <c r="AB491" s="1">
        <v>184000</v>
      </c>
      <c r="AC491" s="1">
        <f t="shared" si="7"/>
        <v>214000</v>
      </c>
    </row>
    <row r="492" spans="1:29" x14ac:dyDescent="0.25">
      <c r="A492" s="1" t="s">
        <v>5107</v>
      </c>
      <c r="B492" s="1" t="s">
        <v>5108</v>
      </c>
      <c r="C492" s="1" t="s">
        <v>5109</v>
      </c>
      <c r="D492" s="1">
        <v>2019</v>
      </c>
      <c r="E492" s="1" t="s">
        <v>31</v>
      </c>
      <c r="F492" s="1">
        <v>4</v>
      </c>
      <c r="G492" s="1" t="s">
        <v>32</v>
      </c>
      <c r="H492" s="1" t="s">
        <v>122</v>
      </c>
      <c r="I492" s="1">
        <v>169000</v>
      </c>
      <c r="J492" s="1">
        <v>154000</v>
      </c>
      <c r="K492" s="1">
        <v>15000</v>
      </c>
      <c r="L492" s="1">
        <v>0</v>
      </c>
      <c r="M492" s="1" t="s">
        <v>34</v>
      </c>
      <c r="N492" s="1" t="s">
        <v>63</v>
      </c>
      <c r="O492" s="1" t="s">
        <v>78</v>
      </c>
      <c r="P492" s="1" t="s">
        <v>79</v>
      </c>
      <c r="Q492" s="1" t="s">
        <v>38</v>
      </c>
      <c r="R492" s="1" t="s">
        <v>5110</v>
      </c>
      <c r="S492" s="3">
        <v>917289000000</v>
      </c>
      <c r="T492" s="1" t="s">
        <v>40</v>
      </c>
      <c r="U492" s="1">
        <v>63</v>
      </c>
      <c r="V492" s="1">
        <v>77</v>
      </c>
      <c r="W492" s="1" t="s">
        <v>52</v>
      </c>
      <c r="X492" s="1">
        <v>569370</v>
      </c>
      <c r="Y492" s="2">
        <v>37843</v>
      </c>
      <c r="Z492" s="1">
        <v>-11.8210262828535</v>
      </c>
      <c r="AA492" s="1">
        <v>20</v>
      </c>
      <c r="AB492" s="1">
        <v>676000</v>
      </c>
      <c r="AC492" s="1">
        <f t="shared" si="7"/>
        <v>736000</v>
      </c>
    </row>
    <row r="493" spans="1:29" x14ac:dyDescent="0.25">
      <c r="A493" s="1" t="s">
        <v>5119</v>
      </c>
      <c r="B493" s="1" t="s">
        <v>1401</v>
      </c>
      <c r="C493" s="1" t="s">
        <v>1402</v>
      </c>
      <c r="D493" s="1">
        <v>2019</v>
      </c>
      <c r="E493" s="1" t="s">
        <v>45</v>
      </c>
      <c r="F493" s="1">
        <v>2</v>
      </c>
      <c r="G493" s="1" t="s">
        <v>46</v>
      </c>
      <c r="H493" s="1" t="s">
        <v>62</v>
      </c>
      <c r="I493" s="1">
        <v>92000</v>
      </c>
      <c r="J493" s="1">
        <v>77000</v>
      </c>
      <c r="K493" s="1">
        <v>15000</v>
      </c>
      <c r="L493" s="1">
        <v>0</v>
      </c>
      <c r="M493" s="1" t="s">
        <v>34</v>
      </c>
      <c r="N493" s="1" t="s">
        <v>35</v>
      </c>
      <c r="O493" s="1" t="s">
        <v>57</v>
      </c>
      <c r="P493" s="1" t="s">
        <v>57</v>
      </c>
      <c r="Q493" s="1" t="s">
        <v>38</v>
      </c>
      <c r="R493" s="1" t="s">
        <v>5120</v>
      </c>
      <c r="S493" s="3">
        <v>918312000000</v>
      </c>
      <c r="T493" s="1" t="s">
        <v>98</v>
      </c>
      <c r="U493" s="1">
        <v>63</v>
      </c>
      <c r="V493" s="1">
        <v>76</v>
      </c>
      <c r="W493" s="1" t="s">
        <v>41</v>
      </c>
      <c r="X493" s="1">
        <v>350338</v>
      </c>
      <c r="Y493" s="2">
        <v>36328</v>
      </c>
      <c r="Z493" s="1">
        <v>-11.8210262828535</v>
      </c>
      <c r="AA493" s="1">
        <v>25</v>
      </c>
      <c r="AB493" s="1">
        <v>184000</v>
      </c>
      <c r="AC493" s="1">
        <f t="shared" si="7"/>
        <v>214000</v>
      </c>
    </row>
    <row r="494" spans="1:29" x14ac:dyDescent="0.25">
      <c r="A494" s="1" t="s">
        <v>5161</v>
      </c>
      <c r="B494" s="1" t="s">
        <v>5162</v>
      </c>
      <c r="C494" s="1" t="s">
        <v>5163</v>
      </c>
      <c r="D494" s="1">
        <v>2019</v>
      </c>
      <c r="E494" s="1" t="s">
        <v>31</v>
      </c>
      <c r="F494" s="1">
        <v>4</v>
      </c>
      <c r="G494" s="1" t="s">
        <v>32</v>
      </c>
      <c r="H494" s="1" t="s">
        <v>113</v>
      </c>
      <c r="I494" s="1">
        <v>169000</v>
      </c>
      <c r="J494" s="1">
        <v>154000</v>
      </c>
      <c r="K494" s="1">
        <v>15000</v>
      </c>
      <c r="L494" s="1">
        <v>0</v>
      </c>
      <c r="M494" s="1" t="s">
        <v>34</v>
      </c>
      <c r="N494" s="1" t="s">
        <v>63</v>
      </c>
      <c r="O494" s="1" t="s">
        <v>91</v>
      </c>
      <c r="P494" s="1" t="s">
        <v>92</v>
      </c>
      <c r="Q494" s="1" t="s">
        <v>38</v>
      </c>
      <c r="R494" s="1" t="s">
        <v>5164</v>
      </c>
      <c r="S494" s="3">
        <v>918735000000</v>
      </c>
      <c r="T494" s="1" t="s">
        <v>86</v>
      </c>
      <c r="U494" s="1">
        <v>62</v>
      </c>
      <c r="V494" s="1">
        <v>79</v>
      </c>
      <c r="W494" s="1" t="s">
        <v>41</v>
      </c>
      <c r="X494" s="1">
        <v>279611</v>
      </c>
      <c r="Y494" s="2">
        <v>36821</v>
      </c>
      <c r="Z494" s="1">
        <v>-12.8210262828535</v>
      </c>
      <c r="AA494" s="1">
        <v>23</v>
      </c>
      <c r="AB494" s="1">
        <v>676000</v>
      </c>
      <c r="AC494" s="1">
        <f t="shared" si="7"/>
        <v>736000</v>
      </c>
    </row>
    <row r="495" spans="1:29" x14ac:dyDescent="0.25">
      <c r="A495" s="1" t="s">
        <v>5165</v>
      </c>
      <c r="B495" s="1" t="s">
        <v>1503</v>
      </c>
      <c r="C495" s="1" t="s">
        <v>1504</v>
      </c>
      <c r="D495" s="1">
        <v>2019</v>
      </c>
      <c r="E495" s="1" t="s">
        <v>45</v>
      </c>
      <c r="F495" s="1">
        <v>2</v>
      </c>
      <c r="G495" s="1" t="s">
        <v>46</v>
      </c>
      <c r="H495" s="1" t="s">
        <v>62</v>
      </c>
      <c r="I495" s="1">
        <v>92000</v>
      </c>
      <c r="J495" s="1">
        <v>77000</v>
      </c>
      <c r="K495" s="1">
        <v>15000</v>
      </c>
      <c r="L495" s="1">
        <v>0</v>
      </c>
      <c r="M495" s="1" t="s">
        <v>34</v>
      </c>
      <c r="N495" s="1" t="s">
        <v>35</v>
      </c>
      <c r="O495" s="1" t="s">
        <v>48</v>
      </c>
      <c r="P495" s="1" t="s">
        <v>49</v>
      </c>
      <c r="Q495" s="1" t="s">
        <v>38</v>
      </c>
      <c r="R495" s="1" t="s">
        <v>5166</v>
      </c>
      <c r="S495" s="3">
        <v>919476000000</v>
      </c>
      <c r="T495" s="1" t="s">
        <v>86</v>
      </c>
      <c r="U495" s="1">
        <v>62</v>
      </c>
      <c r="V495" s="1">
        <v>90</v>
      </c>
      <c r="W495" s="1" t="s">
        <v>41</v>
      </c>
      <c r="X495" s="1">
        <v>662986</v>
      </c>
      <c r="Y495" s="2">
        <v>36446</v>
      </c>
      <c r="Z495" s="1">
        <v>-12.8210262828535</v>
      </c>
      <c r="AA495" s="1">
        <v>24</v>
      </c>
      <c r="AB495" s="1">
        <v>184000</v>
      </c>
      <c r="AC495" s="1">
        <f t="shared" si="7"/>
        <v>214000</v>
      </c>
    </row>
    <row r="496" spans="1:29" x14ac:dyDescent="0.25">
      <c r="A496" s="1" t="s">
        <v>5169</v>
      </c>
      <c r="B496" s="1" t="s">
        <v>1109</v>
      </c>
      <c r="C496" s="1" t="s">
        <v>1110</v>
      </c>
      <c r="D496" s="1">
        <v>2019</v>
      </c>
      <c r="E496" s="1" t="s">
        <v>45</v>
      </c>
      <c r="F496" s="1">
        <v>2</v>
      </c>
      <c r="G496" s="1" t="s">
        <v>46</v>
      </c>
      <c r="H496" s="1" t="s">
        <v>62</v>
      </c>
      <c r="I496" s="1">
        <v>92000</v>
      </c>
      <c r="J496" s="1">
        <v>77000</v>
      </c>
      <c r="K496" s="1">
        <v>15000</v>
      </c>
      <c r="L496" s="1">
        <v>0</v>
      </c>
      <c r="M496" s="1" t="s">
        <v>34</v>
      </c>
      <c r="N496" s="1" t="s">
        <v>70</v>
      </c>
      <c r="O496" s="1" t="s">
        <v>91</v>
      </c>
      <c r="P496" s="1" t="s">
        <v>92</v>
      </c>
      <c r="Q496" s="1" t="s">
        <v>38</v>
      </c>
      <c r="R496" s="1" t="s">
        <v>5170</v>
      </c>
      <c r="S496" s="3">
        <v>917794000000</v>
      </c>
      <c r="T496" s="1" t="s">
        <v>51</v>
      </c>
      <c r="U496" s="1">
        <v>62</v>
      </c>
      <c r="V496" s="1">
        <v>90</v>
      </c>
      <c r="W496" s="1" t="s">
        <v>52</v>
      </c>
      <c r="X496" s="1">
        <v>727747</v>
      </c>
      <c r="Y496" s="2">
        <v>36880</v>
      </c>
      <c r="Z496" s="1">
        <v>-12.8210262828535</v>
      </c>
      <c r="AA496" s="1">
        <v>23</v>
      </c>
      <c r="AB496" s="1">
        <v>184000</v>
      </c>
      <c r="AC496" s="1">
        <f t="shared" si="7"/>
        <v>214000</v>
      </c>
    </row>
    <row r="497" spans="1:29" x14ac:dyDescent="0.25">
      <c r="A497" s="1" t="s">
        <v>5281</v>
      </c>
      <c r="B497" s="1" t="s">
        <v>697</v>
      </c>
      <c r="C497" s="1" t="s">
        <v>698</v>
      </c>
      <c r="D497" s="1">
        <v>2019</v>
      </c>
      <c r="E497" s="1" t="s">
        <v>45</v>
      </c>
      <c r="F497" s="1">
        <v>2</v>
      </c>
      <c r="G497" s="1" t="s">
        <v>46</v>
      </c>
      <c r="H497" s="1" t="s">
        <v>113</v>
      </c>
      <c r="I497" s="1">
        <v>92000</v>
      </c>
      <c r="J497" s="1">
        <v>77000</v>
      </c>
      <c r="K497" s="1">
        <v>15000</v>
      </c>
      <c r="L497" s="1">
        <v>0</v>
      </c>
      <c r="M497" s="1" t="s">
        <v>34</v>
      </c>
      <c r="N497" s="1" t="s">
        <v>63</v>
      </c>
      <c r="O497" s="1" t="s">
        <v>36</v>
      </c>
      <c r="P497" s="1" t="s">
        <v>37</v>
      </c>
      <c r="Q497" s="1" t="s">
        <v>38</v>
      </c>
      <c r="R497" s="1" t="s">
        <v>5282</v>
      </c>
      <c r="S497" s="3">
        <v>919181000000</v>
      </c>
      <c r="T497" s="1" t="s">
        <v>51</v>
      </c>
      <c r="U497" s="1">
        <v>62</v>
      </c>
      <c r="V497" s="1">
        <v>84</v>
      </c>
      <c r="W497" s="1" t="s">
        <v>41</v>
      </c>
      <c r="X497" s="1">
        <v>736515</v>
      </c>
      <c r="Y497" s="2">
        <v>36635</v>
      </c>
      <c r="Z497" s="1">
        <v>-12.8210262828535</v>
      </c>
      <c r="AA497" s="1">
        <v>24</v>
      </c>
      <c r="AB497" s="1">
        <v>184000</v>
      </c>
      <c r="AC497" s="1">
        <f t="shared" si="7"/>
        <v>214000</v>
      </c>
    </row>
    <row r="498" spans="1:29" x14ac:dyDescent="0.25">
      <c r="A498" s="1" t="s">
        <v>5298</v>
      </c>
      <c r="B498" s="1" t="s">
        <v>5299</v>
      </c>
      <c r="C498" s="1" t="s">
        <v>5300</v>
      </c>
      <c r="D498" s="1">
        <v>2019</v>
      </c>
      <c r="E498" s="1" t="s">
        <v>45</v>
      </c>
      <c r="F498" s="1">
        <v>2</v>
      </c>
      <c r="G498" s="1" t="s">
        <v>46</v>
      </c>
      <c r="H498" s="1" t="s">
        <v>33</v>
      </c>
      <c r="I498" s="1">
        <v>92000</v>
      </c>
      <c r="J498" s="1">
        <v>77000</v>
      </c>
      <c r="K498" s="1">
        <v>15000</v>
      </c>
      <c r="L498" s="1">
        <v>0</v>
      </c>
      <c r="M498" s="1" t="s">
        <v>34</v>
      </c>
      <c r="N498" s="1" t="s">
        <v>35</v>
      </c>
      <c r="O498" s="1" t="s">
        <v>64</v>
      </c>
      <c r="P498" s="1" t="s">
        <v>65</v>
      </c>
      <c r="Q498" s="1" t="s">
        <v>38</v>
      </c>
      <c r="R498" s="1" t="s">
        <v>5301</v>
      </c>
      <c r="S498" s="3">
        <v>917977000000</v>
      </c>
      <c r="T498" s="1" t="s">
        <v>51</v>
      </c>
      <c r="U498" s="1">
        <v>62</v>
      </c>
      <c r="V498" s="1">
        <v>87</v>
      </c>
      <c r="W498" s="1" t="s">
        <v>41</v>
      </c>
      <c r="X498" s="1">
        <v>418086</v>
      </c>
      <c r="Y498" s="2">
        <v>36365</v>
      </c>
      <c r="Z498" s="1">
        <v>-12.8210262828535</v>
      </c>
      <c r="AA498" s="1">
        <v>24</v>
      </c>
      <c r="AB498" s="1">
        <v>184000</v>
      </c>
      <c r="AC498" s="1">
        <f t="shared" si="7"/>
        <v>214000</v>
      </c>
    </row>
    <row r="499" spans="1:29" x14ac:dyDescent="0.25">
      <c r="A499" s="1" t="s">
        <v>5321</v>
      </c>
      <c r="B499" s="1" t="s">
        <v>2132</v>
      </c>
      <c r="C499" s="1" t="s">
        <v>2133</v>
      </c>
      <c r="D499" s="1">
        <v>2019</v>
      </c>
      <c r="E499" s="1" t="s">
        <v>45</v>
      </c>
      <c r="F499" s="1">
        <v>2</v>
      </c>
      <c r="G499" s="1" t="s">
        <v>46</v>
      </c>
      <c r="H499" s="1" t="s">
        <v>113</v>
      </c>
      <c r="I499" s="1">
        <v>92000</v>
      </c>
      <c r="J499" s="1">
        <v>77000</v>
      </c>
      <c r="K499" s="1">
        <v>15000</v>
      </c>
      <c r="L499" s="1">
        <v>0</v>
      </c>
      <c r="M499" s="1" t="s">
        <v>34</v>
      </c>
      <c r="N499" s="1" t="s">
        <v>35</v>
      </c>
      <c r="O499" s="1" t="s">
        <v>48</v>
      </c>
      <c r="P499" s="1" t="s">
        <v>49</v>
      </c>
      <c r="Q499" s="1" t="s">
        <v>38</v>
      </c>
      <c r="R499" s="1" t="s">
        <v>5322</v>
      </c>
      <c r="S499" s="3">
        <v>917578000000</v>
      </c>
      <c r="T499" s="1" t="s">
        <v>40</v>
      </c>
      <c r="U499" s="1">
        <v>62</v>
      </c>
      <c r="V499" s="1">
        <v>82</v>
      </c>
      <c r="W499" s="1" t="s">
        <v>52</v>
      </c>
      <c r="X499" s="1">
        <v>291495</v>
      </c>
      <c r="Y499" s="2">
        <v>36755</v>
      </c>
      <c r="Z499" s="1">
        <v>-12.8210262828535</v>
      </c>
      <c r="AA499" s="1">
        <v>23</v>
      </c>
      <c r="AB499" s="1">
        <v>184000</v>
      </c>
      <c r="AC499" s="1">
        <f t="shared" si="7"/>
        <v>214000</v>
      </c>
    </row>
    <row r="500" spans="1:29" x14ac:dyDescent="0.25">
      <c r="A500" s="1" t="s">
        <v>5345</v>
      </c>
      <c r="B500" s="1" t="s">
        <v>5346</v>
      </c>
      <c r="C500" s="1" t="s">
        <v>5347</v>
      </c>
      <c r="D500" s="1">
        <v>2019</v>
      </c>
      <c r="E500" s="1" t="s">
        <v>31</v>
      </c>
      <c r="F500" s="1">
        <v>4</v>
      </c>
      <c r="G500" s="1" t="s">
        <v>32</v>
      </c>
      <c r="H500" s="1" t="s">
        <v>151</v>
      </c>
      <c r="I500" s="1">
        <v>169000</v>
      </c>
      <c r="J500" s="1">
        <v>154000</v>
      </c>
      <c r="K500" s="1">
        <v>15000</v>
      </c>
      <c r="L500" s="1">
        <v>0</v>
      </c>
      <c r="M500" s="1" t="s">
        <v>34</v>
      </c>
      <c r="N500" s="1" t="s">
        <v>35</v>
      </c>
      <c r="O500" s="1" t="s">
        <v>36</v>
      </c>
      <c r="P500" s="1" t="s">
        <v>37</v>
      </c>
      <c r="Q500" s="1" t="s">
        <v>38</v>
      </c>
      <c r="R500" s="1" t="s">
        <v>5348</v>
      </c>
      <c r="S500" s="3">
        <v>918265000000</v>
      </c>
      <c r="T500" s="1" t="s">
        <v>74</v>
      </c>
      <c r="U500" s="1">
        <v>62</v>
      </c>
      <c r="V500" s="1">
        <v>62</v>
      </c>
      <c r="W500" s="1" t="s">
        <v>41</v>
      </c>
      <c r="X500" s="1">
        <v>429138</v>
      </c>
      <c r="Y500" s="2">
        <v>36746</v>
      </c>
      <c r="Z500" s="1">
        <v>-12.8210262828535</v>
      </c>
      <c r="AA500" s="1">
        <v>23</v>
      </c>
      <c r="AB500" s="1">
        <v>676000</v>
      </c>
      <c r="AC500" s="1">
        <f t="shared" si="7"/>
        <v>736000</v>
      </c>
    </row>
    <row r="501" spans="1:29" x14ac:dyDescent="0.25">
      <c r="A501" s="1" t="s">
        <v>5349</v>
      </c>
      <c r="B501" s="1" t="s">
        <v>3816</v>
      </c>
      <c r="C501" s="1" t="s">
        <v>3817</v>
      </c>
      <c r="D501" s="1">
        <v>2019</v>
      </c>
      <c r="E501" s="1" t="s">
        <v>31</v>
      </c>
      <c r="F501" s="1">
        <v>4</v>
      </c>
      <c r="G501" s="1" t="s">
        <v>32</v>
      </c>
      <c r="H501" s="1" t="s">
        <v>113</v>
      </c>
      <c r="I501" s="1">
        <v>169000</v>
      </c>
      <c r="J501" s="1">
        <v>154000</v>
      </c>
      <c r="K501" s="1">
        <v>15000</v>
      </c>
      <c r="L501" s="1">
        <v>0</v>
      </c>
      <c r="M501" s="1" t="s">
        <v>34</v>
      </c>
      <c r="N501" s="1" t="s">
        <v>70</v>
      </c>
      <c r="O501" s="1" t="s">
        <v>64</v>
      </c>
      <c r="P501" s="1" t="s">
        <v>65</v>
      </c>
      <c r="Q501" s="1" t="s">
        <v>38</v>
      </c>
      <c r="R501" s="1" t="s">
        <v>5350</v>
      </c>
      <c r="S501" s="3">
        <v>918949000000</v>
      </c>
      <c r="T501" s="1" t="s">
        <v>40</v>
      </c>
      <c r="U501" s="1">
        <v>62</v>
      </c>
      <c r="V501" s="1">
        <v>89</v>
      </c>
      <c r="W501" s="1" t="s">
        <v>52</v>
      </c>
      <c r="X501" s="1">
        <v>725960</v>
      </c>
      <c r="Y501" s="2">
        <v>37151</v>
      </c>
      <c r="Z501" s="1">
        <v>-12.8210262828535</v>
      </c>
      <c r="AA501" s="1">
        <v>22</v>
      </c>
      <c r="AB501" s="1">
        <v>676000</v>
      </c>
      <c r="AC501" s="1">
        <f t="shared" si="7"/>
        <v>736000</v>
      </c>
    </row>
    <row r="502" spans="1:29" x14ac:dyDescent="0.25">
      <c r="A502" s="1" t="s">
        <v>5363</v>
      </c>
      <c r="B502" s="1" t="s">
        <v>939</v>
      </c>
      <c r="C502" s="1" t="s">
        <v>940</v>
      </c>
      <c r="D502" s="1">
        <v>2019</v>
      </c>
      <c r="E502" s="1" t="s">
        <v>45</v>
      </c>
      <c r="F502" s="1">
        <v>2</v>
      </c>
      <c r="G502" s="1" t="s">
        <v>46</v>
      </c>
      <c r="H502" s="1" t="s">
        <v>102</v>
      </c>
      <c r="I502" s="1">
        <v>92000</v>
      </c>
      <c r="J502" s="1">
        <v>77000</v>
      </c>
      <c r="K502" s="1">
        <v>15000</v>
      </c>
      <c r="L502" s="1">
        <v>0</v>
      </c>
      <c r="M502" s="1" t="s">
        <v>34</v>
      </c>
      <c r="N502" s="1" t="s">
        <v>70</v>
      </c>
      <c r="O502" s="1" t="s">
        <v>71</v>
      </c>
      <c r="P502" s="1" t="s">
        <v>72</v>
      </c>
      <c r="Q502" s="1" t="s">
        <v>38</v>
      </c>
      <c r="R502" s="1" t="s">
        <v>5364</v>
      </c>
      <c r="S502" s="3">
        <v>919596000000</v>
      </c>
      <c r="T502" s="1" t="s">
        <v>98</v>
      </c>
      <c r="U502" s="1">
        <v>61</v>
      </c>
      <c r="V502" s="1">
        <v>68</v>
      </c>
      <c r="W502" s="1" t="s">
        <v>41</v>
      </c>
      <c r="X502" s="1">
        <v>496347</v>
      </c>
      <c r="Y502" s="2">
        <v>35565</v>
      </c>
      <c r="Z502" s="1">
        <v>-13.8210262828535</v>
      </c>
      <c r="AA502" s="1">
        <v>27</v>
      </c>
      <c r="AB502" s="1">
        <v>184000</v>
      </c>
      <c r="AC502" s="1">
        <f t="shared" si="7"/>
        <v>214000</v>
      </c>
    </row>
    <row r="503" spans="1:29" x14ac:dyDescent="0.25">
      <c r="A503" s="1" t="s">
        <v>5373</v>
      </c>
      <c r="B503" s="1" t="s">
        <v>5374</v>
      </c>
      <c r="C503" s="1" t="s">
        <v>5375</v>
      </c>
      <c r="D503" s="1">
        <v>2019</v>
      </c>
      <c r="E503" s="1" t="s">
        <v>31</v>
      </c>
      <c r="F503" s="1">
        <v>4</v>
      </c>
      <c r="G503" s="1" t="s">
        <v>32</v>
      </c>
      <c r="H503" s="1" t="s">
        <v>151</v>
      </c>
      <c r="I503" s="1">
        <v>169000</v>
      </c>
      <c r="J503" s="1">
        <v>154000</v>
      </c>
      <c r="K503" s="1">
        <v>15000</v>
      </c>
      <c r="L503" s="1">
        <v>0</v>
      </c>
      <c r="M503" s="1" t="s">
        <v>34</v>
      </c>
      <c r="N503" s="1" t="s">
        <v>70</v>
      </c>
      <c r="O503" s="1" t="s">
        <v>36</v>
      </c>
      <c r="P503" s="1" t="s">
        <v>37</v>
      </c>
      <c r="Q503" s="1" t="s">
        <v>38</v>
      </c>
      <c r="R503" s="1" t="s">
        <v>5376</v>
      </c>
      <c r="S503" s="3">
        <v>917387000000</v>
      </c>
      <c r="T503" s="1" t="s">
        <v>86</v>
      </c>
      <c r="U503" s="1">
        <v>61</v>
      </c>
      <c r="V503" s="1">
        <v>60</v>
      </c>
      <c r="W503" s="1" t="s">
        <v>41</v>
      </c>
      <c r="X503" s="1">
        <v>761857</v>
      </c>
      <c r="Y503" s="2">
        <v>37626</v>
      </c>
      <c r="Z503" s="1">
        <v>-13.8210262828535</v>
      </c>
      <c r="AA503" s="1">
        <v>21</v>
      </c>
      <c r="AB503" s="1">
        <v>676000</v>
      </c>
      <c r="AC503" s="1">
        <f t="shared" si="7"/>
        <v>736000</v>
      </c>
    </row>
    <row r="504" spans="1:29" x14ac:dyDescent="0.25">
      <c r="A504" s="1" t="s">
        <v>5411</v>
      </c>
      <c r="B504" s="1" t="s">
        <v>523</v>
      </c>
      <c r="C504" s="1" t="s">
        <v>524</v>
      </c>
      <c r="D504" s="1">
        <v>2019</v>
      </c>
      <c r="E504" s="1" t="s">
        <v>31</v>
      </c>
      <c r="F504" s="1">
        <v>4</v>
      </c>
      <c r="G504" s="1" t="s">
        <v>32</v>
      </c>
      <c r="H504" s="1" t="s">
        <v>90</v>
      </c>
      <c r="I504" s="1">
        <v>169000</v>
      </c>
      <c r="J504" s="1">
        <v>154000</v>
      </c>
      <c r="K504" s="1">
        <v>15000</v>
      </c>
      <c r="L504" s="1">
        <v>0</v>
      </c>
      <c r="M504" s="1" t="s">
        <v>34</v>
      </c>
      <c r="N504" s="1" t="s">
        <v>70</v>
      </c>
      <c r="O504" s="1" t="s">
        <v>64</v>
      </c>
      <c r="P504" s="1" t="s">
        <v>65</v>
      </c>
      <c r="Q504" s="1" t="s">
        <v>38</v>
      </c>
      <c r="R504" s="1" t="s">
        <v>5412</v>
      </c>
      <c r="S504" s="3">
        <v>918523000000</v>
      </c>
      <c r="T504" s="1" t="s">
        <v>98</v>
      </c>
      <c r="U504" s="1">
        <v>61</v>
      </c>
      <c r="V504" s="1">
        <v>88</v>
      </c>
      <c r="W504" s="1" t="s">
        <v>52</v>
      </c>
      <c r="X504" s="1">
        <v>301538</v>
      </c>
      <c r="Y504" s="2">
        <v>37438</v>
      </c>
      <c r="Z504" s="1">
        <v>-13.8210262828535</v>
      </c>
      <c r="AA504" s="1">
        <v>22</v>
      </c>
      <c r="AB504" s="1">
        <v>676000</v>
      </c>
      <c r="AC504" s="1">
        <f t="shared" si="7"/>
        <v>736000</v>
      </c>
    </row>
    <row r="505" spans="1:29" x14ac:dyDescent="0.25">
      <c r="A505" s="1" t="s">
        <v>5413</v>
      </c>
      <c r="B505" s="1" t="s">
        <v>5414</v>
      </c>
      <c r="C505" s="1" t="s">
        <v>5415</v>
      </c>
      <c r="D505" s="1">
        <v>2019</v>
      </c>
      <c r="E505" s="1" t="s">
        <v>31</v>
      </c>
      <c r="F505" s="1">
        <v>4</v>
      </c>
      <c r="G505" s="1" t="s">
        <v>32</v>
      </c>
      <c r="H505" s="1" t="s">
        <v>62</v>
      </c>
      <c r="I505" s="1">
        <v>169000</v>
      </c>
      <c r="J505" s="1">
        <v>154000</v>
      </c>
      <c r="K505" s="1">
        <v>15000</v>
      </c>
      <c r="L505" s="1">
        <v>0</v>
      </c>
      <c r="M505" s="1" t="s">
        <v>34</v>
      </c>
      <c r="N505" s="1" t="s">
        <v>63</v>
      </c>
      <c r="O505" s="1" t="s">
        <v>78</v>
      </c>
      <c r="P505" s="1" t="s">
        <v>79</v>
      </c>
      <c r="Q505" s="1" t="s">
        <v>38</v>
      </c>
      <c r="R505" s="1" t="s">
        <v>5416</v>
      </c>
      <c r="S505" s="3">
        <v>918271000000</v>
      </c>
      <c r="T505" s="1" t="s">
        <v>74</v>
      </c>
      <c r="U505" s="1">
        <v>61</v>
      </c>
      <c r="V505" s="1">
        <v>79</v>
      </c>
      <c r="W505" s="1" t="s">
        <v>52</v>
      </c>
      <c r="X505" s="1">
        <v>305337</v>
      </c>
      <c r="Y505" s="2">
        <v>36926</v>
      </c>
      <c r="Z505" s="1">
        <v>-13.8210262828535</v>
      </c>
      <c r="AA505" s="1">
        <v>23</v>
      </c>
      <c r="AB505" s="1">
        <v>676000</v>
      </c>
      <c r="AC505" s="1">
        <f t="shared" si="7"/>
        <v>736000</v>
      </c>
    </row>
    <row r="506" spans="1:29" x14ac:dyDescent="0.25">
      <c r="A506" s="1" t="s">
        <v>5437</v>
      </c>
      <c r="B506" s="1" t="s">
        <v>1812</v>
      </c>
      <c r="C506" s="1" t="s">
        <v>1813</v>
      </c>
      <c r="D506" s="1">
        <v>2019</v>
      </c>
      <c r="E506" s="1" t="s">
        <v>31</v>
      </c>
      <c r="F506" s="1">
        <v>4</v>
      </c>
      <c r="G506" s="1" t="s">
        <v>32</v>
      </c>
      <c r="H506" s="1" t="s">
        <v>210</v>
      </c>
      <c r="I506" s="1">
        <v>169000</v>
      </c>
      <c r="J506" s="1">
        <v>154000</v>
      </c>
      <c r="K506" s="1">
        <v>15000</v>
      </c>
      <c r="L506" s="1">
        <v>0</v>
      </c>
      <c r="M506" s="1" t="s">
        <v>34</v>
      </c>
      <c r="N506" s="1" t="s">
        <v>35</v>
      </c>
      <c r="O506" s="1" t="s">
        <v>78</v>
      </c>
      <c r="P506" s="1" t="s">
        <v>79</v>
      </c>
      <c r="Q506" s="1" t="s">
        <v>38</v>
      </c>
      <c r="R506" s="1" t="s">
        <v>5438</v>
      </c>
      <c r="S506" s="3">
        <v>919171000000</v>
      </c>
      <c r="T506" s="1" t="s">
        <v>74</v>
      </c>
      <c r="U506" s="1">
        <v>61</v>
      </c>
      <c r="V506" s="1">
        <v>72</v>
      </c>
      <c r="W506" s="1" t="s">
        <v>52</v>
      </c>
      <c r="X506" s="1">
        <v>161713</v>
      </c>
      <c r="Y506" s="2">
        <v>38373</v>
      </c>
      <c r="Z506" s="1">
        <v>-13.8210262828535</v>
      </c>
      <c r="AA506" s="1">
        <v>19</v>
      </c>
      <c r="AB506" s="1">
        <v>676000</v>
      </c>
      <c r="AC506" s="1">
        <f t="shared" si="7"/>
        <v>736000</v>
      </c>
    </row>
    <row r="507" spans="1:29" x14ac:dyDescent="0.25">
      <c r="A507" s="1" t="s">
        <v>5463</v>
      </c>
      <c r="B507" s="1" t="s">
        <v>5464</v>
      </c>
      <c r="C507" s="1" t="s">
        <v>5465</v>
      </c>
      <c r="D507" s="1">
        <v>2019</v>
      </c>
      <c r="E507" s="1" t="s">
        <v>31</v>
      </c>
      <c r="F507" s="1">
        <v>4</v>
      </c>
      <c r="G507" s="1" t="s">
        <v>32</v>
      </c>
      <c r="H507" s="1" t="s">
        <v>102</v>
      </c>
      <c r="I507" s="1">
        <v>169000</v>
      </c>
      <c r="J507" s="1">
        <v>154000</v>
      </c>
      <c r="K507" s="1">
        <v>15000</v>
      </c>
      <c r="L507" s="1">
        <v>0</v>
      </c>
      <c r="M507" s="1" t="s">
        <v>34</v>
      </c>
      <c r="N507" s="1" t="s">
        <v>63</v>
      </c>
      <c r="O507" s="1" t="s">
        <v>78</v>
      </c>
      <c r="P507" s="1" t="s">
        <v>79</v>
      </c>
      <c r="Q507" s="1" t="s">
        <v>38</v>
      </c>
      <c r="R507" s="1" t="s">
        <v>5466</v>
      </c>
      <c r="S507" s="3">
        <v>918136000000</v>
      </c>
      <c r="T507" s="1" t="s">
        <v>74</v>
      </c>
      <c r="U507" s="1">
        <v>61</v>
      </c>
      <c r="V507" s="1">
        <v>62</v>
      </c>
      <c r="W507" s="1" t="s">
        <v>52</v>
      </c>
      <c r="X507" s="1">
        <v>486861</v>
      </c>
      <c r="Y507" s="2">
        <v>38872</v>
      </c>
      <c r="Z507" s="1">
        <v>-13.8210262828535</v>
      </c>
      <c r="AA507" s="1">
        <v>18</v>
      </c>
      <c r="AB507" s="1">
        <v>676000</v>
      </c>
      <c r="AC507" s="1">
        <f t="shared" si="7"/>
        <v>736000</v>
      </c>
    </row>
    <row r="508" spans="1:29" x14ac:dyDescent="0.25">
      <c r="A508" s="1" t="s">
        <v>5505</v>
      </c>
      <c r="B508" s="1" t="s">
        <v>5506</v>
      </c>
      <c r="C508" s="1" t="s">
        <v>5507</v>
      </c>
      <c r="D508" s="1">
        <v>2019</v>
      </c>
      <c r="E508" s="1" t="s">
        <v>31</v>
      </c>
      <c r="F508" s="1">
        <v>4</v>
      </c>
      <c r="G508" s="1" t="s">
        <v>32</v>
      </c>
      <c r="H508" s="1" t="s">
        <v>122</v>
      </c>
      <c r="I508" s="1">
        <v>169000</v>
      </c>
      <c r="J508" s="1">
        <v>154000</v>
      </c>
      <c r="K508" s="1">
        <v>15000</v>
      </c>
      <c r="L508" s="1">
        <v>0</v>
      </c>
      <c r="M508" s="1" t="s">
        <v>34</v>
      </c>
      <c r="N508" s="1" t="s">
        <v>35</v>
      </c>
      <c r="O508" s="1" t="s">
        <v>78</v>
      </c>
      <c r="P508" s="1" t="s">
        <v>79</v>
      </c>
      <c r="Q508" s="1" t="s">
        <v>38</v>
      </c>
      <c r="R508" s="1" t="s">
        <v>5508</v>
      </c>
      <c r="S508" s="3">
        <v>919778000000</v>
      </c>
      <c r="T508" s="1" t="s">
        <v>74</v>
      </c>
      <c r="U508" s="1">
        <v>60</v>
      </c>
      <c r="V508" s="1">
        <v>82</v>
      </c>
      <c r="W508" s="1" t="s">
        <v>52</v>
      </c>
      <c r="X508" s="1">
        <v>671664</v>
      </c>
      <c r="Y508" s="2">
        <v>38189</v>
      </c>
      <c r="Z508" s="1">
        <v>-14.8210262828535</v>
      </c>
      <c r="AA508" s="1">
        <v>19</v>
      </c>
      <c r="AB508" s="1">
        <v>676000</v>
      </c>
      <c r="AC508" s="1">
        <f t="shared" si="7"/>
        <v>736000</v>
      </c>
    </row>
    <row r="509" spans="1:29" x14ac:dyDescent="0.25">
      <c r="A509" s="1" t="s">
        <v>5511</v>
      </c>
      <c r="B509" s="1" t="s">
        <v>5512</v>
      </c>
      <c r="C509" s="1" t="s">
        <v>5513</v>
      </c>
      <c r="D509" s="1">
        <v>2019</v>
      </c>
      <c r="E509" s="1" t="s">
        <v>31</v>
      </c>
      <c r="F509" s="1">
        <v>4</v>
      </c>
      <c r="G509" s="1" t="s">
        <v>32</v>
      </c>
      <c r="H509" s="1" t="s">
        <v>102</v>
      </c>
      <c r="I509" s="1">
        <v>169000</v>
      </c>
      <c r="J509" s="1">
        <v>154000</v>
      </c>
      <c r="K509" s="1">
        <v>15000</v>
      </c>
      <c r="L509" s="1">
        <v>0</v>
      </c>
      <c r="M509" s="1" t="s">
        <v>34</v>
      </c>
      <c r="N509" s="1" t="s">
        <v>70</v>
      </c>
      <c r="O509" s="1" t="s">
        <v>48</v>
      </c>
      <c r="P509" s="1" t="s">
        <v>49</v>
      </c>
      <c r="Q509" s="1" t="s">
        <v>38</v>
      </c>
      <c r="R509" s="1" t="s">
        <v>5514</v>
      </c>
      <c r="S509" s="3">
        <v>919847000000</v>
      </c>
      <c r="T509" s="1" t="s">
        <v>74</v>
      </c>
      <c r="U509" s="1">
        <v>60</v>
      </c>
      <c r="V509" s="1">
        <v>89</v>
      </c>
      <c r="W509" s="1" t="s">
        <v>41</v>
      </c>
      <c r="X509" s="1">
        <v>258026</v>
      </c>
      <c r="Y509" s="2">
        <v>36780</v>
      </c>
      <c r="Z509" s="1">
        <v>-14.8210262828535</v>
      </c>
      <c r="AA509" s="1">
        <v>23</v>
      </c>
      <c r="AB509" s="1">
        <v>676000</v>
      </c>
      <c r="AC509" s="1">
        <f t="shared" si="7"/>
        <v>736000</v>
      </c>
    </row>
    <row r="510" spans="1:29" x14ac:dyDescent="0.25">
      <c r="A510" s="1" t="s">
        <v>5527</v>
      </c>
      <c r="B510" s="1" t="s">
        <v>2732</v>
      </c>
      <c r="C510" s="1" t="s">
        <v>2733</v>
      </c>
      <c r="D510" s="1">
        <v>2019</v>
      </c>
      <c r="E510" s="1" t="s">
        <v>31</v>
      </c>
      <c r="F510" s="1">
        <v>4</v>
      </c>
      <c r="G510" s="1" t="s">
        <v>32</v>
      </c>
      <c r="H510" s="1" t="s">
        <v>62</v>
      </c>
      <c r="I510" s="1">
        <v>169000</v>
      </c>
      <c r="J510" s="1">
        <v>154000</v>
      </c>
      <c r="K510" s="1">
        <v>15000</v>
      </c>
      <c r="L510" s="1">
        <v>0</v>
      </c>
      <c r="M510" s="1" t="s">
        <v>34</v>
      </c>
      <c r="N510" s="1" t="s">
        <v>63</v>
      </c>
      <c r="O510" s="1" t="s">
        <v>103</v>
      </c>
      <c r="P510" s="1" t="s">
        <v>104</v>
      </c>
      <c r="Q510" s="1" t="s">
        <v>38</v>
      </c>
      <c r="R510" s="1" t="s">
        <v>5528</v>
      </c>
      <c r="S510" s="3">
        <v>918329000000</v>
      </c>
      <c r="T510" s="1" t="s">
        <v>51</v>
      </c>
      <c r="U510" s="1">
        <v>60</v>
      </c>
      <c r="V510" s="1">
        <v>88</v>
      </c>
      <c r="W510" s="1" t="s">
        <v>41</v>
      </c>
      <c r="X510" s="1">
        <v>626302</v>
      </c>
      <c r="Y510" s="2">
        <v>38102</v>
      </c>
      <c r="Z510" s="1">
        <v>-14.8210262828535</v>
      </c>
      <c r="AA510" s="1">
        <v>20</v>
      </c>
      <c r="AB510" s="1">
        <v>676000</v>
      </c>
      <c r="AC510" s="1">
        <f t="shared" si="7"/>
        <v>736000</v>
      </c>
    </row>
    <row r="511" spans="1:29" x14ac:dyDescent="0.25">
      <c r="A511" s="1" t="s">
        <v>5559</v>
      </c>
      <c r="B511" s="1" t="s">
        <v>5560</v>
      </c>
      <c r="C511" s="1" t="s">
        <v>5561</v>
      </c>
      <c r="D511" s="1">
        <v>2019</v>
      </c>
      <c r="E511" s="1" t="s">
        <v>31</v>
      </c>
      <c r="F511" s="1">
        <v>4</v>
      </c>
      <c r="G511" s="1" t="s">
        <v>32</v>
      </c>
      <c r="H511" s="1" t="s">
        <v>33</v>
      </c>
      <c r="I511" s="1">
        <v>169000</v>
      </c>
      <c r="J511" s="1">
        <v>154000</v>
      </c>
      <c r="K511" s="1">
        <v>15000</v>
      </c>
      <c r="L511" s="1">
        <v>0</v>
      </c>
      <c r="M511" s="1" t="s">
        <v>34</v>
      </c>
      <c r="N511" s="1" t="s">
        <v>63</v>
      </c>
      <c r="O511" s="1" t="s">
        <v>91</v>
      </c>
      <c r="P511" s="1" t="s">
        <v>92</v>
      </c>
      <c r="Q511" s="1" t="s">
        <v>38</v>
      </c>
      <c r="R511" s="1" t="s">
        <v>5562</v>
      </c>
      <c r="S511" s="3">
        <v>918477000000</v>
      </c>
      <c r="T511" s="1" t="s">
        <v>98</v>
      </c>
      <c r="U511" s="1">
        <v>60</v>
      </c>
      <c r="V511" s="1">
        <v>67</v>
      </c>
      <c r="W511" s="1" t="s">
        <v>52</v>
      </c>
      <c r="X511" s="1">
        <v>642182</v>
      </c>
      <c r="Y511" s="2">
        <v>38321</v>
      </c>
      <c r="Z511" s="1">
        <v>-14.8210262828535</v>
      </c>
      <c r="AA511" s="1">
        <v>19</v>
      </c>
      <c r="AB511" s="1">
        <v>676000</v>
      </c>
      <c r="AC511" s="1">
        <f t="shared" si="7"/>
        <v>736000</v>
      </c>
    </row>
    <row r="512" spans="1:29" x14ac:dyDescent="0.25">
      <c r="A512" s="1" t="s">
        <v>5567</v>
      </c>
      <c r="B512" s="1" t="s">
        <v>5568</v>
      </c>
      <c r="C512" s="1" t="s">
        <v>5569</v>
      </c>
      <c r="D512" s="1">
        <v>2019</v>
      </c>
      <c r="E512" s="1" t="s">
        <v>31</v>
      </c>
      <c r="F512" s="1">
        <v>4</v>
      </c>
      <c r="G512" s="1" t="s">
        <v>32</v>
      </c>
      <c r="H512" s="1" t="s">
        <v>102</v>
      </c>
      <c r="I512" s="1">
        <v>169000</v>
      </c>
      <c r="J512" s="1">
        <v>154000</v>
      </c>
      <c r="K512" s="1">
        <v>15000</v>
      </c>
      <c r="L512" s="1">
        <v>0</v>
      </c>
      <c r="M512" s="1" t="s">
        <v>34</v>
      </c>
      <c r="N512" s="1" t="s">
        <v>35</v>
      </c>
      <c r="O512" s="1" t="s">
        <v>103</v>
      </c>
      <c r="P512" s="1" t="s">
        <v>104</v>
      </c>
      <c r="Q512" s="1" t="s">
        <v>38</v>
      </c>
      <c r="R512" s="1" t="s">
        <v>5570</v>
      </c>
      <c r="S512" s="3">
        <v>917399000000</v>
      </c>
      <c r="T512" s="1" t="s">
        <v>51</v>
      </c>
      <c r="U512" s="1">
        <v>60</v>
      </c>
      <c r="V512" s="1">
        <v>74</v>
      </c>
      <c r="W512" s="1" t="s">
        <v>52</v>
      </c>
      <c r="X512" s="1">
        <v>281170</v>
      </c>
      <c r="Y512" s="2">
        <v>38302</v>
      </c>
      <c r="Z512" s="1">
        <v>-14.8210262828535</v>
      </c>
      <c r="AA512" s="1">
        <v>19</v>
      </c>
      <c r="AB512" s="1">
        <v>676000</v>
      </c>
      <c r="AC512" s="1">
        <f t="shared" si="7"/>
        <v>736000</v>
      </c>
    </row>
    <row r="513" spans="1:29" x14ac:dyDescent="0.25">
      <c r="A513" s="1" t="s">
        <v>5597</v>
      </c>
      <c r="B513" s="1" t="s">
        <v>5598</v>
      </c>
      <c r="C513" s="1" t="s">
        <v>5599</v>
      </c>
      <c r="D513" s="1">
        <v>2019</v>
      </c>
      <c r="E513" s="1" t="s">
        <v>31</v>
      </c>
      <c r="F513" s="1">
        <v>4</v>
      </c>
      <c r="G513" s="1" t="s">
        <v>32</v>
      </c>
      <c r="H513" s="1" t="s">
        <v>102</v>
      </c>
      <c r="I513" s="1">
        <v>169000</v>
      </c>
      <c r="J513" s="1">
        <v>154000</v>
      </c>
      <c r="K513" s="1">
        <v>15000</v>
      </c>
      <c r="L513" s="1">
        <v>0</v>
      </c>
      <c r="M513" s="1" t="s">
        <v>34</v>
      </c>
      <c r="N513" s="1" t="s">
        <v>70</v>
      </c>
      <c r="O513" s="1" t="s">
        <v>64</v>
      </c>
      <c r="P513" s="1" t="s">
        <v>65</v>
      </c>
      <c r="Q513" s="1" t="s">
        <v>38</v>
      </c>
      <c r="R513" s="1" t="s">
        <v>5600</v>
      </c>
      <c r="S513" s="3">
        <v>919431000000</v>
      </c>
      <c r="T513" s="1" t="s">
        <v>40</v>
      </c>
      <c r="U513" s="1">
        <v>60</v>
      </c>
      <c r="V513" s="1">
        <v>62</v>
      </c>
      <c r="W513" s="1" t="s">
        <v>52</v>
      </c>
      <c r="X513" s="1">
        <v>201677</v>
      </c>
      <c r="Y513" s="2">
        <v>37983</v>
      </c>
      <c r="Z513" s="1">
        <v>-14.8210262828535</v>
      </c>
      <c r="AA513" s="1">
        <v>20</v>
      </c>
      <c r="AB513" s="1">
        <v>676000</v>
      </c>
      <c r="AC513" s="1">
        <f t="shared" si="7"/>
        <v>736000</v>
      </c>
    </row>
    <row r="514" spans="1:29" x14ac:dyDescent="0.25">
      <c r="A514" s="1" t="s">
        <v>5643</v>
      </c>
      <c r="B514" s="1" t="s">
        <v>2531</v>
      </c>
      <c r="C514" s="1" t="s">
        <v>2532</v>
      </c>
      <c r="D514" s="1">
        <v>2019</v>
      </c>
      <c r="E514" s="1" t="s">
        <v>31</v>
      </c>
      <c r="F514" s="1">
        <v>4</v>
      </c>
      <c r="G514" s="1" t="s">
        <v>32</v>
      </c>
      <c r="H514" s="1" t="s">
        <v>56</v>
      </c>
      <c r="I514" s="1">
        <v>169000</v>
      </c>
      <c r="J514" s="1">
        <v>154000</v>
      </c>
      <c r="K514" s="1">
        <v>15000</v>
      </c>
      <c r="L514" s="1">
        <v>0</v>
      </c>
      <c r="M514" s="1" t="s">
        <v>34</v>
      </c>
      <c r="N514" s="1" t="s">
        <v>70</v>
      </c>
      <c r="O514" s="1" t="s">
        <v>71</v>
      </c>
      <c r="P514" s="1" t="s">
        <v>72</v>
      </c>
      <c r="Q514" s="1" t="s">
        <v>38</v>
      </c>
      <c r="R514" s="1" t="s">
        <v>5644</v>
      </c>
      <c r="S514" s="3">
        <v>917707000000</v>
      </c>
      <c r="T514" s="1" t="s">
        <v>86</v>
      </c>
      <c r="U514" s="1">
        <v>60</v>
      </c>
      <c r="V514" s="1">
        <v>76</v>
      </c>
      <c r="W514" s="1" t="s">
        <v>41</v>
      </c>
      <c r="X514" s="1">
        <v>612703</v>
      </c>
      <c r="Y514" s="2">
        <v>38343</v>
      </c>
      <c r="Z514" s="1">
        <v>-14.8210262828535</v>
      </c>
      <c r="AA514" s="1">
        <v>19</v>
      </c>
      <c r="AB514" s="1">
        <v>676000</v>
      </c>
      <c r="AC514" s="1">
        <f t="shared" si="7"/>
        <v>736000</v>
      </c>
    </row>
    <row r="515" spans="1:29" x14ac:dyDescent="0.25">
      <c r="A515" s="1" t="s">
        <v>53</v>
      </c>
      <c r="B515" s="1" t="s">
        <v>54</v>
      </c>
      <c r="C515" s="1" t="s">
        <v>55</v>
      </c>
      <c r="D515" s="1">
        <v>2020</v>
      </c>
      <c r="E515" s="1" t="s">
        <v>31</v>
      </c>
      <c r="F515" s="1">
        <v>4</v>
      </c>
      <c r="G515" s="1" t="s">
        <v>32</v>
      </c>
      <c r="H515" s="1" t="s">
        <v>56</v>
      </c>
      <c r="I515" s="1">
        <v>169000</v>
      </c>
      <c r="J515" s="1">
        <v>154000</v>
      </c>
      <c r="K515" s="1">
        <v>15000</v>
      </c>
      <c r="L515" s="1">
        <v>0</v>
      </c>
      <c r="M515" s="1" t="s">
        <v>34</v>
      </c>
      <c r="N515" s="1" t="s">
        <v>35</v>
      </c>
      <c r="O515" s="1" t="s">
        <v>57</v>
      </c>
      <c r="P515" s="1" t="s">
        <v>57</v>
      </c>
      <c r="Q515" s="1" t="s">
        <v>38</v>
      </c>
      <c r="R515" s="1" t="s">
        <v>58</v>
      </c>
      <c r="S515" s="3">
        <v>919863000000</v>
      </c>
      <c r="T515" s="1" t="s">
        <v>51</v>
      </c>
      <c r="U515" s="1">
        <v>90</v>
      </c>
      <c r="V515" s="1">
        <v>60</v>
      </c>
      <c r="W515" s="1" t="s">
        <v>41</v>
      </c>
      <c r="X515" s="1">
        <v>262058</v>
      </c>
      <c r="Y515" s="2">
        <v>37635</v>
      </c>
      <c r="Z515" s="1">
        <v>15.1789737171464</v>
      </c>
      <c r="AA515" s="1">
        <v>21</v>
      </c>
      <c r="AB515" s="1">
        <v>676000</v>
      </c>
      <c r="AC515" s="1">
        <f t="shared" si="7"/>
        <v>736000</v>
      </c>
    </row>
    <row r="516" spans="1:29" x14ac:dyDescent="0.25">
      <c r="A516" s="1" t="s">
        <v>87</v>
      </c>
      <c r="B516" s="1" t="s">
        <v>88</v>
      </c>
      <c r="C516" s="1" t="s">
        <v>89</v>
      </c>
      <c r="D516" s="1">
        <v>2020</v>
      </c>
      <c r="E516" s="1" t="s">
        <v>31</v>
      </c>
      <c r="F516" s="1">
        <v>4</v>
      </c>
      <c r="G516" s="1" t="s">
        <v>32</v>
      </c>
      <c r="H516" s="1" t="s">
        <v>90</v>
      </c>
      <c r="I516" s="1">
        <v>169000</v>
      </c>
      <c r="J516" s="1">
        <v>154000</v>
      </c>
      <c r="K516" s="1">
        <v>15000</v>
      </c>
      <c r="L516" s="1">
        <v>0</v>
      </c>
      <c r="M516" s="1" t="s">
        <v>34</v>
      </c>
      <c r="N516" s="1" t="s">
        <v>70</v>
      </c>
      <c r="O516" s="1" t="s">
        <v>91</v>
      </c>
      <c r="P516" s="1" t="s">
        <v>92</v>
      </c>
      <c r="Q516" s="1" t="s">
        <v>38</v>
      </c>
      <c r="R516" s="1" t="s">
        <v>93</v>
      </c>
      <c r="S516" s="3">
        <v>918847000000</v>
      </c>
      <c r="T516" s="1" t="s">
        <v>74</v>
      </c>
      <c r="U516" s="1">
        <v>90</v>
      </c>
      <c r="V516" s="1">
        <v>77</v>
      </c>
      <c r="W516" s="1" t="s">
        <v>41</v>
      </c>
      <c r="X516" s="1">
        <v>654042</v>
      </c>
      <c r="Y516" s="2">
        <v>37942</v>
      </c>
      <c r="Z516" s="1">
        <v>15.1789737171464</v>
      </c>
      <c r="AA516" s="1">
        <v>20</v>
      </c>
      <c r="AB516" s="1">
        <v>676000</v>
      </c>
      <c r="AC516" s="1">
        <f t="shared" si="7"/>
        <v>736000</v>
      </c>
    </row>
    <row r="517" spans="1:29" x14ac:dyDescent="0.25">
      <c r="A517" s="1" t="s">
        <v>106</v>
      </c>
      <c r="B517" s="1" t="s">
        <v>107</v>
      </c>
      <c r="C517" s="1" t="s">
        <v>108</v>
      </c>
      <c r="D517" s="1">
        <v>2020</v>
      </c>
      <c r="E517" s="1" t="s">
        <v>31</v>
      </c>
      <c r="F517" s="1">
        <v>4</v>
      </c>
      <c r="G517" s="1" t="s">
        <v>32</v>
      </c>
      <c r="H517" s="1" t="s">
        <v>62</v>
      </c>
      <c r="I517" s="1">
        <v>169000</v>
      </c>
      <c r="J517" s="1">
        <v>154000</v>
      </c>
      <c r="K517" s="1">
        <v>15000</v>
      </c>
      <c r="L517" s="1">
        <v>0</v>
      </c>
      <c r="M517" s="1" t="s">
        <v>5649</v>
      </c>
      <c r="N517" s="1" t="s">
        <v>70</v>
      </c>
      <c r="O517" s="1" t="s">
        <v>48</v>
      </c>
      <c r="P517" s="1" t="s">
        <v>49</v>
      </c>
      <c r="Q517" s="1" t="s">
        <v>38</v>
      </c>
      <c r="R517" s="1" t="s">
        <v>109</v>
      </c>
      <c r="S517" s="3">
        <v>919832000000</v>
      </c>
      <c r="T517" s="1" t="s">
        <v>86</v>
      </c>
      <c r="U517" s="1">
        <v>90</v>
      </c>
      <c r="V517" s="1">
        <v>65</v>
      </c>
      <c r="W517" s="1" t="s">
        <v>52</v>
      </c>
      <c r="X517" s="1">
        <v>162264</v>
      </c>
      <c r="Y517" s="2">
        <v>38036</v>
      </c>
      <c r="Z517" s="1">
        <v>15.1789737171464</v>
      </c>
      <c r="AA517" s="1">
        <v>20</v>
      </c>
      <c r="AB517" s="1">
        <v>676000</v>
      </c>
      <c r="AC517" s="1">
        <f t="shared" si="7"/>
        <v>736000</v>
      </c>
    </row>
    <row r="518" spans="1:29" x14ac:dyDescent="0.25">
      <c r="A518" s="1" t="s">
        <v>181</v>
      </c>
      <c r="B518" s="1" t="s">
        <v>182</v>
      </c>
      <c r="C518" s="1" t="s">
        <v>183</v>
      </c>
      <c r="D518" s="1">
        <v>2020</v>
      </c>
      <c r="E518" s="1" t="s">
        <v>31</v>
      </c>
      <c r="F518" s="1">
        <v>4</v>
      </c>
      <c r="G518" s="1" t="s">
        <v>32</v>
      </c>
      <c r="H518" s="1" t="s">
        <v>102</v>
      </c>
      <c r="I518" s="1">
        <v>169000</v>
      </c>
      <c r="J518" s="1">
        <v>154000</v>
      </c>
      <c r="K518" s="1">
        <v>15000</v>
      </c>
      <c r="L518" s="1">
        <v>0</v>
      </c>
      <c r="M518" s="1" t="s">
        <v>34</v>
      </c>
      <c r="N518" s="1" t="s">
        <v>70</v>
      </c>
      <c r="O518" s="1" t="s">
        <v>103</v>
      </c>
      <c r="P518" s="1" t="s">
        <v>104</v>
      </c>
      <c r="Q518" s="1" t="s">
        <v>38</v>
      </c>
      <c r="R518" s="1" t="s">
        <v>184</v>
      </c>
      <c r="S518" s="3">
        <v>918401000000</v>
      </c>
      <c r="T518" s="1" t="s">
        <v>74</v>
      </c>
      <c r="U518" s="1">
        <v>90</v>
      </c>
      <c r="V518" s="1">
        <v>61</v>
      </c>
      <c r="W518" s="1" t="s">
        <v>41</v>
      </c>
      <c r="X518" s="1">
        <v>551854</v>
      </c>
      <c r="Y518" s="2">
        <v>38146</v>
      </c>
      <c r="Z518" s="1">
        <v>15.1789737171464</v>
      </c>
      <c r="AA518" s="1">
        <v>20</v>
      </c>
      <c r="AB518" s="1">
        <v>676000</v>
      </c>
      <c r="AC518" s="1">
        <f t="shared" ref="AC518:AC581" si="8">IF(F518 = 2, AB518+30000,AB518+60000)</f>
        <v>736000</v>
      </c>
    </row>
    <row r="519" spans="1:29" x14ac:dyDescent="0.25">
      <c r="A519" s="1" t="s">
        <v>199</v>
      </c>
      <c r="B519" s="1" t="s">
        <v>200</v>
      </c>
      <c r="C519" s="1" t="s">
        <v>201</v>
      </c>
      <c r="D519" s="1">
        <v>2020</v>
      </c>
      <c r="E519" s="1" t="s">
        <v>45</v>
      </c>
      <c r="F519" s="1">
        <v>2</v>
      </c>
      <c r="G519" s="1" t="s">
        <v>46</v>
      </c>
      <c r="H519" s="1" t="s">
        <v>62</v>
      </c>
      <c r="I519" s="1">
        <v>92000</v>
      </c>
      <c r="J519" s="1">
        <v>77000</v>
      </c>
      <c r="K519" s="1">
        <v>15000</v>
      </c>
      <c r="L519" s="1">
        <v>0</v>
      </c>
      <c r="M519" s="1" t="s">
        <v>34</v>
      </c>
      <c r="N519" s="1" t="s">
        <v>35</v>
      </c>
      <c r="O519" s="1" t="s">
        <v>188</v>
      </c>
      <c r="P519" s="1" t="s">
        <v>189</v>
      </c>
      <c r="Q519" s="1" t="s">
        <v>38</v>
      </c>
      <c r="R519" s="1" t="s">
        <v>202</v>
      </c>
      <c r="S519" s="3">
        <v>918560000000</v>
      </c>
      <c r="T519" s="1" t="s">
        <v>51</v>
      </c>
      <c r="U519" s="1">
        <v>90</v>
      </c>
      <c r="V519" s="1">
        <v>89</v>
      </c>
      <c r="W519" s="1" t="s">
        <v>52</v>
      </c>
      <c r="X519" s="1">
        <v>449753</v>
      </c>
      <c r="Y519" s="2">
        <v>35393</v>
      </c>
      <c r="Z519" s="1">
        <v>15.1789737171464</v>
      </c>
      <c r="AA519" s="1">
        <v>27</v>
      </c>
      <c r="AB519" s="1">
        <v>184000</v>
      </c>
      <c r="AC519" s="1">
        <f t="shared" si="8"/>
        <v>214000</v>
      </c>
    </row>
    <row r="520" spans="1:29" x14ac:dyDescent="0.25">
      <c r="A520" s="1" t="s">
        <v>216</v>
      </c>
      <c r="B520" s="1" t="s">
        <v>217</v>
      </c>
      <c r="C520" s="1" t="s">
        <v>218</v>
      </c>
      <c r="D520" s="1">
        <v>2020</v>
      </c>
      <c r="E520" s="1" t="s">
        <v>31</v>
      </c>
      <c r="F520" s="1">
        <v>4</v>
      </c>
      <c r="G520" s="1" t="s">
        <v>32</v>
      </c>
      <c r="H520" s="1" t="s">
        <v>90</v>
      </c>
      <c r="I520" s="1">
        <v>169000</v>
      </c>
      <c r="J520" s="1">
        <v>154000</v>
      </c>
      <c r="K520" s="1">
        <v>15000</v>
      </c>
      <c r="L520" s="1">
        <v>0</v>
      </c>
      <c r="M520" s="1" t="s">
        <v>34</v>
      </c>
      <c r="N520" s="1" t="s">
        <v>35</v>
      </c>
      <c r="O520" s="1" t="s">
        <v>36</v>
      </c>
      <c r="P520" s="1" t="s">
        <v>37</v>
      </c>
      <c r="Q520" s="1" t="s">
        <v>38</v>
      </c>
      <c r="R520" s="1" t="s">
        <v>219</v>
      </c>
      <c r="S520" s="3">
        <v>919432000000</v>
      </c>
      <c r="T520" s="1" t="s">
        <v>74</v>
      </c>
      <c r="U520" s="1">
        <v>90</v>
      </c>
      <c r="V520" s="1">
        <v>69</v>
      </c>
      <c r="W520" s="1" t="s">
        <v>52</v>
      </c>
      <c r="X520" s="1">
        <v>785809</v>
      </c>
      <c r="Y520" s="2">
        <v>38610</v>
      </c>
      <c r="Z520" s="1">
        <v>15.1789737171464</v>
      </c>
      <c r="AA520" s="1">
        <v>18</v>
      </c>
      <c r="AB520" s="1">
        <v>676000</v>
      </c>
      <c r="AC520" s="1">
        <f t="shared" si="8"/>
        <v>736000</v>
      </c>
    </row>
    <row r="521" spans="1:29" x14ac:dyDescent="0.25">
      <c r="A521" s="1" t="s">
        <v>248</v>
      </c>
      <c r="B521" s="1" t="s">
        <v>249</v>
      </c>
      <c r="C521" s="1" t="s">
        <v>250</v>
      </c>
      <c r="D521" s="1">
        <v>2020</v>
      </c>
      <c r="E521" s="1" t="s">
        <v>31</v>
      </c>
      <c r="F521" s="1">
        <v>4</v>
      </c>
      <c r="G521" s="1" t="s">
        <v>32</v>
      </c>
      <c r="H521" s="1" t="s">
        <v>90</v>
      </c>
      <c r="I521" s="1">
        <v>169000</v>
      </c>
      <c r="J521" s="1">
        <v>154000</v>
      </c>
      <c r="K521" s="1">
        <v>15000</v>
      </c>
      <c r="L521" s="1">
        <v>0</v>
      </c>
      <c r="M521" s="1" t="s">
        <v>34</v>
      </c>
      <c r="N521" s="1" t="s">
        <v>70</v>
      </c>
      <c r="O521" s="1" t="s">
        <v>57</v>
      </c>
      <c r="P521" s="1" t="s">
        <v>57</v>
      </c>
      <c r="Q521" s="1" t="s">
        <v>38</v>
      </c>
      <c r="R521" s="1" t="s">
        <v>251</v>
      </c>
      <c r="S521" s="3">
        <v>919827000000</v>
      </c>
      <c r="T521" s="1" t="s">
        <v>86</v>
      </c>
      <c r="U521" s="1">
        <v>90</v>
      </c>
      <c r="V521" s="1">
        <v>74</v>
      </c>
      <c r="W521" s="1" t="s">
        <v>52</v>
      </c>
      <c r="X521" s="1">
        <v>348882</v>
      </c>
      <c r="Y521" s="2">
        <v>36721</v>
      </c>
      <c r="Z521" s="1">
        <v>15.1789737171464</v>
      </c>
      <c r="AA521" s="1">
        <v>23</v>
      </c>
      <c r="AB521" s="1">
        <v>676000</v>
      </c>
      <c r="AC521" s="1">
        <f t="shared" si="8"/>
        <v>736000</v>
      </c>
    </row>
    <row r="522" spans="1:29" x14ac:dyDescent="0.25">
      <c r="A522" s="1" t="s">
        <v>280</v>
      </c>
      <c r="B522" s="1" t="s">
        <v>281</v>
      </c>
      <c r="C522" s="1" t="s">
        <v>282</v>
      </c>
      <c r="D522" s="1">
        <v>2020</v>
      </c>
      <c r="E522" s="1" t="s">
        <v>31</v>
      </c>
      <c r="F522" s="1">
        <v>4</v>
      </c>
      <c r="G522" s="1" t="s">
        <v>32</v>
      </c>
      <c r="H522" s="1" t="s">
        <v>33</v>
      </c>
      <c r="I522" s="1">
        <v>169000</v>
      </c>
      <c r="J522" s="1">
        <v>154000</v>
      </c>
      <c r="K522" s="1">
        <v>15000</v>
      </c>
      <c r="L522" s="1">
        <v>0</v>
      </c>
      <c r="M522" s="1" t="s">
        <v>34</v>
      </c>
      <c r="N522" s="1" t="s">
        <v>35</v>
      </c>
      <c r="O522" s="1" t="s">
        <v>48</v>
      </c>
      <c r="P522" s="1" t="s">
        <v>49</v>
      </c>
      <c r="Q522" s="1" t="s">
        <v>38</v>
      </c>
      <c r="R522" s="1" t="s">
        <v>283</v>
      </c>
      <c r="S522" s="3">
        <v>917162000000</v>
      </c>
      <c r="T522" s="1" t="s">
        <v>98</v>
      </c>
      <c r="U522" s="1">
        <v>90</v>
      </c>
      <c r="V522" s="1">
        <v>88</v>
      </c>
      <c r="W522" s="1" t="s">
        <v>52</v>
      </c>
      <c r="X522" s="1">
        <v>716375</v>
      </c>
      <c r="Y522" s="2">
        <v>38228</v>
      </c>
      <c r="Z522" s="1">
        <v>15.1789737171464</v>
      </c>
      <c r="AA522" s="1">
        <v>19</v>
      </c>
      <c r="AB522" s="1">
        <v>676000</v>
      </c>
      <c r="AC522" s="1">
        <f t="shared" si="8"/>
        <v>736000</v>
      </c>
    </row>
    <row r="523" spans="1:29" x14ac:dyDescent="0.25">
      <c r="A523" s="1" t="s">
        <v>288</v>
      </c>
      <c r="B523" s="1" t="s">
        <v>289</v>
      </c>
      <c r="C523" s="1" t="s">
        <v>290</v>
      </c>
      <c r="D523" s="1">
        <v>2020</v>
      </c>
      <c r="E523" s="1" t="s">
        <v>31</v>
      </c>
      <c r="F523" s="1">
        <v>4</v>
      </c>
      <c r="G523" s="1" t="s">
        <v>32</v>
      </c>
      <c r="H523" s="1" t="s">
        <v>210</v>
      </c>
      <c r="I523" s="1">
        <v>169000</v>
      </c>
      <c r="J523" s="1">
        <v>154000</v>
      </c>
      <c r="K523" s="1">
        <v>15000</v>
      </c>
      <c r="L523" s="1">
        <v>0</v>
      </c>
      <c r="M523" s="1" t="s">
        <v>34</v>
      </c>
      <c r="N523" s="1" t="s">
        <v>63</v>
      </c>
      <c r="O523" s="1" t="s">
        <v>78</v>
      </c>
      <c r="P523" s="1" t="s">
        <v>79</v>
      </c>
      <c r="Q523" s="1" t="s">
        <v>38</v>
      </c>
      <c r="R523" s="1" t="s">
        <v>291</v>
      </c>
      <c r="S523" s="3">
        <v>919385000000</v>
      </c>
      <c r="T523" s="1" t="s">
        <v>51</v>
      </c>
      <c r="U523" s="1">
        <v>89</v>
      </c>
      <c r="V523" s="1">
        <v>63</v>
      </c>
      <c r="W523" s="1" t="s">
        <v>41</v>
      </c>
      <c r="X523" s="1">
        <v>503993</v>
      </c>
      <c r="Y523" s="2">
        <v>38822</v>
      </c>
      <c r="Z523" s="1">
        <v>14.1789737171464</v>
      </c>
      <c r="AA523" s="1">
        <v>18</v>
      </c>
      <c r="AB523" s="1">
        <v>676000</v>
      </c>
      <c r="AC523" s="1">
        <f t="shared" si="8"/>
        <v>736000</v>
      </c>
    </row>
    <row r="524" spans="1:29" x14ac:dyDescent="0.25">
      <c r="A524" s="1" t="s">
        <v>292</v>
      </c>
      <c r="B524" s="1" t="s">
        <v>293</v>
      </c>
      <c r="C524" s="1" t="s">
        <v>294</v>
      </c>
      <c r="D524" s="1">
        <v>2020</v>
      </c>
      <c r="E524" s="1" t="s">
        <v>31</v>
      </c>
      <c r="F524" s="1">
        <v>4</v>
      </c>
      <c r="G524" s="1" t="s">
        <v>32</v>
      </c>
      <c r="H524" s="1" t="s">
        <v>151</v>
      </c>
      <c r="I524" s="1">
        <v>169000</v>
      </c>
      <c r="J524" s="1">
        <v>154000</v>
      </c>
      <c r="K524" s="1">
        <v>15000</v>
      </c>
      <c r="L524" s="1">
        <v>0</v>
      </c>
      <c r="M524" s="1" t="s">
        <v>34</v>
      </c>
      <c r="N524" s="1" t="s">
        <v>63</v>
      </c>
      <c r="O524" s="1" t="s">
        <v>91</v>
      </c>
      <c r="P524" s="1" t="s">
        <v>92</v>
      </c>
      <c r="Q524" s="1" t="s">
        <v>38</v>
      </c>
      <c r="R524" s="1" t="s">
        <v>295</v>
      </c>
      <c r="S524" s="3">
        <v>918794000000</v>
      </c>
      <c r="T524" s="1" t="s">
        <v>74</v>
      </c>
      <c r="U524" s="1">
        <v>89</v>
      </c>
      <c r="V524" s="1">
        <v>74</v>
      </c>
      <c r="W524" s="1" t="s">
        <v>41</v>
      </c>
      <c r="X524" s="1">
        <v>377964</v>
      </c>
      <c r="Y524" s="2">
        <v>37152</v>
      </c>
      <c r="Z524" s="1">
        <v>14.1789737171464</v>
      </c>
      <c r="AA524" s="1">
        <v>22</v>
      </c>
      <c r="AB524" s="1">
        <v>676000</v>
      </c>
      <c r="AC524" s="1">
        <f t="shared" si="8"/>
        <v>736000</v>
      </c>
    </row>
    <row r="525" spans="1:29" x14ac:dyDescent="0.25">
      <c r="A525" s="1" t="s">
        <v>320</v>
      </c>
      <c r="B525" s="1" t="s">
        <v>321</v>
      </c>
      <c r="C525" s="1" t="s">
        <v>322</v>
      </c>
      <c r="D525" s="1">
        <v>2020</v>
      </c>
      <c r="E525" s="1" t="s">
        <v>31</v>
      </c>
      <c r="F525" s="1">
        <v>4</v>
      </c>
      <c r="G525" s="1" t="s">
        <v>32</v>
      </c>
      <c r="H525" s="1" t="s">
        <v>56</v>
      </c>
      <c r="I525" s="1">
        <v>169000</v>
      </c>
      <c r="J525" s="1">
        <v>154000</v>
      </c>
      <c r="K525" s="1">
        <v>15000</v>
      </c>
      <c r="L525" s="1">
        <v>0</v>
      </c>
      <c r="M525" s="1" t="s">
        <v>34</v>
      </c>
      <c r="N525" s="1" t="s">
        <v>70</v>
      </c>
      <c r="O525" s="1" t="s">
        <v>57</v>
      </c>
      <c r="P525" s="1" t="s">
        <v>57</v>
      </c>
      <c r="Q525" s="1" t="s">
        <v>38</v>
      </c>
      <c r="R525" s="1" t="s">
        <v>323</v>
      </c>
      <c r="S525" s="3">
        <v>918228000000</v>
      </c>
      <c r="T525" s="1" t="s">
        <v>51</v>
      </c>
      <c r="U525" s="1">
        <v>89</v>
      </c>
      <c r="V525" s="1">
        <v>68</v>
      </c>
      <c r="W525" s="1" t="s">
        <v>52</v>
      </c>
      <c r="X525" s="1">
        <v>645306</v>
      </c>
      <c r="Y525" s="2">
        <v>37646</v>
      </c>
      <c r="Z525" s="1">
        <v>14.1789737171464</v>
      </c>
      <c r="AA525" s="1">
        <v>21</v>
      </c>
      <c r="AB525" s="1">
        <v>676000</v>
      </c>
      <c r="AC525" s="1">
        <f t="shared" si="8"/>
        <v>736000</v>
      </c>
    </row>
    <row r="526" spans="1:29" x14ac:dyDescent="0.25">
      <c r="A526" s="1" t="s">
        <v>328</v>
      </c>
      <c r="B526" s="1" t="s">
        <v>329</v>
      </c>
      <c r="C526" s="1" t="s">
        <v>330</v>
      </c>
      <c r="D526" s="1">
        <v>2020</v>
      </c>
      <c r="E526" s="1" t="s">
        <v>31</v>
      </c>
      <c r="F526" s="1">
        <v>4</v>
      </c>
      <c r="G526" s="1" t="s">
        <v>32</v>
      </c>
      <c r="H526" s="1" t="s">
        <v>210</v>
      </c>
      <c r="I526" s="1">
        <v>169000</v>
      </c>
      <c r="J526" s="1">
        <v>154000</v>
      </c>
      <c r="K526" s="1">
        <v>15000</v>
      </c>
      <c r="L526" s="1">
        <v>0</v>
      </c>
      <c r="M526" s="1" t="s">
        <v>34</v>
      </c>
      <c r="N526" s="1" t="s">
        <v>35</v>
      </c>
      <c r="O526" s="1" t="s">
        <v>91</v>
      </c>
      <c r="P526" s="1" t="s">
        <v>92</v>
      </c>
      <c r="Q526" s="1" t="s">
        <v>38</v>
      </c>
      <c r="R526" s="1" t="s">
        <v>331</v>
      </c>
      <c r="S526" s="3">
        <v>917335000000</v>
      </c>
      <c r="T526" s="1" t="s">
        <v>40</v>
      </c>
      <c r="U526" s="1">
        <v>89</v>
      </c>
      <c r="V526" s="1">
        <v>66</v>
      </c>
      <c r="W526" s="1" t="s">
        <v>41</v>
      </c>
      <c r="X526" s="1">
        <v>317337</v>
      </c>
      <c r="Y526" s="2">
        <v>38456</v>
      </c>
      <c r="Z526" s="1">
        <v>14.1789737171464</v>
      </c>
      <c r="AA526" s="1">
        <v>19</v>
      </c>
      <c r="AB526" s="1">
        <v>676000</v>
      </c>
      <c r="AC526" s="1">
        <f t="shared" si="8"/>
        <v>736000</v>
      </c>
    </row>
    <row r="527" spans="1:29" x14ac:dyDescent="0.25">
      <c r="A527" s="1" t="s">
        <v>340</v>
      </c>
      <c r="B527" s="1" t="s">
        <v>341</v>
      </c>
      <c r="C527" s="1" t="s">
        <v>342</v>
      </c>
      <c r="D527" s="1">
        <v>2020</v>
      </c>
      <c r="E527" s="1" t="s">
        <v>31</v>
      </c>
      <c r="F527" s="1">
        <v>4</v>
      </c>
      <c r="G527" s="1" t="s">
        <v>32</v>
      </c>
      <c r="H527" s="1" t="s">
        <v>122</v>
      </c>
      <c r="I527" s="1">
        <v>169000</v>
      </c>
      <c r="J527" s="1">
        <v>154000</v>
      </c>
      <c r="K527" s="1">
        <v>15000</v>
      </c>
      <c r="L527" s="1">
        <v>0</v>
      </c>
      <c r="M527" s="1" t="s">
        <v>34</v>
      </c>
      <c r="N527" s="1" t="s">
        <v>63</v>
      </c>
      <c r="O527" s="1" t="s">
        <v>64</v>
      </c>
      <c r="P527" s="1" t="s">
        <v>65</v>
      </c>
      <c r="Q527" s="1" t="s">
        <v>38</v>
      </c>
      <c r="R527" s="1" t="s">
        <v>343</v>
      </c>
      <c r="S527" s="3">
        <v>917713000000</v>
      </c>
      <c r="T527" s="1" t="s">
        <v>86</v>
      </c>
      <c r="U527" s="1">
        <v>89</v>
      </c>
      <c r="V527" s="1">
        <v>87</v>
      </c>
      <c r="W527" s="1" t="s">
        <v>41</v>
      </c>
      <c r="X527" s="1">
        <v>324336</v>
      </c>
      <c r="Y527" s="2">
        <v>38494</v>
      </c>
      <c r="Z527" s="1">
        <v>14.1789737171464</v>
      </c>
      <c r="AA527" s="1">
        <v>19</v>
      </c>
      <c r="AB527" s="1">
        <v>676000</v>
      </c>
      <c r="AC527" s="1">
        <f t="shared" si="8"/>
        <v>736000</v>
      </c>
    </row>
    <row r="528" spans="1:29" x14ac:dyDescent="0.25">
      <c r="A528" s="1" t="s">
        <v>364</v>
      </c>
      <c r="B528" s="1" t="s">
        <v>365</v>
      </c>
      <c r="C528" s="1" t="s">
        <v>366</v>
      </c>
      <c r="D528" s="1">
        <v>2020</v>
      </c>
      <c r="E528" s="1" t="s">
        <v>31</v>
      </c>
      <c r="F528" s="1">
        <v>4</v>
      </c>
      <c r="G528" s="1" t="s">
        <v>32</v>
      </c>
      <c r="H528" s="1" t="s">
        <v>113</v>
      </c>
      <c r="I528" s="1">
        <v>169000</v>
      </c>
      <c r="J528" s="1">
        <v>154000</v>
      </c>
      <c r="K528" s="1">
        <v>15000</v>
      </c>
      <c r="L528" s="1">
        <v>0</v>
      </c>
      <c r="M528" s="1" t="s">
        <v>34</v>
      </c>
      <c r="N528" s="1" t="s">
        <v>70</v>
      </c>
      <c r="O528" s="1" t="s">
        <v>57</v>
      </c>
      <c r="P528" s="1" t="s">
        <v>57</v>
      </c>
      <c r="Q528" s="1" t="s">
        <v>38</v>
      </c>
      <c r="R528" s="1" t="s">
        <v>367</v>
      </c>
      <c r="S528" s="3">
        <v>919242000000</v>
      </c>
      <c r="T528" s="1" t="s">
        <v>51</v>
      </c>
      <c r="U528" s="1">
        <v>89</v>
      </c>
      <c r="V528" s="1">
        <v>63</v>
      </c>
      <c r="W528" s="1" t="s">
        <v>41</v>
      </c>
      <c r="X528" s="1">
        <v>102345</v>
      </c>
      <c r="Y528" s="2">
        <v>38217</v>
      </c>
      <c r="Z528" s="1">
        <v>14.1789737171464</v>
      </c>
      <c r="AA528" s="1">
        <v>19</v>
      </c>
      <c r="AB528" s="1">
        <v>676000</v>
      </c>
      <c r="AC528" s="1">
        <f t="shared" si="8"/>
        <v>736000</v>
      </c>
    </row>
    <row r="529" spans="1:29" x14ac:dyDescent="0.25">
      <c r="A529" s="1" t="s">
        <v>368</v>
      </c>
      <c r="B529" s="1" t="s">
        <v>369</v>
      </c>
      <c r="C529" s="1" t="s">
        <v>370</v>
      </c>
      <c r="D529" s="1">
        <v>2020</v>
      </c>
      <c r="E529" s="1" t="s">
        <v>31</v>
      </c>
      <c r="F529" s="1">
        <v>4</v>
      </c>
      <c r="G529" s="1" t="s">
        <v>32</v>
      </c>
      <c r="H529" s="1" t="s">
        <v>56</v>
      </c>
      <c r="I529" s="1">
        <v>169000</v>
      </c>
      <c r="J529" s="1">
        <v>154000</v>
      </c>
      <c r="K529" s="1">
        <v>15000</v>
      </c>
      <c r="L529" s="1">
        <v>0</v>
      </c>
      <c r="M529" s="1" t="s">
        <v>34</v>
      </c>
      <c r="N529" s="1" t="s">
        <v>63</v>
      </c>
      <c r="O529" s="1" t="s">
        <v>78</v>
      </c>
      <c r="P529" s="1" t="s">
        <v>79</v>
      </c>
      <c r="Q529" s="1" t="s">
        <v>38</v>
      </c>
      <c r="R529" s="1" t="s">
        <v>371</v>
      </c>
      <c r="S529" s="3">
        <v>919035000000</v>
      </c>
      <c r="T529" s="1" t="s">
        <v>86</v>
      </c>
      <c r="U529" s="1">
        <v>89</v>
      </c>
      <c r="V529" s="1">
        <v>69</v>
      </c>
      <c r="W529" s="1" t="s">
        <v>52</v>
      </c>
      <c r="X529" s="1">
        <v>539953</v>
      </c>
      <c r="Y529" s="2">
        <v>37921</v>
      </c>
      <c r="Z529" s="1">
        <v>14.1789737171464</v>
      </c>
      <c r="AA529" s="1">
        <v>20</v>
      </c>
      <c r="AB529" s="1">
        <v>676000</v>
      </c>
      <c r="AC529" s="1">
        <f t="shared" si="8"/>
        <v>736000</v>
      </c>
    </row>
    <row r="530" spans="1:29" x14ac:dyDescent="0.25">
      <c r="A530" s="1" t="s">
        <v>400</v>
      </c>
      <c r="B530" s="1" t="s">
        <v>401</v>
      </c>
      <c r="C530" s="1" t="s">
        <v>402</v>
      </c>
      <c r="D530" s="1">
        <v>2020</v>
      </c>
      <c r="E530" s="1" t="s">
        <v>31</v>
      </c>
      <c r="F530" s="1">
        <v>4</v>
      </c>
      <c r="G530" s="1" t="s">
        <v>32</v>
      </c>
      <c r="H530" s="1" t="s">
        <v>62</v>
      </c>
      <c r="I530" s="1">
        <v>169000</v>
      </c>
      <c r="J530" s="1">
        <v>154000</v>
      </c>
      <c r="K530" s="1">
        <v>15000</v>
      </c>
      <c r="L530" s="1">
        <v>0</v>
      </c>
      <c r="M530" s="1" t="s">
        <v>34</v>
      </c>
      <c r="N530" s="1" t="s">
        <v>63</v>
      </c>
      <c r="O530" s="1" t="s">
        <v>71</v>
      </c>
      <c r="P530" s="1" t="s">
        <v>72</v>
      </c>
      <c r="Q530" s="1" t="s">
        <v>38</v>
      </c>
      <c r="R530" s="1" t="s">
        <v>403</v>
      </c>
      <c r="S530" s="3">
        <v>918503000000</v>
      </c>
      <c r="T530" s="1" t="s">
        <v>86</v>
      </c>
      <c r="U530" s="1">
        <v>89</v>
      </c>
      <c r="V530" s="1">
        <v>84</v>
      </c>
      <c r="W530" s="1" t="s">
        <v>41</v>
      </c>
      <c r="X530" s="1">
        <v>638017</v>
      </c>
      <c r="Y530" s="2">
        <v>37558</v>
      </c>
      <c r="Z530" s="1">
        <v>14.1789737171464</v>
      </c>
      <c r="AA530" s="1">
        <v>21</v>
      </c>
      <c r="AB530" s="1">
        <v>676000</v>
      </c>
      <c r="AC530" s="1">
        <f t="shared" si="8"/>
        <v>736000</v>
      </c>
    </row>
    <row r="531" spans="1:29" x14ac:dyDescent="0.25">
      <c r="A531" s="1" t="s">
        <v>428</v>
      </c>
      <c r="B531" s="1" t="s">
        <v>429</v>
      </c>
      <c r="C531" s="1" t="s">
        <v>430</v>
      </c>
      <c r="D531" s="1">
        <v>2020</v>
      </c>
      <c r="E531" s="1" t="s">
        <v>31</v>
      </c>
      <c r="F531" s="1">
        <v>4</v>
      </c>
      <c r="G531" s="1" t="s">
        <v>32</v>
      </c>
      <c r="H531" s="1" t="s">
        <v>90</v>
      </c>
      <c r="I531" s="1">
        <v>169000</v>
      </c>
      <c r="J531" s="1">
        <v>154000</v>
      </c>
      <c r="K531" s="1">
        <v>15000</v>
      </c>
      <c r="L531" s="1">
        <v>0</v>
      </c>
      <c r="M531" s="1" t="s">
        <v>34</v>
      </c>
      <c r="N531" s="1" t="s">
        <v>70</v>
      </c>
      <c r="O531" s="1" t="s">
        <v>91</v>
      </c>
      <c r="P531" s="1" t="s">
        <v>92</v>
      </c>
      <c r="Q531" s="1" t="s">
        <v>38</v>
      </c>
      <c r="R531" s="1" t="s">
        <v>431</v>
      </c>
      <c r="S531" s="3">
        <v>919915000000</v>
      </c>
      <c r="T531" s="1" t="s">
        <v>98</v>
      </c>
      <c r="U531" s="1">
        <v>89</v>
      </c>
      <c r="V531" s="1">
        <v>70</v>
      </c>
      <c r="W531" s="1" t="s">
        <v>52</v>
      </c>
      <c r="X531" s="1">
        <v>423424</v>
      </c>
      <c r="Y531" s="2">
        <v>37755</v>
      </c>
      <c r="Z531" s="1">
        <v>14.1789737171464</v>
      </c>
      <c r="AA531" s="1">
        <v>21</v>
      </c>
      <c r="AB531" s="1">
        <v>676000</v>
      </c>
      <c r="AC531" s="1">
        <f t="shared" si="8"/>
        <v>736000</v>
      </c>
    </row>
    <row r="532" spans="1:29" x14ac:dyDescent="0.25">
      <c r="A532" s="1" t="s">
        <v>456</v>
      </c>
      <c r="B532" s="1" t="s">
        <v>457</v>
      </c>
      <c r="C532" s="1" t="s">
        <v>458</v>
      </c>
      <c r="D532" s="1">
        <v>2020</v>
      </c>
      <c r="E532" s="1" t="s">
        <v>31</v>
      </c>
      <c r="F532" s="1">
        <v>4</v>
      </c>
      <c r="G532" s="1" t="s">
        <v>32</v>
      </c>
      <c r="H532" s="1" t="s">
        <v>122</v>
      </c>
      <c r="I532" s="1">
        <v>169000</v>
      </c>
      <c r="J532" s="1">
        <v>154000</v>
      </c>
      <c r="K532" s="1">
        <v>15000</v>
      </c>
      <c r="L532" s="1">
        <v>0</v>
      </c>
      <c r="M532" s="1" t="s">
        <v>5649</v>
      </c>
      <c r="N532" s="1" t="s">
        <v>70</v>
      </c>
      <c r="O532" s="1" t="s">
        <v>48</v>
      </c>
      <c r="P532" s="1" t="s">
        <v>49</v>
      </c>
      <c r="Q532" s="1" t="s">
        <v>38</v>
      </c>
      <c r="R532" s="1" t="s">
        <v>459</v>
      </c>
      <c r="S532" s="3">
        <v>918462000000</v>
      </c>
      <c r="T532" s="1" t="s">
        <v>86</v>
      </c>
      <c r="U532" s="1">
        <v>89</v>
      </c>
      <c r="V532" s="1">
        <v>85</v>
      </c>
      <c r="W532" s="1" t="s">
        <v>52</v>
      </c>
      <c r="X532" s="1">
        <v>508877</v>
      </c>
      <c r="Y532" s="2">
        <v>38735</v>
      </c>
      <c r="Z532" s="1">
        <v>14.1789737171464</v>
      </c>
      <c r="AA532" s="1">
        <v>18</v>
      </c>
      <c r="AB532" s="1">
        <v>676000</v>
      </c>
      <c r="AC532" s="1">
        <f t="shared" si="8"/>
        <v>736000</v>
      </c>
    </row>
    <row r="533" spans="1:29" x14ac:dyDescent="0.25">
      <c r="A533" s="1" t="s">
        <v>476</v>
      </c>
      <c r="B533" s="1" t="s">
        <v>477</v>
      </c>
      <c r="C533" s="1" t="s">
        <v>478</v>
      </c>
      <c r="D533" s="1">
        <v>2020</v>
      </c>
      <c r="E533" s="1" t="s">
        <v>31</v>
      </c>
      <c r="F533" s="1">
        <v>4</v>
      </c>
      <c r="G533" s="1" t="s">
        <v>32</v>
      </c>
      <c r="H533" s="1" t="s">
        <v>122</v>
      </c>
      <c r="I533" s="1">
        <v>169000</v>
      </c>
      <c r="J533" s="1">
        <v>154000</v>
      </c>
      <c r="K533" s="1">
        <v>15000</v>
      </c>
      <c r="L533" s="1">
        <v>0</v>
      </c>
      <c r="M533" s="1" t="s">
        <v>34</v>
      </c>
      <c r="N533" s="1" t="s">
        <v>63</v>
      </c>
      <c r="O533" s="1" t="s">
        <v>84</v>
      </c>
      <c r="P533" s="1" t="s">
        <v>65</v>
      </c>
      <c r="Q533" s="1" t="s">
        <v>38</v>
      </c>
      <c r="R533" s="1" t="s">
        <v>479</v>
      </c>
      <c r="S533" s="3">
        <v>918795000000</v>
      </c>
      <c r="T533" s="1" t="s">
        <v>98</v>
      </c>
      <c r="U533" s="1">
        <v>88</v>
      </c>
      <c r="V533" s="1">
        <v>84</v>
      </c>
      <c r="W533" s="1" t="s">
        <v>52</v>
      </c>
      <c r="X533" s="1">
        <v>695443</v>
      </c>
      <c r="Y533" s="2">
        <v>37315</v>
      </c>
      <c r="Z533" s="1">
        <v>13.1789737171464</v>
      </c>
      <c r="AA533" s="1">
        <v>22</v>
      </c>
      <c r="AB533" s="1">
        <v>676000</v>
      </c>
      <c r="AC533" s="1">
        <f t="shared" si="8"/>
        <v>736000</v>
      </c>
    </row>
    <row r="534" spans="1:29" x14ac:dyDescent="0.25">
      <c r="A534" s="1" t="s">
        <v>480</v>
      </c>
      <c r="B534" s="1" t="s">
        <v>481</v>
      </c>
      <c r="C534" s="1" t="s">
        <v>482</v>
      </c>
      <c r="D534" s="1">
        <v>2020</v>
      </c>
      <c r="E534" s="1" t="s">
        <v>45</v>
      </c>
      <c r="F534" s="1">
        <v>2</v>
      </c>
      <c r="G534" s="1" t="s">
        <v>46</v>
      </c>
      <c r="H534" s="1" t="s">
        <v>90</v>
      </c>
      <c r="I534" s="1">
        <v>92000</v>
      </c>
      <c r="J534" s="1">
        <v>77000</v>
      </c>
      <c r="K534" s="1">
        <v>15000</v>
      </c>
      <c r="L534" s="1">
        <v>0</v>
      </c>
      <c r="M534" s="1" t="s">
        <v>34</v>
      </c>
      <c r="N534" s="1" t="s">
        <v>63</v>
      </c>
      <c r="O534" s="1" t="s">
        <v>57</v>
      </c>
      <c r="P534" s="1" t="s">
        <v>57</v>
      </c>
      <c r="Q534" s="1" t="s">
        <v>38</v>
      </c>
      <c r="R534" s="1" t="s">
        <v>483</v>
      </c>
      <c r="S534" s="3">
        <v>917323000000</v>
      </c>
      <c r="T534" s="1" t="s">
        <v>40</v>
      </c>
      <c r="U534" s="1">
        <v>88</v>
      </c>
      <c r="V534" s="1">
        <v>66</v>
      </c>
      <c r="W534" s="1" t="s">
        <v>52</v>
      </c>
      <c r="X534" s="1">
        <v>235310</v>
      </c>
      <c r="Y534" s="2">
        <v>35614</v>
      </c>
      <c r="Z534" s="1">
        <v>13.1789737171464</v>
      </c>
      <c r="AA534" s="1">
        <v>27</v>
      </c>
      <c r="AB534" s="1">
        <v>184000</v>
      </c>
      <c r="AC534" s="1">
        <f t="shared" si="8"/>
        <v>214000</v>
      </c>
    </row>
    <row r="535" spans="1:29" x14ac:dyDescent="0.25">
      <c r="A535" s="1" t="s">
        <v>484</v>
      </c>
      <c r="B535" s="1" t="s">
        <v>485</v>
      </c>
      <c r="C535" s="1" t="s">
        <v>486</v>
      </c>
      <c r="D535" s="1">
        <v>2020</v>
      </c>
      <c r="E535" s="1" t="s">
        <v>31</v>
      </c>
      <c r="F535" s="1">
        <v>4</v>
      </c>
      <c r="G535" s="1" t="s">
        <v>32</v>
      </c>
      <c r="H535" s="1" t="s">
        <v>113</v>
      </c>
      <c r="I535" s="1">
        <v>169000</v>
      </c>
      <c r="J535" s="1">
        <v>154000</v>
      </c>
      <c r="K535" s="1">
        <v>15000</v>
      </c>
      <c r="L535" s="1">
        <v>0</v>
      </c>
      <c r="M535" s="1" t="s">
        <v>34</v>
      </c>
      <c r="N535" s="1" t="s">
        <v>70</v>
      </c>
      <c r="O535" s="1" t="s">
        <v>91</v>
      </c>
      <c r="P535" s="1" t="s">
        <v>92</v>
      </c>
      <c r="Q535" s="1" t="s">
        <v>38</v>
      </c>
      <c r="R535" s="1" t="s">
        <v>487</v>
      </c>
      <c r="S535" s="3">
        <v>919484000000</v>
      </c>
      <c r="T535" s="1" t="s">
        <v>98</v>
      </c>
      <c r="U535" s="1">
        <v>88</v>
      </c>
      <c r="V535" s="1">
        <v>91</v>
      </c>
      <c r="W535" s="1" t="s">
        <v>41</v>
      </c>
      <c r="X535" s="1">
        <v>682698</v>
      </c>
      <c r="Y535" s="2">
        <v>37073</v>
      </c>
      <c r="Z535" s="1">
        <v>13.1789737171464</v>
      </c>
      <c r="AA535" s="1">
        <v>23</v>
      </c>
      <c r="AB535" s="1">
        <v>676000</v>
      </c>
      <c r="AC535" s="1">
        <f t="shared" si="8"/>
        <v>736000</v>
      </c>
    </row>
    <row r="536" spans="1:29" x14ac:dyDescent="0.25">
      <c r="A536" s="1" t="s">
        <v>500</v>
      </c>
      <c r="B536" s="1" t="s">
        <v>501</v>
      </c>
      <c r="C536" s="1" t="s">
        <v>502</v>
      </c>
      <c r="D536" s="1">
        <v>2020</v>
      </c>
      <c r="E536" s="1" t="s">
        <v>31</v>
      </c>
      <c r="F536" s="1">
        <v>4</v>
      </c>
      <c r="G536" s="1" t="s">
        <v>32</v>
      </c>
      <c r="H536" s="1" t="s">
        <v>90</v>
      </c>
      <c r="I536" s="1">
        <v>169000</v>
      </c>
      <c r="J536" s="1">
        <v>154000</v>
      </c>
      <c r="K536" s="1">
        <v>15000</v>
      </c>
      <c r="L536" s="1">
        <v>0</v>
      </c>
      <c r="M536" s="1" t="s">
        <v>34</v>
      </c>
      <c r="N536" s="1" t="s">
        <v>63</v>
      </c>
      <c r="O536" s="1" t="s">
        <v>188</v>
      </c>
      <c r="P536" s="1" t="s">
        <v>189</v>
      </c>
      <c r="Q536" s="1" t="s">
        <v>38</v>
      </c>
      <c r="R536" s="1" t="s">
        <v>503</v>
      </c>
      <c r="S536" s="3">
        <v>917573000000</v>
      </c>
      <c r="T536" s="1" t="s">
        <v>51</v>
      </c>
      <c r="U536" s="1">
        <v>88</v>
      </c>
      <c r="V536" s="1">
        <v>61</v>
      </c>
      <c r="W536" s="1" t="s">
        <v>41</v>
      </c>
      <c r="X536" s="1">
        <v>207126</v>
      </c>
      <c r="Y536" s="2">
        <v>36838</v>
      </c>
      <c r="Z536" s="1">
        <v>13.1789737171464</v>
      </c>
      <c r="AA536" s="1">
        <v>23</v>
      </c>
      <c r="AB536" s="1">
        <v>676000</v>
      </c>
      <c r="AC536" s="1">
        <f t="shared" si="8"/>
        <v>736000</v>
      </c>
    </row>
    <row r="537" spans="1:29" x14ac:dyDescent="0.25">
      <c r="A537" s="1" t="s">
        <v>512</v>
      </c>
      <c r="B537" s="1" t="s">
        <v>453</v>
      </c>
      <c r="C537" s="1" t="s">
        <v>454</v>
      </c>
      <c r="D537" s="1">
        <v>2020</v>
      </c>
      <c r="E537" s="1" t="s">
        <v>45</v>
      </c>
      <c r="F537" s="1">
        <v>2</v>
      </c>
      <c r="G537" s="1" t="s">
        <v>46</v>
      </c>
      <c r="H537" s="1" t="s">
        <v>62</v>
      </c>
      <c r="I537" s="1">
        <v>92000</v>
      </c>
      <c r="J537" s="1">
        <v>77000</v>
      </c>
      <c r="K537" s="1">
        <v>15000</v>
      </c>
      <c r="L537" s="1">
        <v>0</v>
      </c>
      <c r="M537" s="1" t="s">
        <v>34</v>
      </c>
      <c r="N537" s="1" t="s">
        <v>35</v>
      </c>
      <c r="O537" s="1" t="s">
        <v>64</v>
      </c>
      <c r="P537" s="1" t="s">
        <v>65</v>
      </c>
      <c r="Q537" s="1" t="s">
        <v>38</v>
      </c>
      <c r="R537" s="1" t="s">
        <v>513</v>
      </c>
      <c r="S537" s="3">
        <v>917922000000</v>
      </c>
      <c r="T537" s="1" t="s">
        <v>40</v>
      </c>
      <c r="U537" s="1">
        <v>88</v>
      </c>
      <c r="V537" s="1">
        <v>68</v>
      </c>
      <c r="W537" s="1" t="s">
        <v>41</v>
      </c>
      <c r="X537" s="1">
        <v>586552</v>
      </c>
      <c r="Y537" s="2">
        <v>36311</v>
      </c>
      <c r="Z537" s="1">
        <v>13.1789737171464</v>
      </c>
      <c r="AA537" s="1">
        <v>25</v>
      </c>
      <c r="AB537" s="1">
        <v>184000</v>
      </c>
      <c r="AC537" s="1">
        <f t="shared" si="8"/>
        <v>214000</v>
      </c>
    </row>
    <row r="538" spans="1:29" x14ac:dyDescent="0.25">
      <c r="A538" s="1" t="s">
        <v>554</v>
      </c>
      <c r="B538" s="1" t="s">
        <v>555</v>
      </c>
      <c r="C538" s="1" t="s">
        <v>556</v>
      </c>
      <c r="D538" s="1">
        <v>2020</v>
      </c>
      <c r="E538" s="1" t="s">
        <v>31</v>
      </c>
      <c r="F538" s="1">
        <v>4</v>
      </c>
      <c r="G538" s="1" t="s">
        <v>32</v>
      </c>
      <c r="H538" s="1" t="s">
        <v>47</v>
      </c>
      <c r="I538" s="1">
        <v>169000</v>
      </c>
      <c r="J538" s="1">
        <v>154000</v>
      </c>
      <c r="K538" s="1">
        <v>15000</v>
      </c>
      <c r="L538" s="1">
        <v>0</v>
      </c>
      <c r="M538" s="1" t="s">
        <v>34</v>
      </c>
      <c r="N538" s="1" t="s">
        <v>63</v>
      </c>
      <c r="O538" s="1" t="s">
        <v>103</v>
      </c>
      <c r="P538" s="1" t="s">
        <v>104</v>
      </c>
      <c r="Q538" s="1" t="s">
        <v>38</v>
      </c>
      <c r="R538" s="1" t="s">
        <v>557</v>
      </c>
      <c r="S538" s="3">
        <v>919343000000</v>
      </c>
      <c r="T538" s="1" t="s">
        <v>98</v>
      </c>
      <c r="U538" s="1">
        <v>88</v>
      </c>
      <c r="V538" s="1">
        <v>75</v>
      </c>
      <c r="W538" s="1" t="s">
        <v>52</v>
      </c>
      <c r="X538" s="1">
        <v>491214</v>
      </c>
      <c r="Y538" s="2">
        <v>36899</v>
      </c>
      <c r="Z538" s="1">
        <v>13.1789737171464</v>
      </c>
      <c r="AA538" s="1">
        <v>23</v>
      </c>
      <c r="AB538" s="1">
        <v>676000</v>
      </c>
      <c r="AC538" s="1">
        <f t="shared" si="8"/>
        <v>736000</v>
      </c>
    </row>
    <row r="539" spans="1:29" x14ac:dyDescent="0.25">
      <c r="A539" s="1" t="s">
        <v>594</v>
      </c>
      <c r="B539" s="1" t="s">
        <v>595</v>
      </c>
      <c r="C539" s="1" t="s">
        <v>596</v>
      </c>
      <c r="D539" s="1">
        <v>2020</v>
      </c>
      <c r="E539" s="1" t="s">
        <v>31</v>
      </c>
      <c r="F539" s="1">
        <v>4</v>
      </c>
      <c r="G539" s="1" t="s">
        <v>32</v>
      </c>
      <c r="H539" s="1" t="s">
        <v>90</v>
      </c>
      <c r="I539" s="1">
        <v>169000</v>
      </c>
      <c r="J539" s="1">
        <v>154000</v>
      </c>
      <c r="K539" s="1">
        <v>15000</v>
      </c>
      <c r="L539" s="1">
        <v>0</v>
      </c>
      <c r="M539" s="1" t="s">
        <v>34</v>
      </c>
      <c r="N539" s="1" t="s">
        <v>63</v>
      </c>
      <c r="O539" s="1" t="s">
        <v>36</v>
      </c>
      <c r="P539" s="1" t="s">
        <v>37</v>
      </c>
      <c r="Q539" s="1" t="s">
        <v>38</v>
      </c>
      <c r="R539" s="1" t="s">
        <v>597</v>
      </c>
      <c r="S539" s="3">
        <v>918222000000</v>
      </c>
      <c r="T539" s="1" t="s">
        <v>40</v>
      </c>
      <c r="U539" s="1">
        <v>88</v>
      </c>
      <c r="V539" s="1">
        <v>89</v>
      </c>
      <c r="W539" s="1" t="s">
        <v>52</v>
      </c>
      <c r="X539" s="1">
        <v>299009</v>
      </c>
      <c r="Y539" s="2">
        <v>38279</v>
      </c>
      <c r="Z539" s="1">
        <v>13.1789737171464</v>
      </c>
      <c r="AA539" s="1">
        <v>19</v>
      </c>
      <c r="AB539" s="1">
        <v>676000</v>
      </c>
      <c r="AC539" s="1">
        <f t="shared" si="8"/>
        <v>736000</v>
      </c>
    </row>
    <row r="540" spans="1:29" x14ac:dyDescent="0.25">
      <c r="A540" s="1" t="s">
        <v>644</v>
      </c>
      <c r="B540" s="1" t="s">
        <v>645</v>
      </c>
      <c r="C540" s="1" t="s">
        <v>646</v>
      </c>
      <c r="D540" s="1">
        <v>2020</v>
      </c>
      <c r="E540" s="1" t="s">
        <v>31</v>
      </c>
      <c r="F540" s="1">
        <v>4</v>
      </c>
      <c r="G540" s="1" t="s">
        <v>32</v>
      </c>
      <c r="H540" s="1" t="s">
        <v>113</v>
      </c>
      <c r="I540" s="1">
        <v>169000</v>
      </c>
      <c r="J540" s="1">
        <v>154000</v>
      </c>
      <c r="K540" s="1">
        <v>15000</v>
      </c>
      <c r="L540" s="1">
        <v>0</v>
      </c>
      <c r="M540" s="1" t="s">
        <v>34</v>
      </c>
      <c r="N540" s="1" t="s">
        <v>63</v>
      </c>
      <c r="O540" s="1" t="s">
        <v>78</v>
      </c>
      <c r="P540" s="1" t="s">
        <v>79</v>
      </c>
      <c r="Q540" s="1" t="s">
        <v>38</v>
      </c>
      <c r="R540" s="1" t="s">
        <v>647</v>
      </c>
      <c r="S540" s="3">
        <v>919459000000</v>
      </c>
      <c r="T540" s="1" t="s">
        <v>40</v>
      </c>
      <c r="U540" s="1">
        <v>87</v>
      </c>
      <c r="V540" s="1">
        <v>66</v>
      </c>
      <c r="W540" s="1" t="s">
        <v>41</v>
      </c>
      <c r="X540" s="1">
        <v>527171</v>
      </c>
      <c r="Y540" s="2">
        <v>38095</v>
      </c>
      <c r="Z540" s="1">
        <v>12.1789737171464</v>
      </c>
      <c r="AA540" s="1">
        <v>20</v>
      </c>
      <c r="AB540" s="1">
        <v>676000</v>
      </c>
      <c r="AC540" s="1">
        <f t="shared" si="8"/>
        <v>736000</v>
      </c>
    </row>
    <row r="541" spans="1:29" x14ac:dyDescent="0.25">
      <c r="A541" s="1" t="s">
        <v>692</v>
      </c>
      <c r="B541" s="1" t="s">
        <v>693</v>
      </c>
      <c r="C541" s="1" t="s">
        <v>694</v>
      </c>
      <c r="D541" s="1">
        <v>2020</v>
      </c>
      <c r="E541" s="1" t="s">
        <v>31</v>
      </c>
      <c r="F541" s="1">
        <v>4</v>
      </c>
      <c r="G541" s="1" t="s">
        <v>32</v>
      </c>
      <c r="H541" s="1" t="s">
        <v>56</v>
      </c>
      <c r="I541" s="1">
        <v>169000</v>
      </c>
      <c r="J541" s="1">
        <v>154000</v>
      </c>
      <c r="K541" s="1">
        <v>15000</v>
      </c>
      <c r="L541" s="1">
        <v>0</v>
      </c>
      <c r="M541" s="1" t="s">
        <v>34</v>
      </c>
      <c r="N541" s="1" t="s">
        <v>63</v>
      </c>
      <c r="O541" s="1" t="s">
        <v>48</v>
      </c>
      <c r="P541" s="1" t="s">
        <v>49</v>
      </c>
      <c r="Q541" s="1" t="s">
        <v>38</v>
      </c>
      <c r="R541" s="1" t="s">
        <v>695</v>
      </c>
      <c r="S541" s="3">
        <v>918605000000</v>
      </c>
      <c r="T541" s="1" t="s">
        <v>98</v>
      </c>
      <c r="U541" s="1">
        <v>87</v>
      </c>
      <c r="V541" s="1">
        <v>60</v>
      </c>
      <c r="W541" s="1" t="s">
        <v>41</v>
      </c>
      <c r="X541" s="1">
        <v>380200</v>
      </c>
      <c r="Y541" s="2">
        <v>37012</v>
      </c>
      <c r="Z541" s="1">
        <v>12.1789737171464</v>
      </c>
      <c r="AA541" s="1">
        <v>23</v>
      </c>
      <c r="AB541" s="1">
        <v>676000</v>
      </c>
      <c r="AC541" s="1">
        <f t="shared" si="8"/>
        <v>736000</v>
      </c>
    </row>
    <row r="542" spans="1:29" x14ac:dyDescent="0.25">
      <c r="A542" s="1" t="s">
        <v>704</v>
      </c>
      <c r="B542" s="1" t="s">
        <v>705</v>
      </c>
      <c r="C542" s="1" t="s">
        <v>706</v>
      </c>
      <c r="D542" s="1">
        <v>2020</v>
      </c>
      <c r="E542" s="1" t="s">
        <v>31</v>
      </c>
      <c r="F542" s="1">
        <v>4</v>
      </c>
      <c r="G542" s="1" t="s">
        <v>32</v>
      </c>
      <c r="H542" s="1" t="s">
        <v>47</v>
      </c>
      <c r="I542" s="1">
        <v>169000</v>
      </c>
      <c r="J542" s="1">
        <v>154000</v>
      </c>
      <c r="K542" s="1">
        <v>15000</v>
      </c>
      <c r="L542" s="1">
        <v>0</v>
      </c>
      <c r="M542" s="1" t="s">
        <v>34</v>
      </c>
      <c r="N542" s="1" t="s">
        <v>63</v>
      </c>
      <c r="O542" s="1" t="s">
        <v>78</v>
      </c>
      <c r="P542" s="1" t="s">
        <v>79</v>
      </c>
      <c r="Q542" s="1" t="s">
        <v>38</v>
      </c>
      <c r="R542" s="1" t="s">
        <v>707</v>
      </c>
      <c r="S542" s="3">
        <v>919062000000</v>
      </c>
      <c r="T542" s="1" t="s">
        <v>74</v>
      </c>
      <c r="U542" s="1">
        <v>87</v>
      </c>
      <c r="V542" s="1">
        <v>61</v>
      </c>
      <c r="W542" s="1" t="s">
        <v>41</v>
      </c>
      <c r="X542" s="1">
        <v>213722</v>
      </c>
      <c r="Y542" s="2">
        <v>38540</v>
      </c>
      <c r="Z542" s="1">
        <v>12.1789737171464</v>
      </c>
      <c r="AA542" s="1">
        <v>19</v>
      </c>
      <c r="AB542" s="1">
        <v>676000</v>
      </c>
      <c r="AC542" s="1">
        <f t="shared" si="8"/>
        <v>736000</v>
      </c>
    </row>
    <row r="543" spans="1:29" x14ac:dyDescent="0.25">
      <c r="A543" s="1" t="s">
        <v>722</v>
      </c>
      <c r="B543" s="1" t="s">
        <v>723</v>
      </c>
      <c r="C543" s="1" t="s">
        <v>724</v>
      </c>
      <c r="D543" s="1">
        <v>2020</v>
      </c>
      <c r="E543" s="1" t="s">
        <v>45</v>
      </c>
      <c r="F543" s="1">
        <v>2</v>
      </c>
      <c r="G543" s="1" t="s">
        <v>46</v>
      </c>
      <c r="H543" s="1" t="s">
        <v>33</v>
      </c>
      <c r="I543" s="1">
        <v>92000</v>
      </c>
      <c r="J543" s="1">
        <v>77000</v>
      </c>
      <c r="K543" s="1">
        <v>15000</v>
      </c>
      <c r="L543" s="1">
        <v>0</v>
      </c>
      <c r="M543" s="1" t="s">
        <v>34</v>
      </c>
      <c r="N543" s="1" t="s">
        <v>35</v>
      </c>
      <c r="O543" s="1" t="s">
        <v>84</v>
      </c>
      <c r="P543" s="1" t="s">
        <v>65</v>
      </c>
      <c r="Q543" s="1" t="s">
        <v>38</v>
      </c>
      <c r="R543" s="1" t="s">
        <v>725</v>
      </c>
      <c r="S543" s="3">
        <v>919969000000</v>
      </c>
      <c r="T543" s="1" t="s">
        <v>86</v>
      </c>
      <c r="U543" s="1">
        <v>87</v>
      </c>
      <c r="V543" s="1">
        <v>73</v>
      </c>
      <c r="W543" s="1" t="s">
        <v>52</v>
      </c>
      <c r="X543" s="1">
        <v>606588</v>
      </c>
      <c r="Y543" s="2">
        <v>35833</v>
      </c>
      <c r="Z543" s="1">
        <v>12.1789737171464</v>
      </c>
      <c r="AA543" s="1">
        <v>26</v>
      </c>
      <c r="AB543" s="1">
        <v>184000</v>
      </c>
      <c r="AC543" s="1">
        <f t="shared" si="8"/>
        <v>214000</v>
      </c>
    </row>
    <row r="544" spans="1:29" x14ac:dyDescent="0.25">
      <c r="A544" s="1" t="s">
        <v>746</v>
      </c>
      <c r="B544" s="1" t="s">
        <v>747</v>
      </c>
      <c r="C544" s="1" t="s">
        <v>748</v>
      </c>
      <c r="D544" s="1">
        <v>2020</v>
      </c>
      <c r="E544" s="1" t="s">
        <v>31</v>
      </c>
      <c r="F544" s="1">
        <v>4</v>
      </c>
      <c r="G544" s="1" t="s">
        <v>32</v>
      </c>
      <c r="H544" s="1" t="s">
        <v>210</v>
      </c>
      <c r="I544" s="1">
        <v>169000</v>
      </c>
      <c r="J544" s="1">
        <v>154000</v>
      </c>
      <c r="K544" s="1">
        <v>15000</v>
      </c>
      <c r="L544" s="1">
        <v>0</v>
      </c>
      <c r="M544" s="1" t="s">
        <v>5649</v>
      </c>
      <c r="N544" s="1" t="s">
        <v>35</v>
      </c>
      <c r="O544" s="1" t="s">
        <v>48</v>
      </c>
      <c r="P544" s="1" t="s">
        <v>49</v>
      </c>
      <c r="Q544" s="1" t="s">
        <v>38</v>
      </c>
      <c r="R544" s="1" t="s">
        <v>749</v>
      </c>
      <c r="S544" s="3">
        <v>919818000000</v>
      </c>
      <c r="T544" s="1" t="s">
        <v>86</v>
      </c>
      <c r="U544" s="1">
        <v>87</v>
      </c>
      <c r="V544" s="1">
        <v>72</v>
      </c>
      <c r="W544" s="1" t="s">
        <v>41</v>
      </c>
      <c r="X544" s="1">
        <v>581731</v>
      </c>
      <c r="Y544" s="2">
        <v>38349</v>
      </c>
      <c r="Z544" s="1">
        <v>12.1789737171464</v>
      </c>
      <c r="AA544" s="1">
        <v>19</v>
      </c>
      <c r="AB544" s="1">
        <v>676000</v>
      </c>
      <c r="AC544" s="1">
        <f t="shared" si="8"/>
        <v>736000</v>
      </c>
    </row>
    <row r="545" spans="1:29" x14ac:dyDescent="0.25">
      <c r="A545" s="1" t="s">
        <v>750</v>
      </c>
      <c r="B545" s="1" t="s">
        <v>751</v>
      </c>
      <c r="C545" s="1" t="s">
        <v>752</v>
      </c>
      <c r="D545" s="1">
        <v>2020</v>
      </c>
      <c r="E545" s="1" t="s">
        <v>31</v>
      </c>
      <c r="F545" s="1">
        <v>4</v>
      </c>
      <c r="G545" s="1" t="s">
        <v>32</v>
      </c>
      <c r="H545" s="1" t="s">
        <v>62</v>
      </c>
      <c r="I545" s="1">
        <v>169000</v>
      </c>
      <c r="J545" s="1">
        <v>154000</v>
      </c>
      <c r="K545" s="1">
        <v>15000</v>
      </c>
      <c r="L545" s="1">
        <v>0</v>
      </c>
      <c r="M545" s="1" t="s">
        <v>5649</v>
      </c>
      <c r="N545" s="1" t="s">
        <v>70</v>
      </c>
      <c r="O545" s="1" t="s">
        <v>71</v>
      </c>
      <c r="P545" s="1" t="s">
        <v>72</v>
      </c>
      <c r="Q545" s="1" t="s">
        <v>38</v>
      </c>
      <c r="R545" s="1" t="s">
        <v>753</v>
      </c>
      <c r="S545" s="3">
        <v>918341000000</v>
      </c>
      <c r="T545" s="1" t="s">
        <v>74</v>
      </c>
      <c r="U545" s="1">
        <v>87</v>
      </c>
      <c r="V545" s="1">
        <v>90</v>
      </c>
      <c r="W545" s="1" t="s">
        <v>41</v>
      </c>
      <c r="X545" s="1">
        <v>421580</v>
      </c>
      <c r="Y545" s="2">
        <v>37780</v>
      </c>
      <c r="Z545" s="1">
        <v>12.1789737171464</v>
      </c>
      <c r="AA545" s="1">
        <v>21</v>
      </c>
      <c r="AB545" s="1">
        <v>676000</v>
      </c>
      <c r="AC545" s="1">
        <f t="shared" si="8"/>
        <v>736000</v>
      </c>
    </row>
    <row r="546" spans="1:29" x14ac:dyDescent="0.25">
      <c r="A546" s="1" t="s">
        <v>754</v>
      </c>
      <c r="B546" s="1" t="s">
        <v>755</v>
      </c>
      <c r="C546" s="1" t="s">
        <v>756</v>
      </c>
      <c r="D546" s="1">
        <v>2020</v>
      </c>
      <c r="E546" s="1" t="s">
        <v>31</v>
      </c>
      <c r="F546" s="1">
        <v>4</v>
      </c>
      <c r="G546" s="1" t="s">
        <v>32</v>
      </c>
      <c r="H546" s="1" t="s">
        <v>33</v>
      </c>
      <c r="I546" s="1">
        <v>169000</v>
      </c>
      <c r="J546" s="1">
        <v>154000</v>
      </c>
      <c r="K546" s="1">
        <v>15000</v>
      </c>
      <c r="L546" s="1">
        <v>0</v>
      </c>
      <c r="M546" s="1" t="s">
        <v>5649</v>
      </c>
      <c r="N546" s="1" t="s">
        <v>70</v>
      </c>
      <c r="O546" s="1" t="s">
        <v>36</v>
      </c>
      <c r="P546" s="1" t="s">
        <v>37</v>
      </c>
      <c r="Q546" s="1" t="s">
        <v>38</v>
      </c>
      <c r="R546" s="1" t="s">
        <v>757</v>
      </c>
      <c r="S546" s="3">
        <v>918504000000</v>
      </c>
      <c r="T546" s="1" t="s">
        <v>86</v>
      </c>
      <c r="U546" s="1">
        <v>87</v>
      </c>
      <c r="V546" s="1">
        <v>66</v>
      </c>
      <c r="W546" s="1" t="s">
        <v>52</v>
      </c>
      <c r="X546" s="1">
        <v>771217</v>
      </c>
      <c r="Y546" s="2">
        <v>37332</v>
      </c>
      <c r="Z546" s="1">
        <v>12.1789737171464</v>
      </c>
      <c r="AA546" s="1">
        <v>22</v>
      </c>
      <c r="AB546" s="1">
        <v>676000</v>
      </c>
      <c r="AC546" s="1">
        <f t="shared" si="8"/>
        <v>736000</v>
      </c>
    </row>
    <row r="547" spans="1:29" x14ac:dyDescent="0.25">
      <c r="A547" s="1" t="s">
        <v>758</v>
      </c>
      <c r="B547" s="1" t="s">
        <v>759</v>
      </c>
      <c r="C547" s="1" t="s">
        <v>760</v>
      </c>
      <c r="D547" s="1">
        <v>2020</v>
      </c>
      <c r="E547" s="1" t="s">
        <v>45</v>
      </c>
      <c r="F547" s="1">
        <v>2</v>
      </c>
      <c r="G547" s="1" t="s">
        <v>46</v>
      </c>
      <c r="H547" s="1" t="s">
        <v>62</v>
      </c>
      <c r="I547" s="1">
        <v>92000</v>
      </c>
      <c r="J547" s="1">
        <v>77000</v>
      </c>
      <c r="K547" s="1">
        <v>15000</v>
      </c>
      <c r="L547" s="1">
        <v>0</v>
      </c>
      <c r="M547" s="1" t="s">
        <v>5649</v>
      </c>
      <c r="N547" s="1" t="s">
        <v>63</v>
      </c>
      <c r="O547" s="1" t="s">
        <v>188</v>
      </c>
      <c r="P547" s="1" t="s">
        <v>189</v>
      </c>
      <c r="Q547" s="1" t="s">
        <v>38</v>
      </c>
      <c r="R547" s="1" t="s">
        <v>761</v>
      </c>
      <c r="S547" s="3">
        <v>917419000000</v>
      </c>
      <c r="T547" s="1" t="s">
        <v>74</v>
      </c>
      <c r="U547" s="1">
        <v>87</v>
      </c>
      <c r="V547" s="1">
        <v>82</v>
      </c>
      <c r="W547" s="1" t="s">
        <v>41</v>
      </c>
      <c r="X547" s="1">
        <v>208438</v>
      </c>
      <c r="Y547" s="2">
        <v>35820</v>
      </c>
      <c r="Z547" s="1">
        <v>12.1789737171464</v>
      </c>
      <c r="AA547" s="1">
        <v>26</v>
      </c>
      <c r="AB547" s="1">
        <v>184000</v>
      </c>
      <c r="AC547" s="1">
        <f t="shared" si="8"/>
        <v>214000</v>
      </c>
    </row>
    <row r="548" spans="1:29" x14ac:dyDescent="0.25">
      <c r="A548" s="1" t="s">
        <v>790</v>
      </c>
      <c r="B548" s="1" t="s">
        <v>791</v>
      </c>
      <c r="C548" s="1" t="s">
        <v>792</v>
      </c>
      <c r="D548" s="1">
        <v>2020</v>
      </c>
      <c r="E548" s="1" t="s">
        <v>45</v>
      </c>
      <c r="F548" s="1">
        <v>2</v>
      </c>
      <c r="G548" s="1" t="s">
        <v>46</v>
      </c>
      <c r="H548" s="1" t="s">
        <v>47</v>
      </c>
      <c r="I548" s="1">
        <v>92000</v>
      </c>
      <c r="J548" s="1">
        <v>77000</v>
      </c>
      <c r="K548" s="1">
        <v>15000</v>
      </c>
      <c r="L548" s="1">
        <v>0</v>
      </c>
      <c r="M548" s="1" t="s">
        <v>34</v>
      </c>
      <c r="N548" s="1" t="s">
        <v>35</v>
      </c>
      <c r="O548" s="1" t="s">
        <v>48</v>
      </c>
      <c r="P548" s="1" t="s">
        <v>49</v>
      </c>
      <c r="Q548" s="1" t="s">
        <v>38</v>
      </c>
      <c r="R548" s="1" t="s">
        <v>793</v>
      </c>
      <c r="S548" s="3">
        <v>918047000000</v>
      </c>
      <c r="T548" s="1" t="s">
        <v>74</v>
      </c>
      <c r="U548" s="1">
        <v>87</v>
      </c>
      <c r="V548" s="1">
        <v>68</v>
      </c>
      <c r="W548" s="1" t="s">
        <v>41</v>
      </c>
      <c r="X548" s="1">
        <v>113839</v>
      </c>
      <c r="Y548" s="2">
        <v>35530</v>
      </c>
      <c r="Z548" s="1">
        <v>12.1789737171464</v>
      </c>
      <c r="AA548" s="1">
        <v>27</v>
      </c>
      <c r="AB548" s="1">
        <v>184000</v>
      </c>
      <c r="AC548" s="1">
        <f t="shared" si="8"/>
        <v>214000</v>
      </c>
    </row>
    <row r="549" spans="1:29" x14ac:dyDescent="0.25">
      <c r="A549" s="1" t="s">
        <v>798</v>
      </c>
      <c r="B549" s="1" t="s">
        <v>799</v>
      </c>
      <c r="C549" s="1" t="s">
        <v>800</v>
      </c>
      <c r="D549" s="1">
        <v>2020</v>
      </c>
      <c r="E549" s="1" t="s">
        <v>31</v>
      </c>
      <c r="F549" s="1">
        <v>4</v>
      </c>
      <c r="G549" s="1" t="s">
        <v>32</v>
      </c>
      <c r="H549" s="1" t="s">
        <v>113</v>
      </c>
      <c r="I549" s="1">
        <v>169000</v>
      </c>
      <c r="J549" s="1">
        <v>154000</v>
      </c>
      <c r="K549" s="1">
        <v>15000</v>
      </c>
      <c r="L549" s="1">
        <v>0</v>
      </c>
      <c r="M549" s="1" t="s">
        <v>34</v>
      </c>
      <c r="N549" s="1" t="s">
        <v>63</v>
      </c>
      <c r="O549" s="1" t="s">
        <v>64</v>
      </c>
      <c r="P549" s="1" t="s">
        <v>65</v>
      </c>
      <c r="Q549" s="1" t="s">
        <v>38</v>
      </c>
      <c r="R549" s="1" t="s">
        <v>801</v>
      </c>
      <c r="S549" s="3">
        <v>919060000000</v>
      </c>
      <c r="T549" s="1" t="s">
        <v>98</v>
      </c>
      <c r="U549" s="1">
        <v>87</v>
      </c>
      <c r="V549" s="1">
        <v>88</v>
      </c>
      <c r="W549" s="1" t="s">
        <v>41</v>
      </c>
      <c r="X549" s="1">
        <v>675500</v>
      </c>
      <c r="Y549" s="2">
        <v>37123</v>
      </c>
      <c r="Z549" s="1">
        <v>12.1789737171464</v>
      </c>
      <c r="AA549" s="1">
        <v>22</v>
      </c>
      <c r="AB549" s="1">
        <v>676000</v>
      </c>
      <c r="AC549" s="1">
        <f t="shared" si="8"/>
        <v>736000</v>
      </c>
    </row>
    <row r="550" spans="1:29" x14ac:dyDescent="0.25">
      <c r="A550" s="1" t="s">
        <v>858</v>
      </c>
      <c r="B550" s="1" t="s">
        <v>859</v>
      </c>
      <c r="C550" s="1" t="s">
        <v>860</v>
      </c>
      <c r="D550" s="1">
        <v>2020</v>
      </c>
      <c r="E550" s="1" t="s">
        <v>45</v>
      </c>
      <c r="F550" s="1">
        <v>2</v>
      </c>
      <c r="G550" s="1" t="s">
        <v>46</v>
      </c>
      <c r="H550" s="1" t="s">
        <v>33</v>
      </c>
      <c r="I550" s="1">
        <v>92000</v>
      </c>
      <c r="J550" s="1">
        <v>77000</v>
      </c>
      <c r="K550" s="1">
        <v>15000</v>
      </c>
      <c r="L550" s="1">
        <v>0</v>
      </c>
      <c r="M550" s="1" t="s">
        <v>34</v>
      </c>
      <c r="N550" s="1" t="s">
        <v>35</v>
      </c>
      <c r="O550" s="1" t="s">
        <v>84</v>
      </c>
      <c r="P550" s="1" t="s">
        <v>65</v>
      </c>
      <c r="Q550" s="1" t="s">
        <v>38</v>
      </c>
      <c r="R550" s="1" t="s">
        <v>861</v>
      </c>
      <c r="S550" s="3">
        <v>917219000000</v>
      </c>
      <c r="T550" s="1" t="s">
        <v>86</v>
      </c>
      <c r="U550" s="1">
        <v>86</v>
      </c>
      <c r="V550" s="1">
        <v>82</v>
      </c>
      <c r="W550" s="1" t="s">
        <v>41</v>
      </c>
      <c r="X550" s="1">
        <v>106917</v>
      </c>
      <c r="Y550" s="2">
        <v>35730</v>
      </c>
      <c r="Z550" s="1">
        <v>11.1789737171464</v>
      </c>
      <c r="AA550" s="1">
        <v>26</v>
      </c>
      <c r="AB550" s="1">
        <v>184000</v>
      </c>
      <c r="AC550" s="1">
        <f t="shared" si="8"/>
        <v>214000</v>
      </c>
    </row>
    <row r="551" spans="1:29" x14ac:dyDescent="0.25">
      <c r="A551" s="1" t="s">
        <v>874</v>
      </c>
      <c r="B551" s="1" t="s">
        <v>875</v>
      </c>
      <c r="C551" s="1" t="s">
        <v>876</v>
      </c>
      <c r="D551" s="1">
        <v>2020</v>
      </c>
      <c r="E551" s="1" t="s">
        <v>31</v>
      </c>
      <c r="F551" s="1">
        <v>4</v>
      </c>
      <c r="G551" s="1" t="s">
        <v>32</v>
      </c>
      <c r="H551" s="1" t="s">
        <v>62</v>
      </c>
      <c r="I551" s="1">
        <v>169000</v>
      </c>
      <c r="J551" s="1">
        <v>154000</v>
      </c>
      <c r="K551" s="1">
        <v>15000</v>
      </c>
      <c r="L551" s="1">
        <v>0</v>
      </c>
      <c r="M551" s="1" t="s">
        <v>34</v>
      </c>
      <c r="N551" s="1" t="s">
        <v>35</v>
      </c>
      <c r="O551" s="1" t="s">
        <v>71</v>
      </c>
      <c r="P551" s="1" t="s">
        <v>72</v>
      </c>
      <c r="Q551" s="1" t="s">
        <v>38</v>
      </c>
      <c r="R551" s="1" t="s">
        <v>877</v>
      </c>
      <c r="S551" s="3">
        <v>917882000000</v>
      </c>
      <c r="T551" s="1" t="s">
        <v>40</v>
      </c>
      <c r="U551" s="1">
        <v>86</v>
      </c>
      <c r="V551" s="1">
        <v>64</v>
      </c>
      <c r="W551" s="1" t="s">
        <v>52</v>
      </c>
      <c r="X551" s="1">
        <v>757719</v>
      </c>
      <c r="Y551" s="2">
        <v>37470</v>
      </c>
      <c r="Z551" s="1">
        <v>11.1789737171464</v>
      </c>
      <c r="AA551" s="1">
        <v>21</v>
      </c>
      <c r="AB551" s="1">
        <v>676000</v>
      </c>
      <c r="AC551" s="1">
        <f t="shared" si="8"/>
        <v>736000</v>
      </c>
    </row>
    <row r="552" spans="1:29" x14ac:dyDescent="0.25">
      <c r="A552" s="1" t="s">
        <v>902</v>
      </c>
      <c r="B552" s="1" t="s">
        <v>903</v>
      </c>
      <c r="C552" s="1" t="s">
        <v>904</v>
      </c>
      <c r="D552" s="1">
        <v>2020</v>
      </c>
      <c r="E552" s="1" t="s">
        <v>31</v>
      </c>
      <c r="F552" s="1">
        <v>4</v>
      </c>
      <c r="G552" s="1" t="s">
        <v>32</v>
      </c>
      <c r="H552" s="1" t="s">
        <v>90</v>
      </c>
      <c r="I552" s="1">
        <v>169000</v>
      </c>
      <c r="J552" s="1">
        <v>154000</v>
      </c>
      <c r="K552" s="1">
        <v>15000</v>
      </c>
      <c r="L552" s="1">
        <v>0</v>
      </c>
      <c r="M552" s="1" t="s">
        <v>34</v>
      </c>
      <c r="N552" s="1" t="s">
        <v>70</v>
      </c>
      <c r="O552" s="1" t="s">
        <v>57</v>
      </c>
      <c r="P552" s="1" t="s">
        <v>57</v>
      </c>
      <c r="Q552" s="1" t="s">
        <v>38</v>
      </c>
      <c r="R552" s="1" t="s">
        <v>905</v>
      </c>
      <c r="S552" s="3">
        <v>919292000000</v>
      </c>
      <c r="T552" s="1" t="s">
        <v>40</v>
      </c>
      <c r="U552" s="1">
        <v>86</v>
      </c>
      <c r="V552" s="1">
        <v>76</v>
      </c>
      <c r="W552" s="1" t="s">
        <v>41</v>
      </c>
      <c r="X552" s="1">
        <v>279043</v>
      </c>
      <c r="Y552" s="2">
        <v>38227</v>
      </c>
      <c r="Z552" s="1">
        <v>11.1789737171464</v>
      </c>
      <c r="AA552" s="1">
        <v>19</v>
      </c>
      <c r="AB552" s="1">
        <v>676000</v>
      </c>
      <c r="AC552" s="1">
        <f t="shared" si="8"/>
        <v>736000</v>
      </c>
    </row>
    <row r="553" spans="1:29" x14ac:dyDescent="0.25">
      <c r="A553" s="1" t="s">
        <v>906</v>
      </c>
      <c r="B553" s="1" t="s">
        <v>907</v>
      </c>
      <c r="C553" s="1" t="s">
        <v>908</v>
      </c>
      <c r="D553" s="1">
        <v>2020</v>
      </c>
      <c r="E553" s="1" t="s">
        <v>31</v>
      </c>
      <c r="F553" s="1">
        <v>4</v>
      </c>
      <c r="G553" s="1" t="s">
        <v>32</v>
      </c>
      <c r="H553" s="1" t="s">
        <v>151</v>
      </c>
      <c r="I553" s="1">
        <v>169000</v>
      </c>
      <c r="J553" s="1">
        <v>154000</v>
      </c>
      <c r="K553" s="1">
        <v>15000</v>
      </c>
      <c r="L553" s="1">
        <v>0</v>
      </c>
      <c r="M553" s="1" t="s">
        <v>34</v>
      </c>
      <c r="N553" s="1" t="s">
        <v>63</v>
      </c>
      <c r="O553" s="1" t="s">
        <v>64</v>
      </c>
      <c r="P553" s="1" t="s">
        <v>65</v>
      </c>
      <c r="Q553" s="1" t="s">
        <v>38</v>
      </c>
      <c r="R553" s="1" t="s">
        <v>909</v>
      </c>
      <c r="S553" s="3">
        <v>918272000000</v>
      </c>
      <c r="T553" s="1" t="s">
        <v>98</v>
      </c>
      <c r="U553" s="1">
        <v>86</v>
      </c>
      <c r="V553" s="1">
        <v>77</v>
      </c>
      <c r="W553" s="1" t="s">
        <v>52</v>
      </c>
      <c r="X553" s="1">
        <v>567401</v>
      </c>
      <c r="Y553" s="2">
        <v>37324</v>
      </c>
      <c r="Z553" s="1">
        <v>11.1789737171464</v>
      </c>
      <c r="AA553" s="1">
        <v>22</v>
      </c>
      <c r="AB553" s="1">
        <v>676000</v>
      </c>
      <c r="AC553" s="1">
        <f t="shared" si="8"/>
        <v>736000</v>
      </c>
    </row>
    <row r="554" spans="1:29" x14ac:dyDescent="0.25">
      <c r="A554" s="1" t="s">
        <v>914</v>
      </c>
      <c r="B554" s="1" t="s">
        <v>915</v>
      </c>
      <c r="C554" s="1" t="s">
        <v>916</v>
      </c>
      <c r="D554" s="1">
        <v>2020</v>
      </c>
      <c r="E554" s="1" t="s">
        <v>31</v>
      </c>
      <c r="F554" s="1">
        <v>4</v>
      </c>
      <c r="G554" s="1" t="s">
        <v>32</v>
      </c>
      <c r="H554" s="1" t="s">
        <v>47</v>
      </c>
      <c r="I554" s="1">
        <v>169000</v>
      </c>
      <c r="J554" s="1">
        <v>154000</v>
      </c>
      <c r="K554" s="1">
        <v>15000</v>
      </c>
      <c r="L554" s="1">
        <v>0</v>
      </c>
      <c r="M554" s="1" t="s">
        <v>34</v>
      </c>
      <c r="N554" s="1" t="s">
        <v>70</v>
      </c>
      <c r="O554" s="1" t="s">
        <v>78</v>
      </c>
      <c r="P554" s="1" t="s">
        <v>79</v>
      </c>
      <c r="Q554" s="1" t="s">
        <v>38</v>
      </c>
      <c r="R554" s="1" t="s">
        <v>917</v>
      </c>
      <c r="S554" s="3">
        <v>918994000000</v>
      </c>
      <c r="T554" s="1" t="s">
        <v>51</v>
      </c>
      <c r="U554" s="1">
        <v>86</v>
      </c>
      <c r="V554" s="1">
        <v>81</v>
      </c>
      <c r="W554" s="1" t="s">
        <v>41</v>
      </c>
      <c r="X554" s="1">
        <v>118124</v>
      </c>
      <c r="Y554" s="2">
        <v>38234</v>
      </c>
      <c r="Z554" s="1">
        <v>11.1789737171464</v>
      </c>
      <c r="AA554" s="1">
        <v>19</v>
      </c>
      <c r="AB554" s="1">
        <v>676000</v>
      </c>
      <c r="AC554" s="1">
        <f t="shared" si="8"/>
        <v>736000</v>
      </c>
    </row>
    <row r="555" spans="1:29" x14ac:dyDescent="0.25">
      <c r="A555" s="1" t="s">
        <v>922</v>
      </c>
      <c r="B555" s="1" t="s">
        <v>923</v>
      </c>
      <c r="C555" s="1" t="s">
        <v>924</v>
      </c>
      <c r="D555" s="1">
        <v>2020</v>
      </c>
      <c r="E555" s="1" t="s">
        <v>31</v>
      </c>
      <c r="F555" s="1">
        <v>4</v>
      </c>
      <c r="G555" s="1" t="s">
        <v>32</v>
      </c>
      <c r="H555" s="1" t="s">
        <v>122</v>
      </c>
      <c r="I555" s="1">
        <v>169000</v>
      </c>
      <c r="J555" s="1">
        <v>154000</v>
      </c>
      <c r="K555" s="1">
        <v>15000</v>
      </c>
      <c r="L555" s="1">
        <v>0</v>
      </c>
      <c r="M555" s="1" t="s">
        <v>34</v>
      </c>
      <c r="N555" s="1" t="s">
        <v>35</v>
      </c>
      <c r="O555" s="1" t="s">
        <v>64</v>
      </c>
      <c r="P555" s="1" t="s">
        <v>65</v>
      </c>
      <c r="Q555" s="1" t="s">
        <v>38</v>
      </c>
      <c r="R555" s="1" t="s">
        <v>925</v>
      </c>
      <c r="S555" s="3">
        <v>918937000000</v>
      </c>
      <c r="T555" s="1" t="s">
        <v>40</v>
      </c>
      <c r="U555" s="1">
        <v>86</v>
      </c>
      <c r="V555" s="1">
        <v>80</v>
      </c>
      <c r="W555" s="1" t="s">
        <v>41</v>
      </c>
      <c r="X555" s="1">
        <v>462529</v>
      </c>
      <c r="Y555" s="2">
        <v>38366</v>
      </c>
      <c r="Z555" s="1">
        <v>11.1789737171464</v>
      </c>
      <c r="AA555" s="1">
        <v>19</v>
      </c>
      <c r="AB555" s="1">
        <v>676000</v>
      </c>
      <c r="AC555" s="1">
        <f t="shared" si="8"/>
        <v>736000</v>
      </c>
    </row>
    <row r="556" spans="1:29" x14ac:dyDescent="0.25">
      <c r="A556" s="1" t="s">
        <v>998</v>
      </c>
      <c r="B556" s="1" t="s">
        <v>999</v>
      </c>
      <c r="C556" s="1" t="s">
        <v>1000</v>
      </c>
      <c r="D556" s="1">
        <v>2020</v>
      </c>
      <c r="E556" s="1" t="s">
        <v>31</v>
      </c>
      <c r="F556" s="1">
        <v>4</v>
      </c>
      <c r="G556" s="1" t="s">
        <v>32</v>
      </c>
      <c r="H556" s="1" t="s">
        <v>122</v>
      </c>
      <c r="I556" s="1">
        <v>169000</v>
      </c>
      <c r="J556" s="1">
        <v>154000</v>
      </c>
      <c r="K556" s="1">
        <v>15000</v>
      </c>
      <c r="L556" s="1">
        <v>0</v>
      </c>
      <c r="M556" s="1" t="s">
        <v>34</v>
      </c>
      <c r="N556" s="1" t="s">
        <v>63</v>
      </c>
      <c r="O556" s="1" t="s">
        <v>78</v>
      </c>
      <c r="P556" s="1" t="s">
        <v>79</v>
      </c>
      <c r="Q556" s="1" t="s">
        <v>38</v>
      </c>
      <c r="R556" s="1" t="s">
        <v>1001</v>
      </c>
      <c r="S556" s="3">
        <v>917260000000</v>
      </c>
      <c r="T556" s="1" t="s">
        <v>40</v>
      </c>
      <c r="U556" s="1">
        <v>86</v>
      </c>
      <c r="V556" s="1">
        <v>74</v>
      </c>
      <c r="W556" s="1" t="s">
        <v>41</v>
      </c>
      <c r="X556" s="1">
        <v>433466</v>
      </c>
      <c r="Y556" s="2">
        <v>38354</v>
      </c>
      <c r="Z556" s="1">
        <v>11.1789737171464</v>
      </c>
      <c r="AA556" s="1">
        <v>19</v>
      </c>
      <c r="AB556" s="1">
        <v>676000</v>
      </c>
      <c r="AC556" s="1">
        <f t="shared" si="8"/>
        <v>736000</v>
      </c>
    </row>
    <row r="557" spans="1:29" x14ac:dyDescent="0.25">
      <c r="A557" s="1" t="s">
        <v>1034</v>
      </c>
      <c r="B557" s="1" t="s">
        <v>1035</v>
      </c>
      <c r="C557" s="1" t="s">
        <v>1036</v>
      </c>
      <c r="D557" s="1">
        <v>2020</v>
      </c>
      <c r="E557" s="1" t="s">
        <v>45</v>
      </c>
      <c r="F557" s="1">
        <v>2</v>
      </c>
      <c r="G557" s="1" t="s">
        <v>46</v>
      </c>
      <c r="H557" s="1" t="s">
        <v>113</v>
      </c>
      <c r="I557" s="1">
        <v>92000</v>
      </c>
      <c r="J557" s="1">
        <v>77000</v>
      </c>
      <c r="K557" s="1">
        <v>15000</v>
      </c>
      <c r="L557" s="1">
        <v>0</v>
      </c>
      <c r="M557" s="1" t="s">
        <v>34</v>
      </c>
      <c r="N557" s="1" t="s">
        <v>63</v>
      </c>
      <c r="O557" s="1" t="s">
        <v>64</v>
      </c>
      <c r="P557" s="1" t="s">
        <v>65</v>
      </c>
      <c r="Q557" s="1" t="s">
        <v>38</v>
      </c>
      <c r="R557" s="1" t="s">
        <v>1037</v>
      </c>
      <c r="S557" s="3">
        <v>919539000000</v>
      </c>
      <c r="T557" s="1" t="s">
        <v>98</v>
      </c>
      <c r="U557" s="1">
        <v>86</v>
      </c>
      <c r="V557" s="1">
        <v>69</v>
      </c>
      <c r="W557" s="1" t="s">
        <v>41</v>
      </c>
      <c r="X557" s="1">
        <v>515651</v>
      </c>
      <c r="Y557" s="2">
        <v>36940</v>
      </c>
      <c r="Z557" s="1">
        <v>11.1789737171464</v>
      </c>
      <c r="AA557" s="1">
        <v>23</v>
      </c>
      <c r="AB557" s="1">
        <v>184000</v>
      </c>
      <c r="AC557" s="1">
        <f t="shared" si="8"/>
        <v>214000</v>
      </c>
    </row>
    <row r="558" spans="1:29" x14ac:dyDescent="0.25">
      <c r="A558" s="1" t="s">
        <v>1038</v>
      </c>
      <c r="B558" s="1" t="s">
        <v>1039</v>
      </c>
      <c r="C558" s="1" t="s">
        <v>1040</v>
      </c>
      <c r="D558" s="1">
        <v>2020</v>
      </c>
      <c r="E558" s="1" t="s">
        <v>45</v>
      </c>
      <c r="F558" s="1">
        <v>2</v>
      </c>
      <c r="G558" s="1" t="s">
        <v>46</v>
      </c>
      <c r="H558" s="1" t="s">
        <v>62</v>
      </c>
      <c r="I558" s="1">
        <v>92000</v>
      </c>
      <c r="J558" s="1">
        <v>77000</v>
      </c>
      <c r="K558" s="1">
        <v>15000</v>
      </c>
      <c r="L558" s="1">
        <v>0</v>
      </c>
      <c r="M558" s="1" t="s">
        <v>34</v>
      </c>
      <c r="N558" s="1" t="s">
        <v>35</v>
      </c>
      <c r="O558" s="1" t="s">
        <v>48</v>
      </c>
      <c r="P558" s="1" t="s">
        <v>49</v>
      </c>
      <c r="Q558" s="1" t="s">
        <v>38</v>
      </c>
      <c r="R558" s="1" t="s">
        <v>1041</v>
      </c>
      <c r="S558" s="3">
        <v>919888000000</v>
      </c>
      <c r="T558" s="1" t="s">
        <v>51</v>
      </c>
      <c r="U558" s="1">
        <v>86</v>
      </c>
      <c r="V558" s="1">
        <v>85</v>
      </c>
      <c r="W558" s="1" t="s">
        <v>41</v>
      </c>
      <c r="X558" s="1">
        <v>301344</v>
      </c>
      <c r="Y558" s="2">
        <v>36829</v>
      </c>
      <c r="Z558" s="1">
        <v>11.1789737171464</v>
      </c>
      <c r="AA558" s="1">
        <v>23</v>
      </c>
      <c r="AB558" s="1">
        <v>184000</v>
      </c>
      <c r="AC558" s="1">
        <f t="shared" si="8"/>
        <v>214000</v>
      </c>
    </row>
    <row r="559" spans="1:29" x14ac:dyDescent="0.25">
      <c r="A559" s="1" t="s">
        <v>1050</v>
      </c>
      <c r="B559" s="1" t="s">
        <v>1051</v>
      </c>
      <c r="C559" s="1" t="s">
        <v>1052</v>
      </c>
      <c r="D559" s="1">
        <v>2020</v>
      </c>
      <c r="E559" s="1" t="s">
        <v>31</v>
      </c>
      <c r="F559" s="1">
        <v>4</v>
      </c>
      <c r="G559" s="1" t="s">
        <v>32</v>
      </c>
      <c r="H559" s="1" t="s">
        <v>122</v>
      </c>
      <c r="I559" s="1">
        <v>169000</v>
      </c>
      <c r="J559" s="1">
        <v>154000</v>
      </c>
      <c r="K559" s="1">
        <v>15000</v>
      </c>
      <c r="L559" s="1">
        <v>0</v>
      </c>
      <c r="M559" s="1" t="s">
        <v>34</v>
      </c>
      <c r="N559" s="1" t="s">
        <v>35</v>
      </c>
      <c r="O559" s="1" t="s">
        <v>64</v>
      </c>
      <c r="P559" s="1" t="s">
        <v>65</v>
      </c>
      <c r="Q559" s="1" t="s">
        <v>38</v>
      </c>
      <c r="R559" s="1" t="s">
        <v>1053</v>
      </c>
      <c r="S559" s="3">
        <v>919470000000</v>
      </c>
      <c r="T559" s="1" t="s">
        <v>98</v>
      </c>
      <c r="U559" s="1">
        <v>86</v>
      </c>
      <c r="V559" s="1">
        <v>77</v>
      </c>
      <c r="W559" s="1" t="s">
        <v>52</v>
      </c>
      <c r="X559" s="1">
        <v>257838</v>
      </c>
      <c r="Y559" s="2">
        <v>36821</v>
      </c>
      <c r="Z559" s="1">
        <v>11.1789737171464</v>
      </c>
      <c r="AA559" s="1">
        <v>23</v>
      </c>
      <c r="AB559" s="1">
        <v>676000</v>
      </c>
      <c r="AC559" s="1">
        <f t="shared" si="8"/>
        <v>736000</v>
      </c>
    </row>
    <row r="560" spans="1:29" x14ac:dyDescent="0.25">
      <c r="A560" s="1" t="s">
        <v>1072</v>
      </c>
      <c r="B560" s="1" t="s">
        <v>1073</v>
      </c>
      <c r="C560" s="1" t="s">
        <v>1074</v>
      </c>
      <c r="D560" s="1">
        <v>2020</v>
      </c>
      <c r="E560" s="1" t="s">
        <v>31</v>
      </c>
      <c r="F560" s="1">
        <v>4</v>
      </c>
      <c r="G560" s="1" t="s">
        <v>32</v>
      </c>
      <c r="H560" s="1" t="s">
        <v>90</v>
      </c>
      <c r="I560" s="1">
        <v>169000</v>
      </c>
      <c r="J560" s="1">
        <v>154000</v>
      </c>
      <c r="K560" s="1">
        <v>15000</v>
      </c>
      <c r="L560" s="1">
        <v>0</v>
      </c>
      <c r="M560" s="1" t="s">
        <v>34</v>
      </c>
      <c r="N560" s="1" t="s">
        <v>63</v>
      </c>
      <c r="O560" s="1" t="s">
        <v>78</v>
      </c>
      <c r="P560" s="1" t="s">
        <v>79</v>
      </c>
      <c r="Q560" s="1" t="s">
        <v>38</v>
      </c>
      <c r="R560" s="1" t="s">
        <v>1075</v>
      </c>
      <c r="S560" s="3">
        <v>918459000000</v>
      </c>
      <c r="T560" s="1" t="s">
        <v>40</v>
      </c>
      <c r="U560" s="1">
        <v>86</v>
      </c>
      <c r="V560" s="1">
        <v>77</v>
      </c>
      <c r="W560" s="1" t="s">
        <v>41</v>
      </c>
      <c r="X560" s="1">
        <v>700951</v>
      </c>
      <c r="Y560" s="2">
        <v>38020</v>
      </c>
      <c r="Z560" s="1">
        <v>11.1789737171464</v>
      </c>
      <c r="AA560" s="1">
        <v>20</v>
      </c>
      <c r="AB560" s="1">
        <v>676000</v>
      </c>
      <c r="AC560" s="1">
        <f t="shared" si="8"/>
        <v>736000</v>
      </c>
    </row>
    <row r="561" spans="1:29" x14ac:dyDescent="0.25">
      <c r="A561" s="1" t="s">
        <v>1098</v>
      </c>
      <c r="B561" s="1" t="s">
        <v>1099</v>
      </c>
      <c r="C561" s="1" t="s">
        <v>1100</v>
      </c>
      <c r="D561" s="1">
        <v>2020</v>
      </c>
      <c r="E561" s="1" t="s">
        <v>31</v>
      </c>
      <c r="F561" s="1">
        <v>4</v>
      </c>
      <c r="G561" s="1" t="s">
        <v>32</v>
      </c>
      <c r="H561" s="1" t="s">
        <v>113</v>
      </c>
      <c r="I561" s="1">
        <v>169000</v>
      </c>
      <c r="J561" s="1">
        <v>154000</v>
      </c>
      <c r="K561" s="1">
        <v>15000</v>
      </c>
      <c r="L561" s="1">
        <v>0</v>
      </c>
      <c r="M561" s="1" t="s">
        <v>34</v>
      </c>
      <c r="N561" s="1" t="s">
        <v>70</v>
      </c>
      <c r="O561" s="1" t="s">
        <v>188</v>
      </c>
      <c r="P561" s="1" t="s">
        <v>189</v>
      </c>
      <c r="Q561" s="1" t="s">
        <v>38</v>
      </c>
      <c r="R561" s="1" t="s">
        <v>1101</v>
      </c>
      <c r="S561" s="3">
        <v>919844000000</v>
      </c>
      <c r="T561" s="1" t="s">
        <v>51</v>
      </c>
      <c r="U561" s="1">
        <v>86</v>
      </c>
      <c r="V561" s="1">
        <v>88</v>
      </c>
      <c r="W561" s="1" t="s">
        <v>41</v>
      </c>
      <c r="X561" s="1">
        <v>365676</v>
      </c>
      <c r="Y561" s="2">
        <v>37176</v>
      </c>
      <c r="Z561" s="1">
        <v>11.1789737171464</v>
      </c>
      <c r="AA561" s="1">
        <v>22</v>
      </c>
      <c r="AB561" s="1">
        <v>676000</v>
      </c>
      <c r="AC561" s="1">
        <f t="shared" si="8"/>
        <v>736000</v>
      </c>
    </row>
    <row r="562" spans="1:29" x14ac:dyDescent="0.25">
      <c r="A562" s="1" t="s">
        <v>1140</v>
      </c>
      <c r="B562" s="1" t="s">
        <v>1141</v>
      </c>
      <c r="C562" s="1" t="s">
        <v>1142</v>
      </c>
      <c r="D562" s="1">
        <v>2020</v>
      </c>
      <c r="E562" s="1" t="s">
        <v>31</v>
      </c>
      <c r="F562" s="1">
        <v>4</v>
      </c>
      <c r="G562" s="1" t="s">
        <v>32</v>
      </c>
      <c r="H562" s="1" t="s">
        <v>113</v>
      </c>
      <c r="I562" s="1">
        <v>169000</v>
      </c>
      <c r="J562" s="1">
        <v>154000</v>
      </c>
      <c r="K562" s="1">
        <v>15000</v>
      </c>
      <c r="L562" s="1">
        <v>0</v>
      </c>
      <c r="M562" s="1" t="s">
        <v>34</v>
      </c>
      <c r="N562" s="1" t="s">
        <v>63</v>
      </c>
      <c r="O562" s="1" t="s">
        <v>48</v>
      </c>
      <c r="P562" s="1" t="s">
        <v>49</v>
      </c>
      <c r="Q562" s="1" t="s">
        <v>38</v>
      </c>
      <c r="R562" s="1" t="s">
        <v>1143</v>
      </c>
      <c r="S562" s="3">
        <v>917440000000</v>
      </c>
      <c r="T562" s="1" t="s">
        <v>98</v>
      </c>
      <c r="U562" s="1">
        <v>85</v>
      </c>
      <c r="V562" s="1">
        <v>86</v>
      </c>
      <c r="W562" s="1" t="s">
        <v>52</v>
      </c>
      <c r="X562" s="1">
        <v>398366</v>
      </c>
      <c r="Y562" s="2">
        <v>37919</v>
      </c>
      <c r="Z562" s="1">
        <v>10.1789737171464</v>
      </c>
      <c r="AA562" s="1">
        <v>20</v>
      </c>
      <c r="AB562" s="1">
        <v>676000</v>
      </c>
      <c r="AC562" s="1">
        <f t="shared" si="8"/>
        <v>736000</v>
      </c>
    </row>
    <row r="563" spans="1:29" x14ac:dyDescent="0.25">
      <c r="A563" s="1" t="s">
        <v>1162</v>
      </c>
      <c r="B563" s="1" t="s">
        <v>1163</v>
      </c>
      <c r="C563" s="1" t="s">
        <v>1164</v>
      </c>
      <c r="D563" s="1">
        <v>2020</v>
      </c>
      <c r="E563" s="1" t="s">
        <v>31</v>
      </c>
      <c r="F563" s="1">
        <v>4</v>
      </c>
      <c r="G563" s="1" t="s">
        <v>32</v>
      </c>
      <c r="H563" s="1" t="s">
        <v>210</v>
      </c>
      <c r="I563" s="1">
        <v>169000</v>
      </c>
      <c r="J563" s="1">
        <v>154000</v>
      </c>
      <c r="K563" s="1">
        <v>15000</v>
      </c>
      <c r="L563" s="1">
        <v>0</v>
      </c>
      <c r="M563" s="1" t="s">
        <v>34</v>
      </c>
      <c r="N563" s="1" t="s">
        <v>70</v>
      </c>
      <c r="O563" s="1" t="s">
        <v>84</v>
      </c>
      <c r="P563" s="1" t="s">
        <v>65</v>
      </c>
      <c r="Q563" s="1" t="s">
        <v>38</v>
      </c>
      <c r="R563" s="1" t="s">
        <v>1165</v>
      </c>
      <c r="S563" s="3">
        <v>917199000000</v>
      </c>
      <c r="T563" s="1" t="s">
        <v>40</v>
      </c>
      <c r="U563" s="1">
        <v>85</v>
      </c>
      <c r="V563" s="1">
        <v>73</v>
      </c>
      <c r="W563" s="1" t="s">
        <v>41</v>
      </c>
      <c r="X563" s="1">
        <v>361123</v>
      </c>
      <c r="Y563" s="2">
        <v>38718</v>
      </c>
      <c r="Z563" s="1">
        <v>10.1789737171464</v>
      </c>
      <c r="AA563" s="1">
        <v>18</v>
      </c>
      <c r="AB563" s="1">
        <v>676000</v>
      </c>
      <c r="AC563" s="1">
        <f t="shared" si="8"/>
        <v>736000</v>
      </c>
    </row>
    <row r="564" spans="1:29" x14ac:dyDescent="0.25">
      <c r="A564" s="1" t="s">
        <v>1166</v>
      </c>
      <c r="B564" s="1" t="s">
        <v>1167</v>
      </c>
      <c r="C564" s="1" t="s">
        <v>1168</v>
      </c>
      <c r="D564" s="1">
        <v>2020</v>
      </c>
      <c r="E564" s="1" t="s">
        <v>45</v>
      </c>
      <c r="F564" s="1">
        <v>2</v>
      </c>
      <c r="G564" s="1" t="s">
        <v>46</v>
      </c>
      <c r="H564" s="1" t="s">
        <v>47</v>
      </c>
      <c r="I564" s="1">
        <v>92000</v>
      </c>
      <c r="J564" s="1">
        <v>77000</v>
      </c>
      <c r="K564" s="1">
        <v>15000</v>
      </c>
      <c r="L564" s="1">
        <v>0</v>
      </c>
      <c r="M564" s="1" t="s">
        <v>34</v>
      </c>
      <c r="N564" s="1" t="s">
        <v>70</v>
      </c>
      <c r="O564" s="1" t="s">
        <v>71</v>
      </c>
      <c r="P564" s="1" t="s">
        <v>72</v>
      </c>
      <c r="Q564" s="1" t="s">
        <v>38</v>
      </c>
      <c r="R564" s="1" t="s">
        <v>1169</v>
      </c>
      <c r="S564" s="3">
        <v>917400000000</v>
      </c>
      <c r="T564" s="1" t="s">
        <v>51</v>
      </c>
      <c r="U564" s="1">
        <v>85</v>
      </c>
      <c r="V564" s="1">
        <v>76</v>
      </c>
      <c r="W564" s="1" t="s">
        <v>41</v>
      </c>
      <c r="X564" s="1">
        <v>209713</v>
      </c>
      <c r="Y564" s="2">
        <v>36560</v>
      </c>
      <c r="Z564" s="1">
        <v>10.1789737171464</v>
      </c>
      <c r="AA564" s="1">
        <v>24</v>
      </c>
      <c r="AB564" s="1">
        <v>184000</v>
      </c>
      <c r="AC564" s="1">
        <f t="shared" si="8"/>
        <v>214000</v>
      </c>
    </row>
    <row r="565" spans="1:29" x14ac:dyDescent="0.25">
      <c r="A565" s="1" t="s">
        <v>1174</v>
      </c>
      <c r="B565" s="1" t="s">
        <v>1175</v>
      </c>
      <c r="C565" s="1" t="s">
        <v>1176</v>
      </c>
      <c r="D565" s="1">
        <v>2020</v>
      </c>
      <c r="E565" s="1" t="s">
        <v>31</v>
      </c>
      <c r="F565" s="1">
        <v>4</v>
      </c>
      <c r="G565" s="1" t="s">
        <v>32</v>
      </c>
      <c r="H565" s="1" t="s">
        <v>47</v>
      </c>
      <c r="I565" s="1">
        <v>169000</v>
      </c>
      <c r="J565" s="1">
        <v>154000</v>
      </c>
      <c r="K565" s="1">
        <v>15000</v>
      </c>
      <c r="L565" s="1">
        <v>0</v>
      </c>
      <c r="M565" s="1" t="s">
        <v>34</v>
      </c>
      <c r="N565" s="1" t="s">
        <v>63</v>
      </c>
      <c r="O565" s="1" t="s">
        <v>103</v>
      </c>
      <c r="P565" s="1" t="s">
        <v>104</v>
      </c>
      <c r="Q565" s="1" t="s">
        <v>38</v>
      </c>
      <c r="R565" s="1" t="s">
        <v>1177</v>
      </c>
      <c r="S565" s="3">
        <v>917466000000</v>
      </c>
      <c r="T565" s="1" t="s">
        <v>51</v>
      </c>
      <c r="U565" s="1">
        <v>85</v>
      </c>
      <c r="V565" s="1">
        <v>91</v>
      </c>
      <c r="W565" s="1" t="s">
        <v>41</v>
      </c>
      <c r="X565" s="1">
        <v>458056</v>
      </c>
      <c r="Y565" s="2">
        <v>37237</v>
      </c>
      <c r="Z565" s="1">
        <v>10.1789737171464</v>
      </c>
      <c r="AA565" s="1">
        <v>22</v>
      </c>
      <c r="AB565" s="1">
        <v>676000</v>
      </c>
      <c r="AC565" s="1">
        <f t="shared" si="8"/>
        <v>736000</v>
      </c>
    </row>
    <row r="566" spans="1:29" x14ac:dyDescent="0.25">
      <c r="A566" s="1" t="s">
        <v>1188</v>
      </c>
      <c r="B566" s="1" t="s">
        <v>1189</v>
      </c>
      <c r="C566" s="1" t="s">
        <v>1190</v>
      </c>
      <c r="D566" s="1">
        <v>2020</v>
      </c>
      <c r="E566" s="1" t="s">
        <v>45</v>
      </c>
      <c r="F566" s="1">
        <v>2</v>
      </c>
      <c r="G566" s="1" t="s">
        <v>46</v>
      </c>
      <c r="H566" s="1" t="s">
        <v>33</v>
      </c>
      <c r="I566" s="1">
        <v>92000</v>
      </c>
      <c r="J566" s="1">
        <v>77000</v>
      </c>
      <c r="K566" s="1">
        <v>15000</v>
      </c>
      <c r="L566" s="1">
        <v>0</v>
      </c>
      <c r="M566" s="1" t="s">
        <v>34</v>
      </c>
      <c r="N566" s="1" t="s">
        <v>35</v>
      </c>
      <c r="O566" s="1" t="s">
        <v>36</v>
      </c>
      <c r="P566" s="1" t="s">
        <v>37</v>
      </c>
      <c r="Q566" s="1" t="s">
        <v>38</v>
      </c>
      <c r="R566" s="1" t="s">
        <v>1191</v>
      </c>
      <c r="S566" s="3">
        <v>919217000000</v>
      </c>
      <c r="T566" s="1" t="s">
        <v>86</v>
      </c>
      <c r="U566" s="1">
        <v>85</v>
      </c>
      <c r="V566" s="1">
        <v>85</v>
      </c>
      <c r="W566" s="1" t="s">
        <v>41</v>
      </c>
      <c r="X566" s="1">
        <v>725017</v>
      </c>
      <c r="Y566" s="2">
        <v>37392</v>
      </c>
      <c r="Z566" s="1">
        <v>10.1789737171464</v>
      </c>
      <c r="AA566" s="1">
        <v>22</v>
      </c>
      <c r="AB566" s="1">
        <v>184000</v>
      </c>
      <c r="AC566" s="1">
        <f t="shared" si="8"/>
        <v>214000</v>
      </c>
    </row>
    <row r="567" spans="1:29" x14ac:dyDescent="0.25">
      <c r="A567" s="1" t="s">
        <v>1230</v>
      </c>
      <c r="B567" s="1" t="s">
        <v>1231</v>
      </c>
      <c r="C567" s="1" t="s">
        <v>1232</v>
      </c>
      <c r="D567" s="1">
        <v>2020</v>
      </c>
      <c r="E567" s="1" t="s">
        <v>45</v>
      </c>
      <c r="F567" s="1">
        <v>2</v>
      </c>
      <c r="G567" s="1" t="s">
        <v>46</v>
      </c>
      <c r="H567" s="1" t="s">
        <v>33</v>
      </c>
      <c r="I567" s="1">
        <v>92000</v>
      </c>
      <c r="J567" s="1">
        <v>77000</v>
      </c>
      <c r="K567" s="1">
        <v>15000</v>
      </c>
      <c r="L567" s="1">
        <v>0</v>
      </c>
      <c r="M567" s="1" t="s">
        <v>34</v>
      </c>
      <c r="N567" s="1" t="s">
        <v>63</v>
      </c>
      <c r="O567" s="1" t="s">
        <v>36</v>
      </c>
      <c r="P567" s="1" t="s">
        <v>37</v>
      </c>
      <c r="Q567" s="1" t="s">
        <v>38</v>
      </c>
      <c r="R567" s="1" t="s">
        <v>1233</v>
      </c>
      <c r="S567" s="3">
        <v>919932000000</v>
      </c>
      <c r="T567" s="1" t="s">
        <v>51</v>
      </c>
      <c r="U567" s="1">
        <v>85</v>
      </c>
      <c r="V567" s="1">
        <v>92</v>
      </c>
      <c r="W567" s="1" t="s">
        <v>41</v>
      </c>
      <c r="X567" s="1">
        <v>351971</v>
      </c>
      <c r="Y567" s="2">
        <v>36525</v>
      </c>
      <c r="Z567" s="1">
        <v>10.1789737171464</v>
      </c>
      <c r="AA567" s="1">
        <v>24</v>
      </c>
      <c r="AB567" s="1">
        <v>184000</v>
      </c>
      <c r="AC567" s="1">
        <f t="shared" si="8"/>
        <v>214000</v>
      </c>
    </row>
    <row r="568" spans="1:29" x14ac:dyDescent="0.25">
      <c r="A568" s="1" t="s">
        <v>1238</v>
      </c>
      <c r="B568" s="1" t="s">
        <v>1239</v>
      </c>
      <c r="C568" s="1" t="s">
        <v>1240</v>
      </c>
      <c r="D568" s="1">
        <v>2020</v>
      </c>
      <c r="E568" s="1" t="s">
        <v>31</v>
      </c>
      <c r="F568" s="1">
        <v>4</v>
      </c>
      <c r="G568" s="1" t="s">
        <v>32</v>
      </c>
      <c r="H568" s="1" t="s">
        <v>90</v>
      </c>
      <c r="I568" s="1">
        <v>169000</v>
      </c>
      <c r="J568" s="1">
        <v>154000</v>
      </c>
      <c r="K568" s="1">
        <v>15000</v>
      </c>
      <c r="L568" s="1">
        <v>0</v>
      </c>
      <c r="M568" s="1" t="s">
        <v>34</v>
      </c>
      <c r="N568" s="1" t="s">
        <v>70</v>
      </c>
      <c r="O568" s="1" t="s">
        <v>36</v>
      </c>
      <c r="P568" s="1" t="s">
        <v>37</v>
      </c>
      <c r="Q568" s="1" t="s">
        <v>38</v>
      </c>
      <c r="R568" s="1" t="s">
        <v>1241</v>
      </c>
      <c r="S568" s="3">
        <v>919644000000</v>
      </c>
      <c r="T568" s="1" t="s">
        <v>74</v>
      </c>
      <c r="U568" s="1">
        <v>85</v>
      </c>
      <c r="V568" s="1">
        <v>72</v>
      </c>
      <c r="W568" s="1" t="s">
        <v>41</v>
      </c>
      <c r="X568" s="1">
        <v>217795</v>
      </c>
      <c r="Y568" s="2">
        <v>37431</v>
      </c>
      <c r="Z568" s="1">
        <v>10.1789737171464</v>
      </c>
      <c r="AA568" s="1">
        <v>22</v>
      </c>
      <c r="AB568" s="1">
        <v>676000</v>
      </c>
      <c r="AC568" s="1">
        <f t="shared" si="8"/>
        <v>736000</v>
      </c>
    </row>
    <row r="569" spans="1:29" x14ac:dyDescent="0.25">
      <c r="A569" s="1" t="s">
        <v>1290</v>
      </c>
      <c r="B569" s="1" t="s">
        <v>1291</v>
      </c>
      <c r="C569" s="1" t="s">
        <v>1292</v>
      </c>
      <c r="D569" s="1">
        <v>2020</v>
      </c>
      <c r="E569" s="1" t="s">
        <v>31</v>
      </c>
      <c r="F569" s="1">
        <v>4</v>
      </c>
      <c r="G569" s="1" t="s">
        <v>32</v>
      </c>
      <c r="H569" s="1" t="s">
        <v>210</v>
      </c>
      <c r="I569" s="1">
        <v>169000</v>
      </c>
      <c r="J569" s="1">
        <v>154000</v>
      </c>
      <c r="K569" s="1">
        <v>15000</v>
      </c>
      <c r="L569" s="1">
        <v>0</v>
      </c>
      <c r="M569" s="1" t="s">
        <v>34</v>
      </c>
      <c r="N569" s="1" t="s">
        <v>63</v>
      </c>
      <c r="O569" s="1" t="s">
        <v>48</v>
      </c>
      <c r="P569" s="1" t="s">
        <v>49</v>
      </c>
      <c r="Q569" s="1" t="s">
        <v>38</v>
      </c>
      <c r="R569" s="1" t="s">
        <v>1293</v>
      </c>
      <c r="S569" s="3">
        <v>917626000000</v>
      </c>
      <c r="T569" s="1" t="s">
        <v>51</v>
      </c>
      <c r="U569" s="1">
        <v>84</v>
      </c>
      <c r="V569" s="1">
        <v>65</v>
      </c>
      <c r="W569" s="1" t="s">
        <v>41</v>
      </c>
      <c r="X569" s="1">
        <v>732523</v>
      </c>
      <c r="Y569" s="2">
        <v>37334</v>
      </c>
      <c r="Z569" s="1">
        <v>9.1789737171464303</v>
      </c>
      <c r="AA569" s="1">
        <v>22</v>
      </c>
      <c r="AB569" s="1">
        <v>676000</v>
      </c>
      <c r="AC569" s="1">
        <f t="shared" si="8"/>
        <v>736000</v>
      </c>
    </row>
    <row r="570" spans="1:29" x14ac:dyDescent="0.25">
      <c r="A570" s="1" t="s">
        <v>1294</v>
      </c>
      <c r="B570" s="1" t="s">
        <v>883</v>
      </c>
      <c r="C570" s="1" t="s">
        <v>884</v>
      </c>
      <c r="D570" s="1">
        <v>2020</v>
      </c>
      <c r="E570" s="1" t="s">
        <v>45</v>
      </c>
      <c r="F570" s="1">
        <v>2</v>
      </c>
      <c r="G570" s="1" t="s">
        <v>46</v>
      </c>
      <c r="H570" s="1" t="s">
        <v>90</v>
      </c>
      <c r="I570" s="1">
        <v>92000</v>
      </c>
      <c r="J570" s="1">
        <v>77000</v>
      </c>
      <c r="K570" s="1">
        <v>15000</v>
      </c>
      <c r="L570" s="1">
        <v>0</v>
      </c>
      <c r="M570" s="1" t="s">
        <v>34</v>
      </c>
      <c r="N570" s="1" t="s">
        <v>35</v>
      </c>
      <c r="O570" s="1" t="s">
        <v>78</v>
      </c>
      <c r="P570" s="1" t="s">
        <v>79</v>
      </c>
      <c r="Q570" s="1" t="s">
        <v>38</v>
      </c>
      <c r="R570" s="1" t="s">
        <v>1295</v>
      </c>
      <c r="S570" s="3">
        <v>918258000000</v>
      </c>
      <c r="T570" s="1" t="s">
        <v>74</v>
      </c>
      <c r="U570" s="1">
        <v>84</v>
      </c>
      <c r="V570" s="1">
        <v>79</v>
      </c>
      <c r="W570" s="1" t="s">
        <v>41</v>
      </c>
      <c r="X570" s="1">
        <v>588512</v>
      </c>
      <c r="Y570" s="2">
        <v>35752</v>
      </c>
      <c r="Z570" s="1">
        <v>9.1789737171464303</v>
      </c>
      <c r="AA570" s="1">
        <v>26</v>
      </c>
      <c r="AB570" s="1">
        <v>184000</v>
      </c>
      <c r="AC570" s="1">
        <f t="shared" si="8"/>
        <v>214000</v>
      </c>
    </row>
    <row r="571" spans="1:29" x14ac:dyDescent="0.25">
      <c r="A571" s="1" t="s">
        <v>1300</v>
      </c>
      <c r="B571" s="1" t="s">
        <v>1301</v>
      </c>
      <c r="C571" s="1" t="s">
        <v>1302</v>
      </c>
      <c r="D571" s="1">
        <v>2020</v>
      </c>
      <c r="E571" s="1" t="s">
        <v>45</v>
      </c>
      <c r="F571" s="1">
        <v>2</v>
      </c>
      <c r="G571" s="1" t="s">
        <v>46</v>
      </c>
      <c r="H571" s="1" t="s">
        <v>90</v>
      </c>
      <c r="I571" s="1">
        <v>92000</v>
      </c>
      <c r="J571" s="1">
        <v>77000</v>
      </c>
      <c r="K571" s="1">
        <v>15000</v>
      </c>
      <c r="L571" s="1">
        <v>0</v>
      </c>
      <c r="M571" s="1" t="s">
        <v>34</v>
      </c>
      <c r="N571" s="1" t="s">
        <v>63</v>
      </c>
      <c r="O571" s="1" t="s">
        <v>103</v>
      </c>
      <c r="P571" s="1" t="s">
        <v>104</v>
      </c>
      <c r="Q571" s="1" t="s">
        <v>38</v>
      </c>
      <c r="R571" s="1" t="s">
        <v>1303</v>
      </c>
      <c r="S571" s="3">
        <v>918323000000</v>
      </c>
      <c r="T571" s="1" t="s">
        <v>51</v>
      </c>
      <c r="U571" s="1">
        <v>84</v>
      </c>
      <c r="V571" s="1">
        <v>61</v>
      </c>
      <c r="W571" s="1" t="s">
        <v>41</v>
      </c>
      <c r="X571" s="1">
        <v>557320</v>
      </c>
      <c r="Y571" s="2">
        <v>36708</v>
      </c>
      <c r="Z571" s="1">
        <v>9.1789737171464303</v>
      </c>
      <c r="AA571" s="1">
        <v>24</v>
      </c>
      <c r="AB571" s="1">
        <v>184000</v>
      </c>
      <c r="AC571" s="1">
        <f t="shared" si="8"/>
        <v>214000</v>
      </c>
    </row>
    <row r="572" spans="1:29" x14ac:dyDescent="0.25">
      <c r="A572" s="1" t="s">
        <v>1334</v>
      </c>
      <c r="B572" s="1" t="s">
        <v>1335</v>
      </c>
      <c r="C572" s="1" t="s">
        <v>1336</v>
      </c>
      <c r="D572" s="1">
        <v>2020</v>
      </c>
      <c r="E572" s="1" t="s">
        <v>31</v>
      </c>
      <c r="F572" s="1">
        <v>4</v>
      </c>
      <c r="G572" s="1" t="s">
        <v>32</v>
      </c>
      <c r="H572" s="1" t="s">
        <v>151</v>
      </c>
      <c r="I572" s="1">
        <v>169000</v>
      </c>
      <c r="J572" s="1">
        <v>154000</v>
      </c>
      <c r="K572" s="1">
        <v>15000</v>
      </c>
      <c r="L572" s="1">
        <v>0</v>
      </c>
      <c r="M572" s="1" t="s">
        <v>34</v>
      </c>
      <c r="N572" s="1" t="s">
        <v>63</v>
      </c>
      <c r="O572" s="1" t="s">
        <v>78</v>
      </c>
      <c r="P572" s="1" t="s">
        <v>79</v>
      </c>
      <c r="Q572" s="1" t="s">
        <v>38</v>
      </c>
      <c r="R572" s="1" t="s">
        <v>1337</v>
      </c>
      <c r="S572" s="3">
        <v>918089000000</v>
      </c>
      <c r="T572" s="1" t="s">
        <v>51</v>
      </c>
      <c r="U572" s="1">
        <v>84</v>
      </c>
      <c r="V572" s="1">
        <v>70</v>
      </c>
      <c r="W572" s="1" t="s">
        <v>52</v>
      </c>
      <c r="X572" s="1">
        <v>534038</v>
      </c>
      <c r="Y572" s="2">
        <v>37143</v>
      </c>
      <c r="Z572" s="1">
        <v>9.1789737171464303</v>
      </c>
      <c r="AA572" s="1">
        <v>22</v>
      </c>
      <c r="AB572" s="1">
        <v>676000</v>
      </c>
      <c r="AC572" s="1">
        <f t="shared" si="8"/>
        <v>736000</v>
      </c>
    </row>
    <row r="573" spans="1:29" x14ac:dyDescent="0.25">
      <c r="A573" s="1" t="s">
        <v>1342</v>
      </c>
      <c r="B573" s="1" t="s">
        <v>1343</v>
      </c>
      <c r="C573" s="1" t="s">
        <v>1344</v>
      </c>
      <c r="D573" s="1">
        <v>2020</v>
      </c>
      <c r="E573" s="1" t="s">
        <v>45</v>
      </c>
      <c r="F573" s="1">
        <v>2</v>
      </c>
      <c r="G573" s="1" t="s">
        <v>46</v>
      </c>
      <c r="H573" s="1" t="s">
        <v>33</v>
      </c>
      <c r="I573" s="1">
        <v>92000</v>
      </c>
      <c r="J573" s="1">
        <v>77000</v>
      </c>
      <c r="K573" s="1">
        <v>15000</v>
      </c>
      <c r="L573" s="1">
        <v>0</v>
      </c>
      <c r="M573" s="1" t="s">
        <v>34</v>
      </c>
      <c r="N573" s="1" t="s">
        <v>70</v>
      </c>
      <c r="O573" s="1" t="s">
        <v>36</v>
      </c>
      <c r="P573" s="1" t="s">
        <v>37</v>
      </c>
      <c r="Q573" s="1" t="s">
        <v>38</v>
      </c>
      <c r="R573" s="1" t="s">
        <v>1345</v>
      </c>
      <c r="S573" s="3">
        <v>919599000000</v>
      </c>
      <c r="T573" s="1" t="s">
        <v>98</v>
      </c>
      <c r="U573" s="1">
        <v>84</v>
      </c>
      <c r="V573" s="1">
        <v>64</v>
      </c>
      <c r="W573" s="1" t="s">
        <v>52</v>
      </c>
      <c r="X573" s="1">
        <v>519756</v>
      </c>
      <c r="Y573" s="2">
        <v>36546</v>
      </c>
      <c r="Z573" s="1">
        <v>9.1789737171464303</v>
      </c>
      <c r="AA573" s="1">
        <v>24</v>
      </c>
      <c r="AB573" s="1">
        <v>184000</v>
      </c>
      <c r="AC573" s="1">
        <f t="shared" si="8"/>
        <v>214000</v>
      </c>
    </row>
    <row r="574" spans="1:29" x14ac:dyDescent="0.25">
      <c r="A574" s="1" t="s">
        <v>1350</v>
      </c>
      <c r="B574" s="1" t="s">
        <v>1351</v>
      </c>
      <c r="C574" s="1" t="s">
        <v>1352</v>
      </c>
      <c r="D574" s="1">
        <v>2020</v>
      </c>
      <c r="E574" s="1" t="s">
        <v>31</v>
      </c>
      <c r="F574" s="1">
        <v>4</v>
      </c>
      <c r="G574" s="1" t="s">
        <v>32</v>
      </c>
      <c r="H574" s="1" t="s">
        <v>102</v>
      </c>
      <c r="I574" s="1">
        <v>169000</v>
      </c>
      <c r="J574" s="1">
        <v>154000</v>
      </c>
      <c r="K574" s="1">
        <v>15000</v>
      </c>
      <c r="L574" s="1">
        <v>0</v>
      </c>
      <c r="M574" s="1" t="s">
        <v>34</v>
      </c>
      <c r="N574" s="1" t="s">
        <v>35</v>
      </c>
      <c r="O574" s="1" t="s">
        <v>78</v>
      </c>
      <c r="P574" s="1" t="s">
        <v>79</v>
      </c>
      <c r="Q574" s="1" t="s">
        <v>38</v>
      </c>
      <c r="R574" s="1" t="s">
        <v>1353</v>
      </c>
      <c r="S574" s="3">
        <v>917828000000</v>
      </c>
      <c r="T574" s="1" t="s">
        <v>98</v>
      </c>
      <c r="U574" s="1">
        <v>84</v>
      </c>
      <c r="V574" s="1">
        <v>63</v>
      </c>
      <c r="W574" s="1" t="s">
        <v>41</v>
      </c>
      <c r="X574" s="1">
        <v>268225</v>
      </c>
      <c r="Y574" s="2">
        <v>37950</v>
      </c>
      <c r="Z574" s="1">
        <v>9.1789737171464303</v>
      </c>
      <c r="AA574" s="1">
        <v>20</v>
      </c>
      <c r="AB574" s="1">
        <v>676000</v>
      </c>
      <c r="AC574" s="1">
        <f t="shared" si="8"/>
        <v>736000</v>
      </c>
    </row>
    <row r="575" spans="1:29" x14ac:dyDescent="0.25">
      <c r="A575" s="1" t="s">
        <v>1372</v>
      </c>
      <c r="B575" s="1" t="s">
        <v>657</v>
      </c>
      <c r="C575" s="1" t="s">
        <v>658</v>
      </c>
      <c r="D575" s="1">
        <v>2020</v>
      </c>
      <c r="E575" s="1" t="s">
        <v>31</v>
      </c>
      <c r="F575" s="1">
        <v>4</v>
      </c>
      <c r="G575" s="1" t="s">
        <v>32</v>
      </c>
      <c r="H575" s="1" t="s">
        <v>102</v>
      </c>
      <c r="I575" s="1">
        <v>169000</v>
      </c>
      <c r="J575" s="1">
        <v>154000</v>
      </c>
      <c r="K575" s="1">
        <v>15000</v>
      </c>
      <c r="L575" s="1">
        <v>0</v>
      </c>
      <c r="M575" s="1" t="s">
        <v>34</v>
      </c>
      <c r="N575" s="1" t="s">
        <v>63</v>
      </c>
      <c r="O575" s="1" t="s">
        <v>64</v>
      </c>
      <c r="P575" s="1" t="s">
        <v>65</v>
      </c>
      <c r="Q575" s="1" t="s">
        <v>38</v>
      </c>
      <c r="R575" s="1" t="s">
        <v>1373</v>
      </c>
      <c r="S575" s="3">
        <v>918432000000</v>
      </c>
      <c r="T575" s="1" t="s">
        <v>51</v>
      </c>
      <c r="U575" s="1">
        <v>84</v>
      </c>
      <c r="V575" s="1">
        <v>91</v>
      </c>
      <c r="W575" s="1" t="s">
        <v>52</v>
      </c>
      <c r="X575" s="1">
        <v>514823</v>
      </c>
      <c r="Y575" s="2">
        <v>37694</v>
      </c>
      <c r="Z575" s="1">
        <v>9.1789737171464303</v>
      </c>
      <c r="AA575" s="1">
        <v>21</v>
      </c>
      <c r="AB575" s="1">
        <v>676000</v>
      </c>
      <c r="AC575" s="1">
        <f t="shared" si="8"/>
        <v>736000</v>
      </c>
    </row>
    <row r="576" spans="1:29" x14ac:dyDescent="0.25">
      <c r="A576" s="1" t="s">
        <v>1376</v>
      </c>
      <c r="B576" s="1" t="s">
        <v>1377</v>
      </c>
      <c r="C576" s="1" t="s">
        <v>1378</v>
      </c>
      <c r="D576" s="1">
        <v>2020</v>
      </c>
      <c r="E576" s="1" t="s">
        <v>45</v>
      </c>
      <c r="F576" s="1">
        <v>2</v>
      </c>
      <c r="G576" s="1" t="s">
        <v>46</v>
      </c>
      <c r="H576" s="1" t="s">
        <v>113</v>
      </c>
      <c r="I576" s="1">
        <v>92000</v>
      </c>
      <c r="J576" s="1">
        <v>77000</v>
      </c>
      <c r="K576" s="1">
        <v>15000</v>
      </c>
      <c r="L576" s="1">
        <v>0</v>
      </c>
      <c r="M576" s="1" t="s">
        <v>34</v>
      </c>
      <c r="N576" s="1" t="s">
        <v>35</v>
      </c>
      <c r="O576" s="1" t="s">
        <v>188</v>
      </c>
      <c r="P576" s="1" t="s">
        <v>189</v>
      </c>
      <c r="Q576" s="1" t="s">
        <v>38</v>
      </c>
      <c r="R576" s="1" t="s">
        <v>1379</v>
      </c>
      <c r="S576" s="3">
        <v>919259000000</v>
      </c>
      <c r="T576" s="1" t="s">
        <v>40</v>
      </c>
      <c r="U576" s="1">
        <v>84</v>
      </c>
      <c r="V576" s="1">
        <v>73</v>
      </c>
      <c r="W576" s="1" t="s">
        <v>52</v>
      </c>
      <c r="X576" s="1">
        <v>378103</v>
      </c>
      <c r="Y576" s="2">
        <v>35492</v>
      </c>
      <c r="Z576" s="1">
        <v>9.1789737171464303</v>
      </c>
      <c r="AA576" s="1">
        <v>27</v>
      </c>
      <c r="AB576" s="1">
        <v>184000</v>
      </c>
      <c r="AC576" s="1">
        <f t="shared" si="8"/>
        <v>214000</v>
      </c>
    </row>
    <row r="577" spans="1:29" x14ac:dyDescent="0.25">
      <c r="A577" s="1" t="s">
        <v>1380</v>
      </c>
      <c r="B577" s="1" t="s">
        <v>1381</v>
      </c>
      <c r="C577" s="1" t="s">
        <v>1382</v>
      </c>
      <c r="D577" s="1">
        <v>2020</v>
      </c>
      <c r="E577" s="1" t="s">
        <v>31</v>
      </c>
      <c r="F577" s="1">
        <v>4</v>
      </c>
      <c r="G577" s="1" t="s">
        <v>32</v>
      </c>
      <c r="H577" s="1" t="s">
        <v>122</v>
      </c>
      <c r="I577" s="1">
        <v>169000</v>
      </c>
      <c r="J577" s="1">
        <v>154000</v>
      </c>
      <c r="K577" s="1">
        <v>15000</v>
      </c>
      <c r="L577" s="1">
        <v>0</v>
      </c>
      <c r="M577" s="1" t="s">
        <v>34</v>
      </c>
      <c r="N577" s="1" t="s">
        <v>35</v>
      </c>
      <c r="O577" s="1" t="s">
        <v>64</v>
      </c>
      <c r="P577" s="1" t="s">
        <v>65</v>
      </c>
      <c r="Q577" s="1" t="s">
        <v>38</v>
      </c>
      <c r="R577" s="1" t="s">
        <v>1383</v>
      </c>
      <c r="S577" s="3">
        <v>917700000000</v>
      </c>
      <c r="T577" s="1" t="s">
        <v>74</v>
      </c>
      <c r="U577" s="1">
        <v>84</v>
      </c>
      <c r="V577" s="1">
        <v>64</v>
      </c>
      <c r="W577" s="1" t="s">
        <v>41</v>
      </c>
      <c r="X577" s="1">
        <v>798056</v>
      </c>
      <c r="Y577" s="2">
        <v>37731</v>
      </c>
      <c r="Z577" s="1">
        <v>9.1789737171464303</v>
      </c>
      <c r="AA577" s="1">
        <v>21</v>
      </c>
      <c r="AB577" s="1">
        <v>676000</v>
      </c>
      <c r="AC577" s="1">
        <f t="shared" si="8"/>
        <v>736000</v>
      </c>
    </row>
    <row r="578" spans="1:29" x14ac:dyDescent="0.25">
      <c r="A578" s="1" t="s">
        <v>1422</v>
      </c>
      <c r="B578" s="1" t="s">
        <v>1423</v>
      </c>
      <c r="C578" s="1" t="s">
        <v>1424</v>
      </c>
      <c r="D578" s="1">
        <v>2020</v>
      </c>
      <c r="E578" s="1" t="s">
        <v>31</v>
      </c>
      <c r="F578" s="1">
        <v>4</v>
      </c>
      <c r="G578" s="1" t="s">
        <v>32</v>
      </c>
      <c r="H578" s="1" t="s">
        <v>47</v>
      </c>
      <c r="I578" s="1">
        <v>169000</v>
      </c>
      <c r="J578" s="1">
        <v>154000</v>
      </c>
      <c r="K578" s="1">
        <v>15000</v>
      </c>
      <c r="L578" s="1">
        <v>0</v>
      </c>
      <c r="M578" s="1" t="s">
        <v>34</v>
      </c>
      <c r="N578" s="1" t="s">
        <v>35</v>
      </c>
      <c r="O578" s="1" t="s">
        <v>103</v>
      </c>
      <c r="P578" s="1" t="s">
        <v>104</v>
      </c>
      <c r="Q578" s="1" t="s">
        <v>38</v>
      </c>
      <c r="R578" s="1" t="s">
        <v>1425</v>
      </c>
      <c r="S578" s="3">
        <v>919605000000</v>
      </c>
      <c r="T578" s="1" t="s">
        <v>40</v>
      </c>
      <c r="U578" s="1">
        <v>84</v>
      </c>
      <c r="V578" s="1">
        <v>73</v>
      </c>
      <c r="W578" s="1" t="s">
        <v>52</v>
      </c>
      <c r="X578" s="1">
        <v>588284</v>
      </c>
      <c r="Y578" s="2">
        <v>37224</v>
      </c>
      <c r="Z578" s="1">
        <v>9.1789737171464303</v>
      </c>
      <c r="AA578" s="1">
        <v>22</v>
      </c>
      <c r="AB578" s="1">
        <v>676000</v>
      </c>
      <c r="AC578" s="1">
        <f t="shared" si="8"/>
        <v>736000</v>
      </c>
    </row>
    <row r="579" spans="1:29" x14ac:dyDescent="0.25">
      <c r="A579" s="1" t="s">
        <v>1462</v>
      </c>
      <c r="B579" s="1" t="s">
        <v>1463</v>
      </c>
      <c r="C579" s="1" t="s">
        <v>1464</v>
      </c>
      <c r="D579" s="1">
        <v>2020</v>
      </c>
      <c r="E579" s="1" t="s">
        <v>31</v>
      </c>
      <c r="F579" s="1">
        <v>4</v>
      </c>
      <c r="G579" s="1" t="s">
        <v>32</v>
      </c>
      <c r="H579" s="1" t="s">
        <v>62</v>
      </c>
      <c r="I579" s="1">
        <v>169000</v>
      </c>
      <c r="J579" s="1">
        <v>154000</v>
      </c>
      <c r="K579" s="1">
        <v>15000</v>
      </c>
      <c r="L579" s="1">
        <v>0</v>
      </c>
      <c r="M579" s="1" t="s">
        <v>34</v>
      </c>
      <c r="N579" s="1" t="s">
        <v>63</v>
      </c>
      <c r="O579" s="1" t="s">
        <v>71</v>
      </c>
      <c r="P579" s="1" t="s">
        <v>72</v>
      </c>
      <c r="Q579" s="1" t="s">
        <v>38</v>
      </c>
      <c r="R579" s="1" t="s">
        <v>1465</v>
      </c>
      <c r="S579" s="3">
        <v>918148000000</v>
      </c>
      <c r="T579" s="1" t="s">
        <v>98</v>
      </c>
      <c r="U579" s="1">
        <v>83</v>
      </c>
      <c r="V579" s="1">
        <v>84</v>
      </c>
      <c r="W579" s="1" t="s">
        <v>52</v>
      </c>
      <c r="X579" s="1">
        <v>443854</v>
      </c>
      <c r="Y579" s="2">
        <v>38706</v>
      </c>
      <c r="Z579" s="1">
        <v>8.1789737171464303</v>
      </c>
      <c r="AA579" s="1">
        <v>18</v>
      </c>
      <c r="AB579" s="1">
        <v>676000</v>
      </c>
      <c r="AC579" s="1">
        <f t="shared" si="8"/>
        <v>736000</v>
      </c>
    </row>
    <row r="580" spans="1:29" x14ac:dyDescent="0.25">
      <c r="A580" s="1" t="s">
        <v>1520</v>
      </c>
      <c r="B580" s="1" t="s">
        <v>1521</v>
      </c>
      <c r="C580" s="1" t="s">
        <v>1522</v>
      </c>
      <c r="D580" s="1">
        <v>2020</v>
      </c>
      <c r="E580" s="1" t="s">
        <v>31</v>
      </c>
      <c r="F580" s="1">
        <v>4</v>
      </c>
      <c r="G580" s="1" t="s">
        <v>32</v>
      </c>
      <c r="H580" s="1" t="s">
        <v>90</v>
      </c>
      <c r="I580" s="1">
        <v>169000</v>
      </c>
      <c r="J580" s="1">
        <v>154000</v>
      </c>
      <c r="K580" s="1">
        <v>15000</v>
      </c>
      <c r="L580" s="1">
        <v>0</v>
      </c>
      <c r="M580" s="1" t="s">
        <v>5649</v>
      </c>
      <c r="N580" s="1" t="s">
        <v>35</v>
      </c>
      <c r="O580" s="1" t="s">
        <v>84</v>
      </c>
      <c r="P580" s="1" t="s">
        <v>65</v>
      </c>
      <c r="Q580" s="1" t="s">
        <v>38</v>
      </c>
      <c r="R580" s="1" t="s">
        <v>1523</v>
      </c>
      <c r="S580" s="3">
        <v>917733000000</v>
      </c>
      <c r="T580" s="1" t="s">
        <v>51</v>
      </c>
      <c r="U580" s="1">
        <v>83</v>
      </c>
      <c r="V580" s="1">
        <v>69</v>
      </c>
      <c r="W580" s="1" t="s">
        <v>41</v>
      </c>
      <c r="X580" s="1">
        <v>326446</v>
      </c>
      <c r="Y580" s="2">
        <v>38472</v>
      </c>
      <c r="Z580" s="1">
        <v>8.1789737171464303</v>
      </c>
      <c r="AA580" s="1">
        <v>19</v>
      </c>
      <c r="AB580" s="1">
        <v>676000</v>
      </c>
      <c r="AC580" s="1">
        <f t="shared" si="8"/>
        <v>736000</v>
      </c>
    </row>
    <row r="581" spans="1:29" x14ac:dyDescent="0.25">
      <c r="A581" s="1" t="s">
        <v>1542</v>
      </c>
      <c r="B581" s="1" t="s">
        <v>1543</v>
      </c>
      <c r="C581" s="1" t="s">
        <v>1544</v>
      </c>
      <c r="D581" s="1">
        <v>2020</v>
      </c>
      <c r="E581" s="1" t="s">
        <v>31</v>
      </c>
      <c r="F581" s="1">
        <v>4</v>
      </c>
      <c r="G581" s="1" t="s">
        <v>32</v>
      </c>
      <c r="H581" s="1" t="s">
        <v>113</v>
      </c>
      <c r="I581" s="1">
        <v>169000</v>
      </c>
      <c r="J581" s="1">
        <v>154000</v>
      </c>
      <c r="K581" s="1">
        <v>15000</v>
      </c>
      <c r="L581" s="1">
        <v>0</v>
      </c>
      <c r="M581" s="1" t="s">
        <v>34</v>
      </c>
      <c r="N581" s="1" t="s">
        <v>70</v>
      </c>
      <c r="O581" s="1" t="s">
        <v>71</v>
      </c>
      <c r="P581" s="1" t="s">
        <v>72</v>
      </c>
      <c r="Q581" s="1" t="s">
        <v>38</v>
      </c>
      <c r="R581" s="1" t="s">
        <v>1545</v>
      </c>
      <c r="S581" s="3">
        <v>917156000000</v>
      </c>
      <c r="T581" s="1" t="s">
        <v>98</v>
      </c>
      <c r="U581" s="1">
        <v>83</v>
      </c>
      <c r="V581" s="1">
        <v>78</v>
      </c>
      <c r="W581" s="1" t="s">
        <v>41</v>
      </c>
      <c r="X581" s="1">
        <v>510031</v>
      </c>
      <c r="Y581" s="2">
        <v>38824</v>
      </c>
      <c r="Z581" s="1">
        <v>8.1789737171464303</v>
      </c>
      <c r="AA581" s="1">
        <v>18</v>
      </c>
      <c r="AB581" s="1">
        <v>676000</v>
      </c>
      <c r="AC581" s="1">
        <f t="shared" si="8"/>
        <v>736000</v>
      </c>
    </row>
    <row r="582" spans="1:29" x14ac:dyDescent="0.25">
      <c r="A582" s="1" t="s">
        <v>1546</v>
      </c>
      <c r="B582" s="1" t="s">
        <v>1547</v>
      </c>
      <c r="C582" s="1" t="s">
        <v>1548</v>
      </c>
      <c r="D582" s="1">
        <v>2020</v>
      </c>
      <c r="E582" s="1" t="s">
        <v>31</v>
      </c>
      <c r="F582" s="1">
        <v>4</v>
      </c>
      <c r="G582" s="1" t="s">
        <v>32</v>
      </c>
      <c r="H582" s="1" t="s">
        <v>102</v>
      </c>
      <c r="I582" s="1">
        <v>169000</v>
      </c>
      <c r="J582" s="1">
        <v>154000</v>
      </c>
      <c r="K582" s="1">
        <v>15000</v>
      </c>
      <c r="L582" s="1">
        <v>0</v>
      </c>
      <c r="M582" s="1" t="s">
        <v>34</v>
      </c>
      <c r="N582" s="1" t="s">
        <v>63</v>
      </c>
      <c r="O582" s="1" t="s">
        <v>36</v>
      </c>
      <c r="P582" s="1" t="s">
        <v>37</v>
      </c>
      <c r="Q582" s="1" t="s">
        <v>38</v>
      </c>
      <c r="R582" s="1" t="s">
        <v>1549</v>
      </c>
      <c r="S582" s="3">
        <v>917915000000</v>
      </c>
      <c r="T582" s="1" t="s">
        <v>86</v>
      </c>
      <c r="U582" s="1">
        <v>83</v>
      </c>
      <c r="V582" s="1">
        <v>92</v>
      </c>
      <c r="W582" s="1" t="s">
        <v>41</v>
      </c>
      <c r="X582" s="1">
        <v>698412</v>
      </c>
      <c r="Y582" s="2">
        <v>37154</v>
      </c>
      <c r="Z582" s="1">
        <v>8.1789737171464303</v>
      </c>
      <c r="AA582" s="1">
        <v>22</v>
      </c>
      <c r="AB582" s="1">
        <v>676000</v>
      </c>
      <c r="AC582" s="1">
        <f t="shared" ref="AC582:AC645" si="9">IF(F582 = 2, AB582+30000,AB582+60000)</f>
        <v>736000</v>
      </c>
    </row>
    <row r="583" spans="1:29" x14ac:dyDescent="0.25">
      <c r="A583" s="1" t="s">
        <v>1550</v>
      </c>
      <c r="B583" s="1" t="s">
        <v>1551</v>
      </c>
      <c r="C583" s="1" t="s">
        <v>1552</v>
      </c>
      <c r="D583" s="1">
        <v>2020</v>
      </c>
      <c r="E583" s="1" t="s">
        <v>31</v>
      </c>
      <c r="F583" s="1">
        <v>4</v>
      </c>
      <c r="G583" s="1" t="s">
        <v>32</v>
      </c>
      <c r="H583" s="1" t="s">
        <v>56</v>
      </c>
      <c r="I583" s="1">
        <v>169000</v>
      </c>
      <c r="J583" s="1">
        <v>154000</v>
      </c>
      <c r="K583" s="1">
        <v>15000</v>
      </c>
      <c r="L583" s="1">
        <v>0</v>
      </c>
      <c r="M583" s="1" t="s">
        <v>34</v>
      </c>
      <c r="N583" s="1" t="s">
        <v>35</v>
      </c>
      <c r="O583" s="1" t="s">
        <v>64</v>
      </c>
      <c r="P583" s="1" t="s">
        <v>65</v>
      </c>
      <c r="Q583" s="1" t="s">
        <v>38</v>
      </c>
      <c r="R583" s="1" t="s">
        <v>1553</v>
      </c>
      <c r="S583" s="3">
        <v>917486000000</v>
      </c>
      <c r="T583" s="1" t="s">
        <v>98</v>
      </c>
      <c r="U583" s="1">
        <v>83</v>
      </c>
      <c r="V583" s="1">
        <v>74</v>
      </c>
      <c r="W583" s="1" t="s">
        <v>52</v>
      </c>
      <c r="X583" s="1">
        <v>152944</v>
      </c>
      <c r="Y583" s="2">
        <v>38025</v>
      </c>
      <c r="Z583" s="1">
        <v>8.1789737171464303</v>
      </c>
      <c r="AA583" s="1">
        <v>20</v>
      </c>
      <c r="AB583" s="1">
        <v>676000</v>
      </c>
      <c r="AC583" s="1">
        <f t="shared" si="9"/>
        <v>736000</v>
      </c>
    </row>
    <row r="584" spans="1:29" x14ac:dyDescent="0.25">
      <c r="A584" s="1" t="s">
        <v>1570</v>
      </c>
      <c r="B584" s="1" t="s">
        <v>1571</v>
      </c>
      <c r="C584" s="1" t="s">
        <v>1572</v>
      </c>
      <c r="D584" s="1">
        <v>2020</v>
      </c>
      <c r="E584" s="1" t="s">
        <v>45</v>
      </c>
      <c r="F584" s="1">
        <v>2</v>
      </c>
      <c r="G584" s="1" t="s">
        <v>46</v>
      </c>
      <c r="H584" s="1" t="s">
        <v>62</v>
      </c>
      <c r="I584" s="1">
        <v>92000</v>
      </c>
      <c r="J584" s="1">
        <v>77000</v>
      </c>
      <c r="K584" s="1">
        <v>15000</v>
      </c>
      <c r="L584" s="1">
        <v>0</v>
      </c>
      <c r="M584" s="1" t="s">
        <v>34</v>
      </c>
      <c r="N584" s="1" t="s">
        <v>35</v>
      </c>
      <c r="O584" s="1" t="s">
        <v>48</v>
      </c>
      <c r="P584" s="1" t="s">
        <v>49</v>
      </c>
      <c r="Q584" s="1" t="s">
        <v>38</v>
      </c>
      <c r="R584" s="1" t="s">
        <v>1573</v>
      </c>
      <c r="S584" s="3">
        <v>917317000000</v>
      </c>
      <c r="T584" s="1" t="s">
        <v>86</v>
      </c>
      <c r="U584" s="1">
        <v>83</v>
      </c>
      <c r="V584" s="1">
        <v>71</v>
      </c>
      <c r="W584" s="1" t="s">
        <v>41</v>
      </c>
      <c r="X584" s="1">
        <v>711147</v>
      </c>
      <c r="Y584" s="2">
        <v>36286</v>
      </c>
      <c r="Z584" s="1">
        <v>8.1789737171464303</v>
      </c>
      <c r="AA584" s="1">
        <v>25</v>
      </c>
      <c r="AB584" s="1">
        <v>184000</v>
      </c>
      <c r="AC584" s="1">
        <f t="shared" si="9"/>
        <v>214000</v>
      </c>
    </row>
    <row r="585" spans="1:29" x14ac:dyDescent="0.25">
      <c r="A585" s="1" t="s">
        <v>1588</v>
      </c>
      <c r="B585" s="1" t="s">
        <v>1589</v>
      </c>
      <c r="C585" s="1" t="s">
        <v>1590</v>
      </c>
      <c r="D585" s="1">
        <v>2020</v>
      </c>
      <c r="E585" s="1" t="s">
        <v>31</v>
      </c>
      <c r="F585" s="1">
        <v>4</v>
      </c>
      <c r="G585" s="1" t="s">
        <v>32</v>
      </c>
      <c r="H585" s="1" t="s">
        <v>90</v>
      </c>
      <c r="I585" s="1">
        <v>169000</v>
      </c>
      <c r="J585" s="1">
        <v>154000</v>
      </c>
      <c r="K585" s="1">
        <v>15000</v>
      </c>
      <c r="L585" s="1">
        <v>0</v>
      </c>
      <c r="M585" s="1" t="s">
        <v>34</v>
      </c>
      <c r="N585" s="1" t="s">
        <v>70</v>
      </c>
      <c r="O585" s="1" t="s">
        <v>36</v>
      </c>
      <c r="P585" s="1" t="s">
        <v>37</v>
      </c>
      <c r="Q585" s="1" t="s">
        <v>38</v>
      </c>
      <c r="R585" s="1" t="s">
        <v>1591</v>
      </c>
      <c r="S585" s="3">
        <v>918644000000</v>
      </c>
      <c r="T585" s="1" t="s">
        <v>74</v>
      </c>
      <c r="U585" s="1">
        <v>83</v>
      </c>
      <c r="V585" s="1">
        <v>80</v>
      </c>
      <c r="W585" s="1" t="s">
        <v>52</v>
      </c>
      <c r="X585" s="1">
        <v>458071</v>
      </c>
      <c r="Y585" s="2">
        <v>37165</v>
      </c>
      <c r="Z585" s="1">
        <v>8.1789737171464303</v>
      </c>
      <c r="AA585" s="1">
        <v>22</v>
      </c>
      <c r="AB585" s="1">
        <v>676000</v>
      </c>
      <c r="AC585" s="1">
        <f t="shared" si="9"/>
        <v>736000</v>
      </c>
    </row>
    <row r="586" spans="1:29" x14ac:dyDescent="0.25">
      <c r="A586" s="1" t="s">
        <v>1628</v>
      </c>
      <c r="B586" s="1" t="s">
        <v>1629</v>
      </c>
      <c r="C586" s="1" t="s">
        <v>1630</v>
      </c>
      <c r="D586" s="1">
        <v>2020</v>
      </c>
      <c r="E586" s="1" t="s">
        <v>31</v>
      </c>
      <c r="F586" s="1">
        <v>4</v>
      </c>
      <c r="G586" s="1" t="s">
        <v>32</v>
      </c>
      <c r="H586" s="1" t="s">
        <v>62</v>
      </c>
      <c r="I586" s="1">
        <v>169000</v>
      </c>
      <c r="J586" s="1">
        <v>154000</v>
      </c>
      <c r="K586" s="1">
        <v>15000</v>
      </c>
      <c r="L586" s="1">
        <v>0</v>
      </c>
      <c r="M586" s="1" t="s">
        <v>34</v>
      </c>
      <c r="N586" s="1" t="s">
        <v>70</v>
      </c>
      <c r="O586" s="1" t="s">
        <v>48</v>
      </c>
      <c r="P586" s="1" t="s">
        <v>49</v>
      </c>
      <c r="Q586" s="1" t="s">
        <v>38</v>
      </c>
      <c r="R586" s="1" t="s">
        <v>1631</v>
      </c>
      <c r="S586" s="3">
        <v>917173000000</v>
      </c>
      <c r="T586" s="1" t="s">
        <v>51</v>
      </c>
      <c r="U586" s="1">
        <v>82</v>
      </c>
      <c r="V586" s="1">
        <v>65</v>
      </c>
      <c r="W586" s="1" t="s">
        <v>41</v>
      </c>
      <c r="X586" s="1">
        <v>170762</v>
      </c>
      <c r="Y586" s="2">
        <v>38691</v>
      </c>
      <c r="Z586" s="1">
        <v>7.1789737171464303</v>
      </c>
      <c r="AA586" s="1">
        <v>18</v>
      </c>
      <c r="AB586" s="1">
        <v>676000</v>
      </c>
      <c r="AC586" s="1">
        <f t="shared" si="9"/>
        <v>736000</v>
      </c>
    </row>
    <row r="587" spans="1:29" x14ac:dyDescent="0.25">
      <c r="A587" s="1" t="s">
        <v>1632</v>
      </c>
      <c r="B587" s="1" t="s">
        <v>1633</v>
      </c>
      <c r="C587" s="1" t="s">
        <v>1634</v>
      </c>
      <c r="D587" s="1">
        <v>2020</v>
      </c>
      <c r="E587" s="1" t="s">
        <v>31</v>
      </c>
      <c r="F587" s="1">
        <v>4</v>
      </c>
      <c r="G587" s="1" t="s">
        <v>32</v>
      </c>
      <c r="H587" s="1" t="s">
        <v>151</v>
      </c>
      <c r="I587" s="1">
        <v>169000</v>
      </c>
      <c r="J587" s="1">
        <v>154000</v>
      </c>
      <c r="K587" s="1">
        <v>15000</v>
      </c>
      <c r="L587" s="1">
        <v>0</v>
      </c>
      <c r="M587" s="1" t="s">
        <v>34</v>
      </c>
      <c r="N587" s="1" t="s">
        <v>63</v>
      </c>
      <c r="O587" s="1" t="s">
        <v>64</v>
      </c>
      <c r="P587" s="1" t="s">
        <v>65</v>
      </c>
      <c r="Q587" s="1" t="s">
        <v>38</v>
      </c>
      <c r="R587" s="1" t="s">
        <v>1635</v>
      </c>
      <c r="S587" s="3">
        <v>917895000000</v>
      </c>
      <c r="T587" s="1" t="s">
        <v>40</v>
      </c>
      <c r="U587" s="1">
        <v>82</v>
      </c>
      <c r="V587" s="1">
        <v>67</v>
      </c>
      <c r="W587" s="1" t="s">
        <v>52</v>
      </c>
      <c r="X587" s="1">
        <v>795950</v>
      </c>
      <c r="Y587" s="2">
        <v>38078</v>
      </c>
      <c r="Z587" s="1">
        <v>7.1789737171464303</v>
      </c>
      <c r="AA587" s="1">
        <v>20</v>
      </c>
      <c r="AB587" s="1">
        <v>676000</v>
      </c>
      <c r="AC587" s="1">
        <f t="shared" si="9"/>
        <v>736000</v>
      </c>
    </row>
    <row r="588" spans="1:29" x14ac:dyDescent="0.25">
      <c r="A588" s="1" t="s">
        <v>1658</v>
      </c>
      <c r="B588" s="1" t="s">
        <v>1659</v>
      </c>
      <c r="C588" s="1" t="s">
        <v>1660</v>
      </c>
      <c r="D588" s="1">
        <v>2020</v>
      </c>
      <c r="E588" s="1" t="s">
        <v>45</v>
      </c>
      <c r="F588" s="1">
        <v>2</v>
      </c>
      <c r="G588" s="1" t="s">
        <v>46</v>
      </c>
      <c r="H588" s="1" t="s">
        <v>90</v>
      </c>
      <c r="I588" s="1">
        <v>92000</v>
      </c>
      <c r="J588" s="1">
        <v>77000</v>
      </c>
      <c r="K588" s="1">
        <v>15000</v>
      </c>
      <c r="L588" s="1">
        <v>0</v>
      </c>
      <c r="M588" s="1" t="s">
        <v>34</v>
      </c>
      <c r="N588" s="1" t="s">
        <v>35</v>
      </c>
      <c r="O588" s="1" t="s">
        <v>71</v>
      </c>
      <c r="P588" s="1" t="s">
        <v>72</v>
      </c>
      <c r="Q588" s="1" t="s">
        <v>38</v>
      </c>
      <c r="R588" s="1" t="s">
        <v>1661</v>
      </c>
      <c r="S588" s="3">
        <v>919405000000</v>
      </c>
      <c r="T588" s="1" t="s">
        <v>51</v>
      </c>
      <c r="U588" s="1">
        <v>82</v>
      </c>
      <c r="V588" s="1">
        <v>60</v>
      </c>
      <c r="W588" s="1" t="s">
        <v>52</v>
      </c>
      <c r="X588" s="1">
        <v>439075</v>
      </c>
      <c r="Y588" s="2">
        <v>35861</v>
      </c>
      <c r="Z588" s="1">
        <v>7.1789737171464303</v>
      </c>
      <c r="AA588" s="1">
        <v>26</v>
      </c>
      <c r="AB588" s="1">
        <v>184000</v>
      </c>
      <c r="AC588" s="1">
        <f t="shared" si="9"/>
        <v>214000</v>
      </c>
    </row>
    <row r="589" spans="1:29" x14ac:dyDescent="0.25">
      <c r="A589" s="1" t="s">
        <v>1676</v>
      </c>
      <c r="B589" s="1" t="s">
        <v>1677</v>
      </c>
      <c r="C589" s="1" t="s">
        <v>1678</v>
      </c>
      <c r="D589" s="1">
        <v>2020</v>
      </c>
      <c r="E589" s="1" t="s">
        <v>31</v>
      </c>
      <c r="F589" s="1">
        <v>4</v>
      </c>
      <c r="G589" s="1" t="s">
        <v>32</v>
      </c>
      <c r="H589" s="1" t="s">
        <v>151</v>
      </c>
      <c r="I589" s="1">
        <v>169000</v>
      </c>
      <c r="J589" s="1">
        <v>154000</v>
      </c>
      <c r="K589" s="1">
        <v>15000</v>
      </c>
      <c r="L589" s="1">
        <v>0</v>
      </c>
      <c r="M589" s="1" t="s">
        <v>34</v>
      </c>
      <c r="N589" s="1" t="s">
        <v>70</v>
      </c>
      <c r="O589" s="1" t="s">
        <v>71</v>
      </c>
      <c r="P589" s="1" t="s">
        <v>72</v>
      </c>
      <c r="Q589" s="1" t="s">
        <v>38</v>
      </c>
      <c r="R589" s="1" t="s">
        <v>1679</v>
      </c>
      <c r="S589" s="3">
        <v>917030000000</v>
      </c>
      <c r="T589" s="1" t="s">
        <v>86</v>
      </c>
      <c r="U589" s="1">
        <v>82</v>
      </c>
      <c r="V589" s="1">
        <v>74</v>
      </c>
      <c r="W589" s="1" t="s">
        <v>41</v>
      </c>
      <c r="X589" s="1">
        <v>175022</v>
      </c>
      <c r="Y589" s="2">
        <v>37767</v>
      </c>
      <c r="Z589" s="1">
        <v>7.1789737171464303</v>
      </c>
      <c r="AA589" s="1">
        <v>21</v>
      </c>
      <c r="AB589" s="1">
        <v>676000</v>
      </c>
      <c r="AC589" s="1">
        <f t="shared" si="9"/>
        <v>736000</v>
      </c>
    </row>
    <row r="590" spans="1:29" x14ac:dyDescent="0.25">
      <c r="A590" s="1" t="s">
        <v>1680</v>
      </c>
      <c r="B590" s="1" t="s">
        <v>1681</v>
      </c>
      <c r="C590" s="1" t="s">
        <v>1682</v>
      </c>
      <c r="D590" s="1">
        <v>2020</v>
      </c>
      <c r="E590" s="1" t="s">
        <v>31</v>
      </c>
      <c r="F590" s="1">
        <v>4</v>
      </c>
      <c r="G590" s="1" t="s">
        <v>32</v>
      </c>
      <c r="H590" s="1" t="s">
        <v>151</v>
      </c>
      <c r="I590" s="1">
        <v>169000</v>
      </c>
      <c r="J590" s="1">
        <v>154000</v>
      </c>
      <c r="K590" s="1">
        <v>15000</v>
      </c>
      <c r="L590" s="1">
        <v>0</v>
      </c>
      <c r="M590" s="1" t="s">
        <v>34</v>
      </c>
      <c r="N590" s="1" t="s">
        <v>63</v>
      </c>
      <c r="O590" s="1" t="s">
        <v>71</v>
      </c>
      <c r="P590" s="1" t="s">
        <v>72</v>
      </c>
      <c r="Q590" s="1" t="s">
        <v>38</v>
      </c>
      <c r="R590" s="1" t="s">
        <v>1683</v>
      </c>
      <c r="S590" s="3">
        <v>917701000000</v>
      </c>
      <c r="T590" s="1" t="s">
        <v>98</v>
      </c>
      <c r="U590" s="1">
        <v>82</v>
      </c>
      <c r="V590" s="1">
        <v>76</v>
      </c>
      <c r="W590" s="1" t="s">
        <v>41</v>
      </c>
      <c r="X590" s="1">
        <v>718332</v>
      </c>
      <c r="Y590" s="2">
        <v>38058</v>
      </c>
      <c r="Z590" s="1">
        <v>7.1789737171464303</v>
      </c>
      <c r="AA590" s="1">
        <v>20</v>
      </c>
      <c r="AB590" s="1">
        <v>676000</v>
      </c>
      <c r="AC590" s="1">
        <f t="shared" si="9"/>
        <v>736000</v>
      </c>
    </row>
    <row r="591" spans="1:29" x14ac:dyDescent="0.25">
      <c r="A591" s="1" t="s">
        <v>1688</v>
      </c>
      <c r="B591" s="1" t="s">
        <v>1689</v>
      </c>
      <c r="C591" s="1" t="s">
        <v>1690</v>
      </c>
      <c r="D591" s="1">
        <v>2020</v>
      </c>
      <c r="E591" s="1" t="s">
        <v>31</v>
      </c>
      <c r="F591" s="1">
        <v>4</v>
      </c>
      <c r="G591" s="1" t="s">
        <v>32</v>
      </c>
      <c r="H591" s="1" t="s">
        <v>47</v>
      </c>
      <c r="I591" s="1">
        <v>169000</v>
      </c>
      <c r="J591" s="1">
        <v>154000</v>
      </c>
      <c r="K591" s="1">
        <v>15000</v>
      </c>
      <c r="L591" s="1">
        <v>0</v>
      </c>
      <c r="M591" s="1" t="s">
        <v>34</v>
      </c>
      <c r="N591" s="1" t="s">
        <v>70</v>
      </c>
      <c r="O591" s="1" t="s">
        <v>48</v>
      </c>
      <c r="P591" s="1" t="s">
        <v>49</v>
      </c>
      <c r="Q591" s="1" t="s">
        <v>38</v>
      </c>
      <c r="R591" s="1" t="s">
        <v>1691</v>
      </c>
      <c r="S591" s="3">
        <v>918116000000</v>
      </c>
      <c r="T591" s="1" t="s">
        <v>74</v>
      </c>
      <c r="U591" s="1">
        <v>82</v>
      </c>
      <c r="V591" s="1">
        <v>87</v>
      </c>
      <c r="W591" s="1" t="s">
        <v>41</v>
      </c>
      <c r="X591" s="1">
        <v>518279</v>
      </c>
      <c r="Y591" s="2">
        <v>37727</v>
      </c>
      <c r="Z591" s="1">
        <v>7.1789737171464303</v>
      </c>
      <c r="AA591" s="1">
        <v>21</v>
      </c>
      <c r="AB591" s="1">
        <v>676000</v>
      </c>
      <c r="AC591" s="1">
        <f t="shared" si="9"/>
        <v>736000</v>
      </c>
    </row>
    <row r="592" spans="1:29" x14ac:dyDescent="0.25">
      <c r="A592" s="1" t="s">
        <v>1786</v>
      </c>
      <c r="B592" s="1" t="s">
        <v>1787</v>
      </c>
      <c r="C592" s="1" t="s">
        <v>1788</v>
      </c>
      <c r="D592" s="1">
        <v>2020</v>
      </c>
      <c r="E592" s="1" t="s">
        <v>45</v>
      </c>
      <c r="F592" s="1">
        <v>2</v>
      </c>
      <c r="G592" s="1" t="s">
        <v>46</v>
      </c>
      <c r="H592" s="1" t="s">
        <v>47</v>
      </c>
      <c r="I592" s="1">
        <v>92000</v>
      </c>
      <c r="J592" s="1">
        <v>77000</v>
      </c>
      <c r="K592" s="1">
        <v>15000</v>
      </c>
      <c r="L592" s="1">
        <v>0</v>
      </c>
      <c r="M592" s="1" t="s">
        <v>34</v>
      </c>
      <c r="N592" s="1" t="s">
        <v>63</v>
      </c>
      <c r="O592" s="1" t="s">
        <v>64</v>
      </c>
      <c r="P592" s="1" t="s">
        <v>65</v>
      </c>
      <c r="Q592" s="1" t="s">
        <v>38</v>
      </c>
      <c r="R592" s="1" t="s">
        <v>1789</v>
      </c>
      <c r="S592" s="3">
        <v>918163000000</v>
      </c>
      <c r="T592" s="1" t="s">
        <v>74</v>
      </c>
      <c r="U592" s="1">
        <v>82</v>
      </c>
      <c r="V592" s="1">
        <v>68</v>
      </c>
      <c r="W592" s="1" t="s">
        <v>41</v>
      </c>
      <c r="X592" s="1">
        <v>795155</v>
      </c>
      <c r="Y592" s="2">
        <v>35599</v>
      </c>
      <c r="Z592" s="1">
        <v>7.1789737171464303</v>
      </c>
      <c r="AA592" s="1">
        <v>27</v>
      </c>
      <c r="AB592" s="1">
        <v>184000</v>
      </c>
      <c r="AC592" s="1">
        <f t="shared" si="9"/>
        <v>214000</v>
      </c>
    </row>
    <row r="593" spans="1:29" x14ac:dyDescent="0.25">
      <c r="A593" s="1" t="s">
        <v>1798</v>
      </c>
      <c r="B593" s="1" t="s">
        <v>1799</v>
      </c>
      <c r="C593" s="1" t="s">
        <v>1800</v>
      </c>
      <c r="D593" s="1">
        <v>2020</v>
      </c>
      <c r="E593" s="1" t="s">
        <v>31</v>
      </c>
      <c r="F593" s="1">
        <v>4</v>
      </c>
      <c r="G593" s="1" t="s">
        <v>32</v>
      </c>
      <c r="H593" s="1" t="s">
        <v>210</v>
      </c>
      <c r="I593" s="1">
        <v>169000</v>
      </c>
      <c r="J593" s="1">
        <v>154000</v>
      </c>
      <c r="K593" s="1">
        <v>15000</v>
      </c>
      <c r="L593" s="1">
        <v>0</v>
      </c>
      <c r="M593" s="1" t="s">
        <v>34</v>
      </c>
      <c r="N593" s="1" t="s">
        <v>35</v>
      </c>
      <c r="O593" s="1" t="s">
        <v>36</v>
      </c>
      <c r="P593" s="1" t="s">
        <v>37</v>
      </c>
      <c r="Q593" s="1" t="s">
        <v>38</v>
      </c>
      <c r="R593" s="1" t="s">
        <v>1801</v>
      </c>
      <c r="S593" s="3">
        <v>918682000000</v>
      </c>
      <c r="T593" s="1" t="s">
        <v>40</v>
      </c>
      <c r="U593" s="1">
        <v>81</v>
      </c>
      <c r="V593" s="1">
        <v>63</v>
      </c>
      <c r="W593" s="1" t="s">
        <v>52</v>
      </c>
      <c r="X593" s="1">
        <v>695857</v>
      </c>
      <c r="Y593" s="2">
        <v>36780</v>
      </c>
      <c r="Z593" s="1">
        <v>6.1789737171464303</v>
      </c>
      <c r="AA593" s="1">
        <v>23</v>
      </c>
      <c r="AB593" s="1">
        <v>676000</v>
      </c>
      <c r="AC593" s="1">
        <f t="shared" si="9"/>
        <v>736000</v>
      </c>
    </row>
    <row r="594" spans="1:29" x14ac:dyDescent="0.25">
      <c r="A594" s="1" t="s">
        <v>1835</v>
      </c>
      <c r="B594" s="1" t="s">
        <v>1836</v>
      </c>
      <c r="C594" s="1" t="s">
        <v>1837</v>
      </c>
      <c r="D594" s="1">
        <v>2020</v>
      </c>
      <c r="E594" s="1" t="s">
        <v>31</v>
      </c>
      <c r="F594" s="1">
        <v>4</v>
      </c>
      <c r="G594" s="1" t="s">
        <v>32</v>
      </c>
      <c r="H594" s="1" t="s">
        <v>90</v>
      </c>
      <c r="I594" s="1">
        <v>169000</v>
      </c>
      <c r="J594" s="1">
        <v>154000</v>
      </c>
      <c r="K594" s="1">
        <v>15000</v>
      </c>
      <c r="L594" s="1">
        <v>0</v>
      </c>
      <c r="M594" s="1" t="s">
        <v>34</v>
      </c>
      <c r="N594" s="1" t="s">
        <v>63</v>
      </c>
      <c r="O594" s="1" t="s">
        <v>188</v>
      </c>
      <c r="P594" s="1" t="s">
        <v>189</v>
      </c>
      <c r="Q594" s="1" t="s">
        <v>38</v>
      </c>
      <c r="R594" s="1" t="s">
        <v>1838</v>
      </c>
      <c r="S594" s="3">
        <v>919617000000</v>
      </c>
      <c r="T594" s="1" t="s">
        <v>98</v>
      </c>
      <c r="U594" s="1">
        <v>81</v>
      </c>
      <c r="V594" s="1">
        <v>91</v>
      </c>
      <c r="W594" s="1" t="s">
        <v>41</v>
      </c>
      <c r="X594" s="1">
        <v>325440</v>
      </c>
      <c r="Y594" s="2">
        <v>37314</v>
      </c>
      <c r="Z594" s="1">
        <v>6.1789737171464303</v>
      </c>
      <c r="AA594" s="1">
        <v>22</v>
      </c>
      <c r="AB594" s="1">
        <v>676000</v>
      </c>
      <c r="AC594" s="1">
        <f t="shared" si="9"/>
        <v>736000</v>
      </c>
    </row>
    <row r="595" spans="1:29" x14ac:dyDescent="0.25">
      <c r="A595" s="1" t="s">
        <v>1839</v>
      </c>
      <c r="B595" s="1" t="s">
        <v>1840</v>
      </c>
      <c r="C595" s="1" t="s">
        <v>1841</v>
      </c>
      <c r="D595" s="1">
        <v>2020</v>
      </c>
      <c r="E595" s="1" t="s">
        <v>31</v>
      </c>
      <c r="F595" s="1">
        <v>4</v>
      </c>
      <c r="G595" s="1" t="s">
        <v>32</v>
      </c>
      <c r="H595" s="1" t="s">
        <v>90</v>
      </c>
      <c r="I595" s="1">
        <v>169000</v>
      </c>
      <c r="J595" s="1">
        <v>154000</v>
      </c>
      <c r="K595" s="1">
        <v>15000</v>
      </c>
      <c r="L595" s="1">
        <v>0</v>
      </c>
      <c r="M595" s="1" t="s">
        <v>34</v>
      </c>
      <c r="N595" s="1" t="s">
        <v>63</v>
      </c>
      <c r="O595" s="1" t="s">
        <v>64</v>
      </c>
      <c r="P595" s="1" t="s">
        <v>65</v>
      </c>
      <c r="Q595" s="1" t="s">
        <v>38</v>
      </c>
      <c r="R595" s="1" t="s">
        <v>1842</v>
      </c>
      <c r="S595" s="3">
        <v>919088000000</v>
      </c>
      <c r="T595" s="1" t="s">
        <v>74</v>
      </c>
      <c r="U595" s="1">
        <v>81</v>
      </c>
      <c r="V595" s="1">
        <v>71</v>
      </c>
      <c r="W595" s="1" t="s">
        <v>52</v>
      </c>
      <c r="X595" s="1">
        <v>369238</v>
      </c>
      <c r="Y595" s="2">
        <v>38019</v>
      </c>
      <c r="Z595" s="1">
        <v>6.1789737171464303</v>
      </c>
      <c r="AA595" s="1">
        <v>20</v>
      </c>
      <c r="AB595" s="1">
        <v>676000</v>
      </c>
      <c r="AC595" s="1">
        <f t="shared" si="9"/>
        <v>736000</v>
      </c>
    </row>
    <row r="596" spans="1:29" x14ac:dyDescent="0.25">
      <c r="A596" s="1" t="s">
        <v>1859</v>
      </c>
      <c r="B596" s="1" t="s">
        <v>1860</v>
      </c>
      <c r="C596" s="1" t="s">
        <v>1861</v>
      </c>
      <c r="D596" s="1">
        <v>2020</v>
      </c>
      <c r="E596" s="1" t="s">
        <v>31</v>
      </c>
      <c r="F596" s="1">
        <v>4</v>
      </c>
      <c r="G596" s="1" t="s">
        <v>32</v>
      </c>
      <c r="H596" s="1" t="s">
        <v>90</v>
      </c>
      <c r="I596" s="1">
        <v>169000</v>
      </c>
      <c r="J596" s="1">
        <v>154000</v>
      </c>
      <c r="K596" s="1">
        <v>15000</v>
      </c>
      <c r="L596" s="1">
        <v>0</v>
      </c>
      <c r="M596" s="1" t="s">
        <v>34</v>
      </c>
      <c r="N596" s="1" t="s">
        <v>63</v>
      </c>
      <c r="O596" s="1" t="s">
        <v>36</v>
      </c>
      <c r="P596" s="1" t="s">
        <v>37</v>
      </c>
      <c r="Q596" s="1" t="s">
        <v>38</v>
      </c>
      <c r="R596" s="1" t="s">
        <v>1862</v>
      </c>
      <c r="S596" s="3">
        <v>918317000000</v>
      </c>
      <c r="T596" s="1" t="s">
        <v>40</v>
      </c>
      <c r="U596" s="1">
        <v>81</v>
      </c>
      <c r="V596" s="1">
        <v>85</v>
      </c>
      <c r="W596" s="1" t="s">
        <v>41</v>
      </c>
      <c r="X596" s="1">
        <v>599713</v>
      </c>
      <c r="Y596" s="2">
        <v>38111</v>
      </c>
      <c r="Z596" s="1">
        <v>6.1789737171464303</v>
      </c>
      <c r="AA596" s="1">
        <v>20</v>
      </c>
      <c r="AB596" s="1">
        <v>676000</v>
      </c>
      <c r="AC596" s="1">
        <f t="shared" si="9"/>
        <v>736000</v>
      </c>
    </row>
    <row r="597" spans="1:29" x14ac:dyDescent="0.25">
      <c r="A597" s="1" t="s">
        <v>1863</v>
      </c>
      <c r="B597" s="1" t="s">
        <v>1864</v>
      </c>
      <c r="C597" s="1" t="s">
        <v>1865</v>
      </c>
      <c r="D597" s="1">
        <v>2020</v>
      </c>
      <c r="E597" s="1" t="s">
        <v>45</v>
      </c>
      <c r="F597" s="1">
        <v>2</v>
      </c>
      <c r="G597" s="1" t="s">
        <v>46</v>
      </c>
      <c r="H597" s="1" t="s">
        <v>62</v>
      </c>
      <c r="I597" s="1">
        <v>92000</v>
      </c>
      <c r="J597" s="1">
        <v>77000</v>
      </c>
      <c r="K597" s="1">
        <v>15000</v>
      </c>
      <c r="L597" s="1">
        <v>0</v>
      </c>
      <c r="M597" s="1" t="s">
        <v>34</v>
      </c>
      <c r="N597" s="1" t="s">
        <v>70</v>
      </c>
      <c r="O597" s="1" t="s">
        <v>36</v>
      </c>
      <c r="P597" s="1" t="s">
        <v>37</v>
      </c>
      <c r="Q597" s="1" t="s">
        <v>38</v>
      </c>
      <c r="R597" s="1" t="s">
        <v>1866</v>
      </c>
      <c r="S597" s="3">
        <v>917097000000</v>
      </c>
      <c r="T597" s="1" t="s">
        <v>40</v>
      </c>
      <c r="U597" s="1">
        <v>81</v>
      </c>
      <c r="V597" s="1">
        <v>80</v>
      </c>
      <c r="W597" s="1" t="s">
        <v>41</v>
      </c>
      <c r="X597" s="1">
        <v>718395</v>
      </c>
      <c r="Y597" s="2">
        <v>36565</v>
      </c>
      <c r="Z597" s="1">
        <v>6.1789737171464303</v>
      </c>
      <c r="AA597" s="1">
        <v>24</v>
      </c>
      <c r="AB597" s="1">
        <v>184000</v>
      </c>
      <c r="AC597" s="1">
        <f t="shared" si="9"/>
        <v>214000</v>
      </c>
    </row>
    <row r="598" spans="1:29" x14ac:dyDescent="0.25">
      <c r="A598" s="1" t="s">
        <v>1871</v>
      </c>
      <c r="B598" s="1" t="s">
        <v>1872</v>
      </c>
      <c r="C598" s="1" t="s">
        <v>1873</v>
      </c>
      <c r="D598" s="1">
        <v>2020</v>
      </c>
      <c r="E598" s="1" t="s">
        <v>31</v>
      </c>
      <c r="F598" s="1">
        <v>4</v>
      </c>
      <c r="G598" s="1" t="s">
        <v>32</v>
      </c>
      <c r="H598" s="1" t="s">
        <v>210</v>
      </c>
      <c r="I598" s="1">
        <v>169000</v>
      </c>
      <c r="J598" s="1">
        <v>154000</v>
      </c>
      <c r="K598" s="1">
        <v>15000</v>
      </c>
      <c r="L598" s="1">
        <v>0</v>
      </c>
      <c r="M598" s="1" t="s">
        <v>34</v>
      </c>
      <c r="N598" s="1" t="s">
        <v>70</v>
      </c>
      <c r="O598" s="1" t="s">
        <v>57</v>
      </c>
      <c r="P598" s="1" t="s">
        <v>57</v>
      </c>
      <c r="Q598" s="1" t="s">
        <v>38</v>
      </c>
      <c r="R598" s="1" t="s">
        <v>1874</v>
      </c>
      <c r="S598" s="3">
        <v>918289000000</v>
      </c>
      <c r="T598" s="1" t="s">
        <v>98</v>
      </c>
      <c r="U598" s="1">
        <v>81</v>
      </c>
      <c r="V598" s="1">
        <v>82</v>
      </c>
      <c r="W598" s="1" t="s">
        <v>52</v>
      </c>
      <c r="X598" s="1">
        <v>402042</v>
      </c>
      <c r="Y598" s="2">
        <v>36831</v>
      </c>
      <c r="Z598" s="1">
        <v>6.1789737171464303</v>
      </c>
      <c r="AA598" s="1">
        <v>23</v>
      </c>
      <c r="AB598" s="1">
        <v>676000</v>
      </c>
      <c r="AC598" s="1">
        <f t="shared" si="9"/>
        <v>736000</v>
      </c>
    </row>
    <row r="599" spans="1:29" x14ac:dyDescent="0.25">
      <c r="A599" s="1" t="s">
        <v>1875</v>
      </c>
      <c r="B599" s="1" t="s">
        <v>1876</v>
      </c>
      <c r="C599" s="1" t="s">
        <v>1877</v>
      </c>
      <c r="D599" s="1">
        <v>2020</v>
      </c>
      <c r="E599" s="1" t="s">
        <v>31</v>
      </c>
      <c r="F599" s="1">
        <v>4</v>
      </c>
      <c r="G599" s="1" t="s">
        <v>32</v>
      </c>
      <c r="H599" s="1" t="s">
        <v>47</v>
      </c>
      <c r="I599" s="1">
        <v>169000</v>
      </c>
      <c r="J599" s="1">
        <v>154000</v>
      </c>
      <c r="K599" s="1">
        <v>15000</v>
      </c>
      <c r="L599" s="1">
        <v>0</v>
      </c>
      <c r="M599" s="1" t="s">
        <v>34</v>
      </c>
      <c r="N599" s="1" t="s">
        <v>35</v>
      </c>
      <c r="O599" s="1" t="s">
        <v>36</v>
      </c>
      <c r="P599" s="1" t="s">
        <v>37</v>
      </c>
      <c r="Q599" s="1" t="s">
        <v>38</v>
      </c>
      <c r="R599" s="1" t="s">
        <v>1878</v>
      </c>
      <c r="S599" s="3">
        <v>918467000000</v>
      </c>
      <c r="T599" s="1" t="s">
        <v>74</v>
      </c>
      <c r="U599" s="1">
        <v>81</v>
      </c>
      <c r="V599" s="1">
        <v>83</v>
      </c>
      <c r="W599" s="1" t="s">
        <v>41</v>
      </c>
      <c r="X599" s="1">
        <v>585417</v>
      </c>
      <c r="Y599" s="2">
        <v>37731</v>
      </c>
      <c r="Z599" s="1">
        <v>6.1789737171464303</v>
      </c>
      <c r="AA599" s="1">
        <v>21</v>
      </c>
      <c r="AB599" s="1">
        <v>676000</v>
      </c>
      <c r="AC599" s="1">
        <f t="shared" si="9"/>
        <v>736000</v>
      </c>
    </row>
    <row r="600" spans="1:29" x14ac:dyDescent="0.25">
      <c r="A600" s="1" t="s">
        <v>1947</v>
      </c>
      <c r="B600" s="1" t="s">
        <v>1948</v>
      </c>
      <c r="C600" s="1" t="s">
        <v>1949</v>
      </c>
      <c r="D600" s="1">
        <v>2020</v>
      </c>
      <c r="E600" s="1" t="s">
        <v>31</v>
      </c>
      <c r="F600" s="1">
        <v>4</v>
      </c>
      <c r="G600" s="1" t="s">
        <v>32</v>
      </c>
      <c r="H600" s="1" t="s">
        <v>90</v>
      </c>
      <c r="I600" s="1">
        <v>169000</v>
      </c>
      <c r="J600" s="1">
        <v>154000</v>
      </c>
      <c r="K600" s="1">
        <v>15000</v>
      </c>
      <c r="L600" s="1">
        <v>0</v>
      </c>
      <c r="M600" s="1" t="s">
        <v>34</v>
      </c>
      <c r="N600" s="1" t="s">
        <v>63</v>
      </c>
      <c r="O600" s="1" t="s">
        <v>57</v>
      </c>
      <c r="P600" s="1" t="s">
        <v>57</v>
      </c>
      <c r="Q600" s="1" t="s">
        <v>38</v>
      </c>
      <c r="R600" s="1" t="s">
        <v>1950</v>
      </c>
      <c r="S600" s="3">
        <v>917607000000</v>
      </c>
      <c r="T600" s="1" t="s">
        <v>86</v>
      </c>
      <c r="U600" s="1">
        <v>81</v>
      </c>
      <c r="V600" s="1">
        <v>64</v>
      </c>
      <c r="W600" s="1" t="s">
        <v>41</v>
      </c>
      <c r="X600" s="1">
        <v>682483</v>
      </c>
      <c r="Y600" s="2">
        <v>37429</v>
      </c>
      <c r="Z600" s="1">
        <v>6.1789737171464303</v>
      </c>
      <c r="AA600" s="1">
        <v>22</v>
      </c>
      <c r="AB600" s="1">
        <v>676000</v>
      </c>
      <c r="AC600" s="1">
        <f t="shared" si="9"/>
        <v>736000</v>
      </c>
    </row>
    <row r="601" spans="1:29" x14ac:dyDescent="0.25">
      <c r="A601" s="1" t="s">
        <v>1967</v>
      </c>
      <c r="B601" s="1" t="s">
        <v>1968</v>
      </c>
      <c r="C601" s="1" t="s">
        <v>1969</v>
      </c>
      <c r="D601" s="1">
        <v>2020</v>
      </c>
      <c r="E601" s="1" t="s">
        <v>31</v>
      </c>
      <c r="F601" s="1">
        <v>4</v>
      </c>
      <c r="G601" s="1" t="s">
        <v>32</v>
      </c>
      <c r="H601" s="1" t="s">
        <v>102</v>
      </c>
      <c r="I601" s="1">
        <v>169000</v>
      </c>
      <c r="J601" s="1">
        <v>154000</v>
      </c>
      <c r="K601" s="1">
        <v>15000</v>
      </c>
      <c r="L601" s="1">
        <v>0</v>
      </c>
      <c r="M601" s="1" t="s">
        <v>34</v>
      </c>
      <c r="N601" s="1" t="s">
        <v>63</v>
      </c>
      <c r="O601" s="1" t="s">
        <v>84</v>
      </c>
      <c r="P601" s="1" t="s">
        <v>65</v>
      </c>
      <c r="Q601" s="1" t="s">
        <v>38</v>
      </c>
      <c r="R601" s="1" t="s">
        <v>1970</v>
      </c>
      <c r="S601" s="3">
        <v>918391000000</v>
      </c>
      <c r="T601" s="1" t="s">
        <v>98</v>
      </c>
      <c r="U601" s="1">
        <v>80</v>
      </c>
      <c r="V601" s="1">
        <v>65</v>
      </c>
      <c r="W601" s="1" t="s">
        <v>52</v>
      </c>
      <c r="X601" s="1">
        <v>340186</v>
      </c>
      <c r="Y601" s="2">
        <v>37829</v>
      </c>
      <c r="Z601" s="1">
        <v>5.1789737171464303</v>
      </c>
      <c r="AA601" s="1">
        <v>20</v>
      </c>
      <c r="AB601" s="1">
        <v>676000</v>
      </c>
      <c r="AC601" s="1">
        <f t="shared" si="9"/>
        <v>736000</v>
      </c>
    </row>
    <row r="602" spans="1:29" x14ac:dyDescent="0.25">
      <c r="A602" s="1" t="s">
        <v>1991</v>
      </c>
      <c r="B602" s="1" t="s">
        <v>1992</v>
      </c>
      <c r="C602" s="1" t="s">
        <v>1993</v>
      </c>
      <c r="D602" s="1">
        <v>2020</v>
      </c>
      <c r="E602" s="1" t="s">
        <v>45</v>
      </c>
      <c r="F602" s="1">
        <v>2</v>
      </c>
      <c r="G602" s="1" t="s">
        <v>46</v>
      </c>
      <c r="H602" s="1" t="s">
        <v>33</v>
      </c>
      <c r="I602" s="1">
        <v>92000</v>
      </c>
      <c r="J602" s="1">
        <v>77000</v>
      </c>
      <c r="K602" s="1">
        <v>15000</v>
      </c>
      <c r="L602" s="1">
        <v>0</v>
      </c>
      <c r="M602" s="1" t="s">
        <v>34</v>
      </c>
      <c r="N602" s="1" t="s">
        <v>63</v>
      </c>
      <c r="O602" s="1" t="s">
        <v>57</v>
      </c>
      <c r="P602" s="1" t="s">
        <v>57</v>
      </c>
      <c r="Q602" s="1" t="s">
        <v>38</v>
      </c>
      <c r="R602" s="1" t="s">
        <v>1994</v>
      </c>
      <c r="S602" s="3">
        <v>917877000000</v>
      </c>
      <c r="T602" s="1" t="s">
        <v>98</v>
      </c>
      <c r="U602" s="1">
        <v>80</v>
      </c>
      <c r="V602" s="1">
        <v>75</v>
      </c>
      <c r="W602" s="1" t="s">
        <v>52</v>
      </c>
      <c r="X602" s="1">
        <v>609563</v>
      </c>
      <c r="Y602" s="2">
        <v>36197</v>
      </c>
      <c r="Z602" s="1">
        <v>5.1789737171464303</v>
      </c>
      <c r="AA602" s="1">
        <v>25</v>
      </c>
      <c r="AB602" s="1">
        <v>184000</v>
      </c>
      <c r="AC602" s="1">
        <f t="shared" si="9"/>
        <v>214000</v>
      </c>
    </row>
    <row r="603" spans="1:29" x14ac:dyDescent="0.25">
      <c r="A603" s="1" t="s">
        <v>1995</v>
      </c>
      <c r="B603" s="1" t="s">
        <v>1015</v>
      </c>
      <c r="C603" s="1" t="s">
        <v>1016</v>
      </c>
      <c r="D603" s="1">
        <v>2020</v>
      </c>
      <c r="E603" s="1" t="s">
        <v>31</v>
      </c>
      <c r="F603" s="1">
        <v>4</v>
      </c>
      <c r="G603" s="1" t="s">
        <v>32</v>
      </c>
      <c r="H603" s="1" t="s">
        <v>90</v>
      </c>
      <c r="I603" s="1">
        <v>169000</v>
      </c>
      <c r="J603" s="1">
        <v>154000</v>
      </c>
      <c r="K603" s="1">
        <v>15000</v>
      </c>
      <c r="L603" s="1">
        <v>0</v>
      </c>
      <c r="M603" s="1" t="s">
        <v>34</v>
      </c>
      <c r="N603" s="1" t="s">
        <v>35</v>
      </c>
      <c r="O603" s="1" t="s">
        <v>36</v>
      </c>
      <c r="P603" s="1" t="s">
        <v>37</v>
      </c>
      <c r="Q603" s="1" t="s">
        <v>38</v>
      </c>
      <c r="R603" s="1" t="s">
        <v>1996</v>
      </c>
      <c r="S603" s="3">
        <v>919970000000</v>
      </c>
      <c r="T603" s="1" t="s">
        <v>74</v>
      </c>
      <c r="U603" s="1">
        <v>80</v>
      </c>
      <c r="V603" s="1">
        <v>82</v>
      </c>
      <c r="W603" s="1" t="s">
        <v>52</v>
      </c>
      <c r="X603" s="1">
        <v>215977</v>
      </c>
      <c r="Y603" s="2">
        <v>36876</v>
      </c>
      <c r="Z603" s="1">
        <v>5.1789737171464303</v>
      </c>
      <c r="AA603" s="1">
        <v>23</v>
      </c>
      <c r="AB603" s="1">
        <v>676000</v>
      </c>
      <c r="AC603" s="1">
        <f t="shared" si="9"/>
        <v>736000</v>
      </c>
    </row>
    <row r="604" spans="1:29" x14ac:dyDescent="0.25">
      <c r="A604" s="1" t="s">
        <v>1997</v>
      </c>
      <c r="B604" s="1" t="s">
        <v>1998</v>
      </c>
      <c r="C604" s="1" t="s">
        <v>1999</v>
      </c>
      <c r="D604" s="1">
        <v>2020</v>
      </c>
      <c r="E604" s="1" t="s">
        <v>31</v>
      </c>
      <c r="F604" s="1">
        <v>4</v>
      </c>
      <c r="G604" s="1" t="s">
        <v>32</v>
      </c>
      <c r="H604" s="1" t="s">
        <v>102</v>
      </c>
      <c r="I604" s="1">
        <v>169000</v>
      </c>
      <c r="J604" s="1">
        <v>154000</v>
      </c>
      <c r="K604" s="1">
        <v>15000</v>
      </c>
      <c r="L604" s="1">
        <v>0</v>
      </c>
      <c r="M604" s="1" t="s">
        <v>34</v>
      </c>
      <c r="N604" s="1" t="s">
        <v>63</v>
      </c>
      <c r="O604" s="1" t="s">
        <v>188</v>
      </c>
      <c r="P604" s="1" t="s">
        <v>189</v>
      </c>
      <c r="Q604" s="1" t="s">
        <v>38</v>
      </c>
      <c r="R604" s="1" t="s">
        <v>2000</v>
      </c>
      <c r="S604" s="3">
        <v>918592000000</v>
      </c>
      <c r="T604" s="1" t="s">
        <v>51</v>
      </c>
      <c r="U604" s="1">
        <v>80</v>
      </c>
      <c r="V604" s="1">
        <v>74</v>
      </c>
      <c r="W604" s="1" t="s">
        <v>41</v>
      </c>
      <c r="X604" s="1">
        <v>581552</v>
      </c>
      <c r="Y604" s="2">
        <v>36755</v>
      </c>
      <c r="Z604" s="1">
        <v>5.1789737171464303</v>
      </c>
      <c r="AA604" s="1">
        <v>23</v>
      </c>
      <c r="AB604" s="1">
        <v>676000</v>
      </c>
      <c r="AC604" s="1">
        <f t="shared" si="9"/>
        <v>736000</v>
      </c>
    </row>
    <row r="605" spans="1:29" x14ac:dyDescent="0.25">
      <c r="A605" s="1" t="s">
        <v>2001</v>
      </c>
      <c r="B605" s="1" t="s">
        <v>2002</v>
      </c>
      <c r="C605" s="1" t="s">
        <v>2003</v>
      </c>
      <c r="D605" s="1">
        <v>2020</v>
      </c>
      <c r="E605" s="1" t="s">
        <v>31</v>
      </c>
      <c r="F605" s="1">
        <v>4</v>
      </c>
      <c r="G605" s="1" t="s">
        <v>32</v>
      </c>
      <c r="H605" s="1" t="s">
        <v>102</v>
      </c>
      <c r="I605" s="1">
        <v>169000</v>
      </c>
      <c r="J605" s="1">
        <v>154000</v>
      </c>
      <c r="K605" s="1">
        <v>15000</v>
      </c>
      <c r="L605" s="1">
        <v>0</v>
      </c>
      <c r="M605" s="1" t="s">
        <v>34</v>
      </c>
      <c r="N605" s="1" t="s">
        <v>63</v>
      </c>
      <c r="O605" s="1" t="s">
        <v>103</v>
      </c>
      <c r="P605" s="1" t="s">
        <v>104</v>
      </c>
      <c r="Q605" s="1" t="s">
        <v>38</v>
      </c>
      <c r="R605" s="1" t="s">
        <v>2004</v>
      </c>
      <c r="S605" s="3">
        <v>918899000000</v>
      </c>
      <c r="T605" s="1" t="s">
        <v>40</v>
      </c>
      <c r="U605" s="1">
        <v>80</v>
      </c>
      <c r="V605" s="1">
        <v>65</v>
      </c>
      <c r="W605" s="1" t="s">
        <v>41</v>
      </c>
      <c r="X605" s="1">
        <v>194378</v>
      </c>
      <c r="Y605" s="2">
        <v>38588</v>
      </c>
      <c r="Z605" s="1">
        <v>5.1789737171464303</v>
      </c>
      <c r="AA605" s="1">
        <v>18</v>
      </c>
      <c r="AB605" s="1">
        <v>676000</v>
      </c>
      <c r="AC605" s="1">
        <f t="shared" si="9"/>
        <v>736000</v>
      </c>
    </row>
    <row r="606" spans="1:29" x14ac:dyDescent="0.25">
      <c r="A606" s="1" t="s">
        <v>2013</v>
      </c>
      <c r="B606" s="1" t="s">
        <v>2014</v>
      </c>
      <c r="C606" s="1" t="s">
        <v>2015</v>
      </c>
      <c r="D606" s="1">
        <v>2020</v>
      </c>
      <c r="E606" s="1" t="s">
        <v>31</v>
      </c>
      <c r="F606" s="1">
        <v>4</v>
      </c>
      <c r="G606" s="1" t="s">
        <v>32</v>
      </c>
      <c r="H606" s="1" t="s">
        <v>62</v>
      </c>
      <c r="I606" s="1">
        <v>169000</v>
      </c>
      <c r="J606" s="1">
        <v>154000</v>
      </c>
      <c r="K606" s="1">
        <v>15000</v>
      </c>
      <c r="L606" s="1">
        <v>0</v>
      </c>
      <c r="M606" s="1" t="s">
        <v>34</v>
      </c>
      <c r="N606" s="1" t="s">
        <v>63</v>
      </c>
      <c r="O606" s="1" t="s">
        <v>64</v>
      </c>
      <c r="P606" s="1" t="s">
        <v>65</v>
      </c>
      <c r="Q606" s="1" t="s">
        <v>38</v>
      </c>
      <c r="R606" s="1" t="s">
        <v>2016</v>
      </c>
      <c r="S606" s="3">
        <v>918255000000</v>
      </c>
      <c r="T606" s="1" t="s">
        <v>40</v>
      </c>
      <c r="U606" s="1">
        <v>80</v>
      </c>
      <c r="V606" s="1">
        <v>86</v>
      </c>
      <c r="W606" s="1" t="s">
        <v>41</v>
      </c>
      <c r="X606" s="1">
        <v>319127</v>
      </c>
      <c r="Y606" s="2">
        <v>37495</v>
      </c>
      <c r="Z606" s="1">
        <v>5.1789737171464303</v>
      </c>
      <c r="AA606" s="1">
        <v>21</v>
      </c>
      <c r="AB606" s="1">
        <v>676000</v>
      </c>
      <c r="AC606" s="1">
        <f t="shared" si="9"/>
        <v>736000</v>
      </c>
    </row>
    <row r="607" spans="1:29" x14ac:dyDescent="0.25">
      <c r="A607" s="1" t="s">
        <v>2027</v>
      </c>
      <c r="B607" s="1" t="s">
        <v>2028</v>
      </c>
      <c r="C607" s="1" t="s">
        <v>2029</v>
      </c>
      <c r="D607" s="1">
        <v>2020</v>
      </c>
      <c r="E607" s="1" t="s">
        <v>31</v>
      </c>
      <c r="F607" s="1">
        <v>4</v>
      </c>
      <c r="G607" s="1" t="s">
        <v>32</v>
      </c>
      <c r="H607" s="1" t="s">
        <v>56</v>
      </c>
      <c r="I607" s="1">
        <v>169000</v>
      </c>
      <c r="J607" s="1">
        <v>154000</v>
      </c>
      <c r="K607" s="1">
        <v>15000</v>
      </c>
      <c r="L607" s="1">
        <v>0</v>
      </c>
      <c r="M607" s="1" t="s">
        <v>34</v>
      </c>
      <c r="N607" s="1" t="s">
        <v>63</v>
      </c>
      <c r="O607" s="1" t="s">
        <v>84</v>
      </c>
      <c r="P607" s="1" t="s">
        <v>65</v>
      </c>
      <c r="Q607" s="1" t="s">
        <v>38</v>
      </c>
      <c r="R607" s="1" t="s">
        <v>2030</v>
      </c>
      <c r="S607" s="3">
        <v>918281000000</v>
      </c>
      <c r="T607" s="1" t="s">
        <v>98</v>
      </c>
      <c r="U607" s="1">
        <v>80</v>
      </c>
      <c r="V607" s="1">
        <v>64</v>
      </c>
      <c r="W607" s="1" t="s">
        <v>41</v>
      </c>
      <c r="X607" s="1">
        <v>683653</v>
      </c>
      <c r="Y607" s="2">
        <v>37596</v>
      </c>
      <c r="Z607" s="1">
        <v>5.1789737171464303</v>
      </c>
      <c r="AA607" s="1">
        <v>21</v>
      </c>
      <c r="AB607" s="1">
        <v>676000</v>
      </c>
      <c r="AC607" s="1">
        <f t="shared" si="9"/>
        <v>736000</v>
      </c>
    </row>
    <row r="608" spans="1:29" x14ac:dyDescent="0.25">
      <c r="A608" s="1" t="s">
        <v>2043</v>
      </c>
      <c r="B608" s="1" t="s">
        <v>551</v>
      </c>
      <c r="C608" s="1" t="s">
        <v>552</v>
      </c>
      <c r="D608" s="1">
        <v>2020</v>
      </c>
      <c r="E608" s="1" t="s">
        <v>45</v>
      </c>
      <c r="F608" s="1">
        <v>2</v>
      </c>
      <c r="G608" s="1" t="s">
        <v>46</v>
      </c>
      <c r="H608" s="1" t="s">
        <v>113</v>
      </c>
      <c r="I608" s="1">
        <v>92000</v>
      </c>
      <c r="J608" s="1">
        <v>77000</v>
      </c>
      <c r="K608" s="1">
        <v>15000</v>
      </c>
      <c r="L608" s="1">
        <v>0</v>
      </c>
      <c r="M608" s="1" t="s">
        <v>34</v>
      </c>
      <c r="N608" s="1" t="s">
        <v>35</v>
      </c>
      <c r="O608" s="1" t="s">
        <v>48</v>
      </c>
      <c r="P608" s="1" t="s">
        <v>49</v>
      </c>
      <c r="Q608" s="1" t="s">
        <v>38</v>
      </c>
      <c r="R608" s="1" t="s">
        <v>2044</v>
      </c>
      <c r="S608" s="3">
        <v>919562000000</v>
      </c>
      <c r="T608" s="1" t="s">
        <v>74</v>
      </c>
      <c r="U608" s="1">
        <v>80</v>
      </c>
      <c r="V608" s="1">
        <v>71</v>
      </c>
      <c r="W608" s="1" t="s">
        <v>52</v>
      </c>
      <c r="X608" s="1">
        <v>299608</v>
      </c>
      <c r="Y608" s="2">
        <v>36496</v>
      </c>
      <c r="Z608" s="1">
        <v>5.1789737171464303</v>
      </c>
      <c r="AA608" s="1">
        <v>24</v>
      </c>
      <c r="AB608" s="1">
        <v>184000</v>
      </c>
      <c r="AC608" s="1">
        <f t="shared" si="9"/>
        <v>214000</v>
      </c>
    </row>
    <row r="609" spans="1:29" x14ac:dyDescent="0.25">
      <c r="A609" s="1" t="s">
        <v>2081</v>
      </c>
      <c r="B609" s="1" t="s">
        <v>1693</v>
      </c>
      <c r="C609" s="1" t="s">
        <v>1694</v>
      </c>
      <c r="D609" s="1">
        <v>2020</v>
      </c>
      <c r="E609" s="1" t="s">
        <v>45</v>
      </c>
      <c r="F609" s="1">
        <v>2</v>
      </c>
      <c r="G609" s="1" t="s">
        <v>46</v>
      </c>
      <c r="H609" s="1" t="s">
        <v>102</v>
      </c>
      <c r="I609" s="1">
        <v>92000</v>
      </c>
      <c r="J609" s="1">
        <v>77000</v>
      </c>
      <c r="K609" s="1">
        <v>15000</v>
      </c>
      <c r="L609" s="1">
        <v>0</v>
      </c>
      <c r="M609" s="1" t="s">
        <v>34</v>
      </c>
      <c r="N609" s="1" t="s">
        <v>70</v>
      </c>
      <c r="O609" s="1" t="s">
        <v>78</v>
      </c>
      <c r="P609" s="1" t="s">
        <v>79</v>
      </c>
      <c r="Q609" s="1" t="s">
        <v>38</v>
      </c>
      <c r="R609" s="1" t="s">
        <v>2082</v>
      </c>
      <c r="S609" s="3">
        <v>917281000000</v>
      </c>
      <c r="T609" s="1" t="s">
        <v>74</v>
      </c>
      <c r="U609" s="1">
        <v>80</v>
      </c>
      <c r="V609" s="1">
        <v>71</v>
      </c>
      <c r="W609" s="1" t="s">
        <v>41</v>
      </c>
      <c r="X609" s="1">
        <v>555695</v>
      </c>
      <c r="Y609" s="2">
        <v>37316</v>
      </c>
      <c r="Z609" s="1">
        <v>5.1789737171464303</v>
      </c>
      <c r="AA609" s="1">
        <v>22</v>
      </c>
      <c r="AB609" s="1">
        <v>184000</v>
      </c>
      <c r="AC609" s="1">
        <f t="shared" si="9"/>
        <v>214000</v>
      </c>
    </row>
    <row r="610" spans="1:29" x14ac:dyDescent="0.25">
      <c r="A610" s="1" t="s">
        <v>2111</v>
      </c>
      <c r="B610" s="1" t="s">
        <v>2112</v>
      </c>
      <c r="C610" s="1" t="s">
        <v>2113</v>
      </c>
      <c r="D610" s="1">
        <v>2020</v>
      </c>
      <c r="E610" s="1" t="s">
        <v>45</v>
      </c>
      <c r="F610" s="1">
        <v>2</v>
      </c>
      <c r="G610" s="1" t="s">
        <v>46</v>
      </c>
      <c r="H610" s="1" t="s">
        <v>62</v>
      </c>
      <c r="I610" s="1">
        <v>92000</v>
      </c>
      <c r="J610" s="1">
        <v>77000</v>
      </c>
      <c r="K610" s="1">
        <v>15000</v>
      </c>
      <c r="L610" s="1">
        <v>0</v>
      </c>
      <c r="M610" s="1" t="s">
        <v>34</v>
      </c>
      <c r="N610" s="1" t="s">
        <v>35</v>
      </c>
      <c r="O610" s="1" t="s">
        <v>103</v>
      </c>
      <c r="P610" s="1" t="s">
        <v>104</v>
      </c>
      <c r="Q610" s="1" t="s">
        <v>38</v>
      </c>
      <c r="R610" s="1" t="s">
        <v>2114</v>
      </c>
      <c r="S610" s="3">
        <v>919330000000</v>
      </c>
      <c r="T610" s="1" t="s">
        <v>51</v>
      </c>
      <c r="U610" s="1">
        <v>80</v>
      </c>
      <c r="V610" s="1">
        <v>77</v>
      </c>
      <c r="W610" s="1" t="s">
        <v>52</v>
      </c>
      <c r="X610" s="1">
        <v>614480</v>
      </c>
      <c r="Y610" s="2">
        <v>35597</v>
      </c>
      <c r="Z610" s="1">
        <v>5.1789737171464303</v>
      </c>
      <c r="AA610" s="1">
        <v>27</v>
      </c>
      <c r="AB610" s="1">
        <v>184000</v>
      </c>
      <c r="AC610" s="1">
        <f t="shared" si="9"/>
        <v>214000</v>
      </c>
    </row>
    <row r="611" spans="1:29" x14ac:dyDescent="0.25">
      <c r="A611" s="1" t="s">
        <v>2131</v>
      </c>
      <c r="B611" s="1" t="s">
        <v>2132</v>
      </c>
      <c r="C611" s="1" t="s">
        <v>2133</v>
      </c>
      <c r="D611" s="1">
        <v>2020</v>
      </c>
      <c r="E611" s="1" t="s">
        <v>31</v>
      </c>
      <c r="F611" s="1">
        <v>4</v>
      </c>
      <c r="G611" s="1" t="s">
        <v>32</v>
      </c>
      <c r="H611" s="1" t="s">
        <v>90</v>
      </c>
      <c r="I611" s="1">
        <v>169000</v>
      </c>
      <c r="J611" s="1">
        <v>154000</v>
      </c>
      <c r="K611" s="1">
        <v>15000</v>
      </c>
      <c r="L611" s="1">
        <v>0</v>
      </c>
      <c r="M611" s="1" t="s">
        <v>34</v>
      </c>
      <c r="N611" s="1" t="s">
        <v>70</v>
      </c>
      <c r="O611" s="1" t="s">
        <v>64</v>
      </c>
      <c r="P611" s="1" t="s">
        <v>65</v>
      </c>
      <c r="Q611" s="1" t="s">
        <v>38</v>
      </c>
      <c r="R611" s="1" t="s">
        <v>2134</v>
      </c>
      <c r="S611" s="3">
        <v>917244000000</v>
      </c>
      <c r="T611" s="1" t="s">
        <v>74</v>
      </c>
      <c r="U611" s="1">
        <v>80</v>
      </c>
      <c r="V611" s="1">
        <v>67</v>
      </c>
      <c r="W611" s="1" t="s">
        <v>41</v>
      </c>
      <c r="X611" s="1">
        <v>689276</v>
      </c>
      <c r="Y611" s="2">
        <v>37704</v>
      </c>
      <c r="Z611" s="1">
        <v>5.1789737171464303</v>
      </c>
      <c r="AA611" s="1">
        <v>21</v>
      </c>
      <c r="AB611" s="1">
        <v>676000</v>
      </c>
      <c r="AC611" s="1">
        <f t="shared" si="9"/>
        <v>736000</v>
      </c>
    </row>
    <row r="612" spans="1:29" x14ac:dyDescent="0.25">
      <c r="A612" s="1" t="s">
        <v>2135</v>
      </c>
      <c r="B612" s="1" t="s">
        <v>1836</v>
      </c>
      <c r="C612" s="1" t="s">
        <v>1837</v>
      </c>
      <c r="D612" s="1">
        <v>2020</v>
      </c>
      <c r="E612" s="1" t="s">
        <v>45</v>
      </c>
      <c r="F612" s="1">
        <v>2</v>
      </c>
      <c r="G612" s="1" t="s">
        <v>46</v>
      </c>
      <c r="H612" s="1" t="s">
        <v>102</v>
      </c>
      <c r="I612" s="1">
        <v>92000</v>
      </c>
      <c r="J612" s="1">
        <v>77000</v>
      </c>
      <c r="K612" s="1">
        <v>15000</v>
      </c>
      <c r="L612" s="1">
        <v>0</v>
      </c>
      <c r="M612" s="1" t="s">
        <v>34</v>
      </c>
      <c r="N612" s="1" t="s">
        <v>35</v>
      </c>
      <c r="O612" s="1" t="s">
        <v>103</v>
      </c>
      <c r="P612" s="1" t="s">
        <v>104</v>
      </c>
      <c r="Q612" s="1" t="s">
        <v>38</v>
      </c>
      <c r="R612" s="1" t="s">
        <v>2136</v>
      </c>
      <c r="S612" s="3">
        <v>919672000000</v>
      </c>
      <c r="T612" s="1" t="s">
        <v>40</v>
      </c>
      <c r="U612" s="1">
        <v>80</v>
      </c>
      <c r="V612" s="1">
        <v>79</v>
      </c>
      <c r="W612" s="1" t="s">
        <v>41</v>
      </c>
      <c r="X612" s="1">
        <v>674247</v>
      </c>
      <c r="Y612" s="2">
        <v>36681</v>
      </c>
      <c r="Z612" s="1">
        <v>5.1789737171464303</v>
      </c>
      <c r="AA612" s="1">
        <v>24</v>
      </c>
      <c r="AB612" s="1">
        <v>184000</v>
      </c>
      <c r="AC612" s="1">
        <f t="shared" si="9"/>
        <v>214000</v>
      </c>
    </row>
    <row r="613" spans="1:29" x14ac:dyDescent="0.25">
      <c r="A613" s="1" t="s">
        <v>2137</v>
      </c>
      <c r="B613" s="1" t="s">
        <v>2138</v>
      </c>
      <c r="C613" s="1" t="s">
        <v>2139</v>
      </c>
      <c r="D613" s="1">
        <v>2020</v>
      </c>
      <c r="E613" s="1" t="s">
        <v>31</v>
      </c>
      <c r="F613" s="1">
        <v>4</v>
      </c>
      <c r="G613" s="1" t="s">
        <v>32</v>
      </c>
      <c r="H613" s="1" t="s">
        <v>210</v>
      </c>
      <c r="I613" s="1">
        <v>169000</v>
      </c>
      <c r="J613" s="1">
        <v>154000</v>
      </c>
      <c r="K613" s="1">
        <v>15000</v>
      </c>
      <c r="L613" s="1">
        <v>0</v>
      </c>
      <c r="M613" s="1" t="s">
        <v>34</v>
      </c>
      <c r="N613" s="1" t="s">
        <v>70</v>
      </c>
      <c r="O613" s="1" t="s">
        <v>78</v>
      </c>
      <c r="P613" s="1" t="s">
        <v>79</v>
      </c>
      <c r="Q613" s="1" t="s">
        <v>38</v>
      </c>
      <c r="R613" s="1" t="s">
        <v>2140</v>
      </c>
      <c r="S613" s="3">
        <v>919130000000</v>
      </c>
      <c r="T613" s="1" t="s">
        <v>98</v>
      </c>
      <c r="U613" s="1">
        <v>80</v>
      </c>
      <c r="V613" s="1">
        <v>78</v>
      </c>
      <c r="W613" s="1" t="s">
        <v>52</v>
      </c>
      <c r="X613" s="1">
        <v>498100</v>
      </c>
      <c r="Y613" s="2">
        <v>37497</v>
      </c>
      <c r="Z613" s="1">
        <v>5.1789737171464303</v>
      </c>
      <c r="AA613" s="1">
        <v>21</v>
      </c>
      <c r="AB613" s="1">
        <v>676000</v>
      </c>
      <c r="AC613" s="1">
        <f t="shared" si="9"/>
        <v>736000</v>
      </c>
    </row>
    <row r="614" spans="1:29" x14ac:dyDescent="0.25">
      <c r="A614" s="1" t="s">
        <v>2187</v>
      </c>
      <c r="B614" s="1" t="s">
        <v>2188</v>
      </c>
      <c r="C614" s="1" t="s">
        <v>2189</v>
      </c>
      <c r="D614" s="1">
        <v>2020</v>
      </c>
      <c r="E614" s="1" t="s">
        <v>45</v>
      </c>
      <c r="F614" s="1">
        <v>2</v>
      </c>
      <c r="G614" s="1" t="s">
        <v>46</v>
      </c>
      <c r="H614" s="1" t="s">
        <v>62</v>
      </c>
      <c r="I614" s="1">
        <v>92000</v>
      </c>
      <c r="J614" s="1">
        <v>77000</v>
      </c>
      <c r="K614" s="1">
        <v>15000</v>
      </c>
      <c r="L614" s="1">
        <v>0</v>
      </c>
      <c r="M614" s="1" t="s">
        <v>34</v>
      </c>
      <c r="N614" s="1" t="s">
        <v>63</v>
      </c>
      <c r="O614" s="1" t="s">
        <v>71</v>
      </c>
      <c r="P614" s="1" t="s">
        <v>72</v>
      </c>
      <c r="Q614" s="1" t="s">
        <v>38</v>
      </c>
      <c r="R614" s="1" t="s">
        <v>2190</v>
      </c>
      <c r="S614" s="3">
        <v>919693000000</v>
      </c>
      <c r="T614" s="1" t="s">
        <v>40</v>
      </c>
      <c r="U614" s="1">
        <v>79</v>
      </c>
      <c r="V614" s="1">
        <v>76</v>
      </c>
      <c r="W614" s="1" t="s">
        <v>52</v>
      </c>
      <c r="X614" s="1">
        <v>740256</v>
      </c>
      <c r="Y614" s="2">
        <v>36399</v>
      </c>
      <c r="Z614" s="1">
        <v>4.1789737171464303</v>
      </c>
      <c r="AA614" s="1">
        <v>24</v>
      </c>
      <c r="AB614" s="1">
        <v>184000</v>
      </c>
      <c r="AC614" s="1">
        <f t="shared" si="9"/>
        <v>214000</v>
      </c>
    </row>
    <row r="615" spans="1:29" x14ac:dyDescent="0.25">
      <c r="A615" s="1" t="s">
        <v>2191</v>
      </c>
      <c r="B615" s="1" t="s">
        <v>2192</v>
      </c>
      <c r="C615" s="1" t="s">
        <v>2193</v>
      </c>
      <c r="D615" s="1">
        <v>2020</v>
      </c>
      <c r="E615" s="1" t="s">
        <v>31</v>
      </c>
      <c r="F615" s="1">
        <v>4</v>
      </c>
      <c r="G615" s="1" t="s">
        <v>32</v>
      </c>
      <c r="H615" s="1" t="s">
        <v>33</v>
      </c>
      <c r="I615" s="1">
        <v>169000</v>
      </c>
      <c r="J615" s="1">
        <v>154000</v>
      </c>
      <c r="K615" s="1">
        <v>15000</v>
      </c>
      <c r="L615" s="1">
        <v>0</v>
      </c>
      <c r="M615" s="1" t="s">
        <v>34</v>
      </c>
      <c r="N615" s="1" t="s">
        <v>63</v>
      </c>
      <c r="O615" s="1" t="s">
        <v>84</v>
      </c>
      <c r="P615" s="1" t="s">
        <v>65</v>
      </c>
      <c r="Q615" s="1" t="s">
        <v>38</v>
      </c>
      <c r="R615" s="1" t="s">
        <v>2194</v>
      </c>
      <c r="S615" s="3">
        <v>918164000000</v>
      </c>
      <c r="T615" s="1" t="s">
        <v>51</v>
      </c>
      <c r="U615" s="1">
        <v>79</v>
      </c>
      <c r="V615" s="1">
        <v>85</v>
      </c>
      <c r="W615" s="1" t="s">
        <v>41</v>
      </c>
      <c r="X615" s="1">
        <v>513977</v>
      </c>
      <c r="Y615" s="2">
        <v>38776</v>
      </c>
      <c r="Z615" s="1">
        <v>4.1789737171464303</v>
      </c>
      <c r="AA615" s="1">
        <v>18</v>
      </c>
      <c r="AB615" s="1">
        <v>676000</v>
      </c>
      <c r="AC615" s="1">
        <f t="shared" si="9"/>
        <v>736000</v>
      </c>
    </row>
    <row r="616" spans="1:29" x14ac:dyDescent="0.25">
      <c r="A616" s="1" t="s">
        <v>2257</v>
      </c>
      <c r="B616" s="1" t="s">
        <v>2258</v>
      </c>
      <c r="C616" s="1" t="s">
        <v>2259</v>
      </c>
      <c r="D616" s="1">
        <v>2020</v>
      </c>
      <c r="E616" s="1" t="s">
        <v>45</v>
      </c>
      <c r="F616" s="1">
        <v>2</v>
      </c>
      <c r="G616" s="1" t="s">
        <v>46</v>
      </c>
      <c r="H616" s="1" t="s">
        <v>102</v>
      </c>
      <c r="I616" s="1">
        <v>92000</v>
      </c>
      <c r="J616" s="1">
        <v>77000</v>
      </c>
      <c r="K616" s="1">
        <v>15000</v>
      </c>
      <c r="L616" s="1">
        <v>0</v>
      </c>
      <c r="M616" s="1" t="s">
        <v>34</v>
      </c>
      <c r="N616" s="1" t="s">
        <v>63</v>
      </c>
      <c r="O616" s="1" t="s">
        <v>78</v>
      </c>
      <c r="P616" s="1" t="s">
        <v>79</v>
      </c>
      <c r="Q616" s="1" t="s">
        <v>38</v>
      </c>
      <c r="R616" s="1" t="s">
        <v>2260</v>
      </c>
      <c r="S616" s="3">
        <v>919065000000</v>
      </c>
      <c r="T616" s="1" t="s">
        <v>51</v>
      </c>
      <c r="U616" s="1">
        <v>79</v>
      </c>
      <c r="V616" s="1">
        <v>74</v>
      </c>
      <c r="W616" s="1" t="s">
        <v>52</v>
      </c>
      <c r="X616" s="1">
        <v>366080</v>
      </c>
      <c r="Y616" s="2">
        <v>36867</v>
      </c>
      <c r="Z616" s="1">
        <v>4.1789737171464303</v>
      </c>
      <c r="AA616" s="1">
        <v>23</v>
      </c>
      <c r="AB616" s="1">
        <v>184000</v>
      </c>
      <c r="AC616" s="1">
        <f t="shared" si="9"/>
        <v>214000</v>
      </c>
    </row>
    <row r="617" spans="1:29" x14ac:dyDescent="0.25">
      <c r="A617" s="1" t="s">
        <v>2293</v>
      </c>
      <c r="B617" s="1" t="s">
        <v>2294</v>
      </c>
      <c r="C617" s="1" t="s">
        <v>2295</v>
      </c>
      <c r="D617" s="1">
        <v>2020</v>
      </c>
      <c r="E617" s="1" t="s">
        <v>31</v>
      </c>
      <c r="F617" s="1">
        <v>4</v>
      </c>
      <c r="G617" s="1" t="s">
        <v>32</v>
      </c>
      <c r="H617" s="1" t="s">
        <v>151</v>
      </c>
      <c r="I617" s="1">
        <v>169000</v>
      </c>
      <c r="J617" s="1">
        <v>154000</v>
      </c>
      <c r="K617" s="1">
        <v>15000</v>
      </c>
      <c r="L617" s="1">
        <v>0</v>
      </c>
      <c r="M617" s="1" t="s">
        <v>34</v>
      </c>
      <c r="N617" s="1" t="s">
        <v>70</v>
      </c>
      <c r="O617" s="1" t="s">
        <v>91</v>
      </c>
      <c r="P617" s="1" t="s">
        <v>92</v>
      </c>
      <c r="Q617" s="1" t="s">
        <v>38</v>
      </c>
      <c r="R617" s="1" t="s">
        <v>2296</v>
      </c>
      <c r="S617" s="3">
        <v>918872000000</v>
      </c>
      <c r="T617" s="1" t="s">
        <v>74</v>
      </c>
      <c r="U617" s="1">
        <v>79</v>
      </c>
      <c r="V617" s="1">
        <v>80</v>
      </c>
      <c r="W617" s="1" t="s">
        <v>52</v>
      </c>
      <c r="X617" s="1">
        <v>199691</v>
      </c>
      <c r="Y617" s="2">
        <v>37806</v>
      </c>
      <c r="Z617" s="1">
        <v>4.1789737171464303</v>
      </c>
      <c r="AA617" s="1">
        <v>21</v>
      </c>
      <c r="AB617" s="1">
        <v>676000</v>
      </c>
      <c r="AC617" s="1">
        <f t="shared" si="9"/>
        <v>736000</v>
      </c>
    </row>
    <row r="618" spans="1:29" x14ac:dyDescent="0.25">
      <c r="A618" s="1" t="s">
        <v>2301</v>
      </c>
      <c r="B618" s="1" t="s">
        <v>2302</v>
      </c>
      <c r="C618" s="1" t="s">
        <v>2303</v>
      </c>
      <c r="D618" s="1">
        <v>2020</v>
      </c>
      <c r="E618" s="1" t="s">
        <v>31</v>
      </c>
      <c r="F618" s="1">
        <v>4</v>
      </c>
      <c r="G618" s="1" t="s">
        <v>32</v>
      </c>
      <c r="H618" s="1" t="s">
        <v>151</v>
      </c>
      <c r="I618" s="1">
        <v>169000</v>
      </c>
      <c r="J618" s="1">
        <v>154000</v>
      </c>
      <c r="K618" s="1">
        <v>15000</v>
      </c>
      <c r="L618" s="1">
        <v>0</v>
      </c>
      <c r="M618" s="1" t="s">
        <v>34</v>
      </c>
      <c r="N618" s="1" t="s">
        <v>70</v>
      </c>
      <c r="O618" s="1" t="s">
        <v>78</v>
      </c>
      <c r="P618" s="1" t="s">
        <v>79</v>
      </c>
      <c r="Q618" s="1" t="s">
        <v>38</v>
      </c>
      <c r="R618" s="1" t="s">
        <v>2304</v>
      </c>
      <c r="S618" s="3">
        <v>918958000000</v>
      </c>
      <c r="T618" s="1" t="s">
        <v>40</v>
      </c>
      <c r="U618" s="1">
        <v>79</v>
      </c>
      <c r="V618" s="1">
        <v>72</v>
      </c>
      <c r="W618" s="1" t="s">
        <v>52</v>
      </c>
      <c r="X618" s="1">
        <v>709041</v>
      </c>
      <c r="Y618" s="2">
        <v>37480</v>
      </c>
      <c r="Z618" s="1">
        <v>4.1789737171464303</v>
      </c>
      <c r="AA618" s="1">
        <v>21</v>
      </c>
      <c r="AB618" s="1">
        <v>676000</v>
      </c>
      <c r="AC618" s="1">
        <f t="shared" si="9"/>
        <v>736000</v>
      </c>
    </row>
    <row r="619" spans="1:29" x14ac:dyDescent="0.25">
      <c r="A619" s="1" t="s">
        <v>2345</v>
      </c>
      <c r="B619" s="1" t="s">
        <v>2346</v>
      </c>
      <c r="C619" s="1" t="s">
        <v>2347</v>
      </c>
      <c r="D619" s="1">
        <v>2020</v>
      </c>
      <c r="E619" s="1" t="s">
        <v>31</v>
      </c>
      <c r="F619" s="1">
        <v>4</v>
      </c>
      <c r="G619" s="1" t="s">
        <v>32</v>
      </c>
      <c r="H619" s="1" t="s">
        <v>62</v>
      </c>
      <c r="I619" s="1">
        <v>169000</v>
      </c>
      <c r="J619" s="1">
        <v>154000</v>
      </c>
      <c r="K619" s="1">
        <v>15000</v>
      </c>
      <c r="L619" s="1">
        <v>0</v>
      </c>
      <c r="M619" s="1" t="s">
        <v>34</v>
      </c>
      <c r="N619" s="1" t="s">
        <v>63</v>
      </c>
      <c r="O619" s="1" t="s">
        <v>188</v>
      </c>
      <c r="P619" s="1" t="s">
        <v>189</v>
      </c>
      <c r="Q619" s="1" t="s">
        <v>38</v>
      </c>
      <c r="R619" s="1" t="s">
        <v>2348</v>
      </c>
      <c r="S619" s="3">
        <v>918693000000</v>
      </c>
      <c r="T619" s="1" t="s">
        <v>51</v>
      </c>
      <c r="U619" s="1">
        <v>78</v>
      </c>
      <c r="V619" s="1">
        <v>78</v>
      </c>
      <c r="W619" s="1" t="s">
        <v>52</v>
      </c>
      <c r="X619" s="1">
        <v>204844</v>
      </c>
      <c r="Y619" s="2">
        <v>38128</v>
      </c>
      <c r="Z619" s="1">
        <v>3.1789737171464298</v>
      </c>
      <c r="AA619" s="1">
        <v>20</v>
      </c>
      <c r="AB619" s="1">
        <v>676000</v>
      </c>
      <c r="AC619" s="1">
        <f t="shared" si="9"/>
        <v>736000</v>
      </c>
    </row>
    <row r="620" spans="1:29" x14ac:dyDescent="0.25">
      <c r="A620" s="1" t="s">
        <v>2369</v>
      </c>
      <c r="B620" s="1" t="s">
        <v>2370</v>
      </c>
      <c r="C620" s="1" t="s">
        <v>2371</v>
      </c>
      <c r="D620" s="1">
        <v>2020</v>
      </c>
      <c r="E620" s="1" t="s">
        <v>31</v>
      </c>
      <c r="F620" s="1">
        <v>4</v>
      </c>
      <c r="G620" s="1" t="s">
        <v>32</v>
      </c>
      <c r="H620" s="1" t="s">
        <v>47</v>
      </c>
      <c r="I620" s="1">
        <v>169000</v>
      </c>
      <c r="J620" s="1">
        <v>154000</v>
      </c>
      <c r="K620" s="1">
        <v>15000</v>
      </c>
      <c r="L620" s="1">
        <v>0</v>
      </c>
      <c r="M620" s="1" t="s">
        <v>34</v>
      </c>
      <c r="N620" s="1" t="s">
        <v>35</v>
      </c>
      <c r="O620" s="1" t="s">
        <v>48</v>
      </c>
      <c r="P620" s="1" t="s">
        <v>49</v>
      </c>
      <c r="Q620" s="1" t="s">
        <v>38</v>
      </c>
      <c r="R620" s="1" t="s">
        <v>2372</v>
      </c>
      <c r="S620" s="3">
        <v>919740000000</v>
      </c>
      <c r="T620" s="1" t="s">
        <v>98</v>
      </c>
      <c r="U620" s="1">
        <v>78</v>
      </c>
      <c r="V620" s="1">
        <v>90</v>
      </c>
      <c r="W620" s="1" t="s">
        <v>52</v>
      </c>
      <c r="X620" s="1">
        <v>717200</v>
      </c>
      <c r="Y620" s="2">
        <v>37056</v>
      </c>
      <c r="Z620" s="1">
        <v>3.1789737171464298</v>
      </c>
      <c r="AA620" s="1">
        <v>23</v>
      </c>
      <c r="AB620" s="1">
        <v>676000</v>
      </c>
      <c r="AC620" s="1">
        <f t="shared" si="9"/>
        <v>736000</v>
      </c>
    </row>
    <row r="621" spans="1:29" x14ac:dyDescent="0.25">
      <c r="A621" s="1" t="s">
        <v>2409</v>
      </c>
      <c r="B621" s="1" t="s">
        <v>2410</v>
      </c>
      <c r="C621" s="1" t="s">
        <v>2411</v>
      </c>
      <c r="D621" s="1">
        <v>2020</v>
      </c>
      <c r="E621" s="1" t="s">
        <v>31</v>
      </c>
      <c r="F621" s="1">
        <v>4</v>
      </c>
      <c r="G621" s="1" t="s">
        <v>32</v>
      </c>
      <c r="H621" s="1" t="s">
        <v>62</v>
      </c>
      <c r="I621" s="1">
        <v>169000</v>
      </c>
      <c r="J621" s="1">
        <v>154000</v>
      </c>
      <c r="K621" s="1">
        <v>15000</v>
      </c>
      <c r="L621" s="1">
        <v>0</v>
      </c>
      <c r="M621" s="1" t="s">
        <v>34</v>
      </c>
      <c r="N621" s="1" t="s">
        <v>35</v>
      </c>
      <c r="O621" s="1" t="s">
        <v>36</v>
      </c>
      <c r="P621" s="1" t="s">
        <v>37</v>
      </c>
      <c r="Q621" s="1" t="s">
        <v>38</v>
      </c>
      <c r="R621" s="1" t="s">
        <v>2412</v>
      </c>
      <c r="S621" s="3">
        <v>919336000000</v>
      </c>
      <c r="T621" s="1" t="s">
        <v>98</v>
      </c>
      <c r="U621" s="1">
        <v>78</v>
      </c>
      <c r="V621" s="1">
        <v>64</v>
      </c>
      <c r="W621" s="1" t="s">
        <v>41</v>
      </c>
      <c r="X621" s="1">
        <v>468919</v>
      </c>
      <c r="Y621" s="2">
        <v>37010</v>
      </c>
      <c r="Z621" s="1">
        <v>3.1789737171464298</v>
      </c>
      <c r="AA621" s="1">
        <v>23</v>
      </c>
      <c r="AB621" s="1">
        <v>676000</v>
      </c>
      <c r="AC621" s="1">
        <f t="shared" si="9"/>
        <v>736000</v>
      </c>
    </row>
    <row r="622" spans="1:29" x14ac:dyDescent="0.25">
      <c r="A622" s="1" t="s">
        <v>2453</v>
      </c>
      <c r="B622" s="1" t="s">
        <v>1633</v>
      </c>
      <c r="C622" s="1" t="s">
        <v>1634</v>
      </c>
      <c r="D622" s="1">
        <v>2020</v>
      </c>
      <c r="E622" s="1" t="s">
        <v>45</v>
      </c>
      <c r="F622" s="1">
        <v>2</v>
      </c>
      <c r="G622" s="1" t="s">
        <v>46</v>
      </c>
      <c r="H622" s="1" t="s">
        <v>62</v>
      </c>
      <c r="I622" s="1">
        <v>92000</v>
      </c>
      <c r="J622" s="1">
        <v>77000</v>
      </c>
      <c r="K622" s="1">
        <v>15000</v>
      </c>
      <c r="L622" s="1">
        <v>0</v>
      </c>
      <c r="M622" s="1" t="s">
        <v>34</v>
      </c>
      <c r="N622" s="1" t="s">
        <v>63</v>
      </c>
      <c r="O622" s="1" t="s">
        <v>36</v>
      </c>
      <c r="P622" s="1" t="s">
        <v>37</v>
      </c>
      <c r="Q622" s="1" t="s">
        <v>38</v>
      </c>
      <c r="R622" s="1" t="s">
        <v>2454</v>
      </c>
      <c r="S622" s="3">
        <v>919707000000</v>
      </c>
      <c r="T622" s="1" t="s">
        <v>98</v>
      </c>
      <c r="U622" s="1">
        <v>78</v>
      </c>
      <c r="V622" s="1">
        <v>64</v>
      </c>
      <c r="W622" s="1" t="s">
        <v>41</v>
      </c>
      <c r="X622" s="1">
        <v>455109</v>
      </c>
      <c r="Y622" s="2">
        <v>35427</v>
      </c>
      <c r="Z622" s="1">
        <v>3.1789737171464298</v>
      </c>
      <c r="AA622" s="1">
        <v>27</v>
      </c>
      <c r="AB622" s="1">
        <v>184000</v>
      </c>
      <c r="AC622" s="1">
        <f t="shared" si="9"/>
        <v>214000</v>
      </c>
    </row>
    <row r="623" spans="1:29" x14ac:dyDescent="0.25">
      <c r="A623" s="1" t="s">
        <v>2495</v>
      </c>
      <c r="B623" s="1" t="s">
        <v>1992</v>
      </c>
      <c r="C623" s="1" t="s">
        <v>1993</v>
      </c>
      <c r="D623" s="1">
        <v>2020</v>
      </c>
      <c r="E623" s="1" t="s">
        <v>31</v>
      </c>
      <c r="F623" s="1">
        <v>4</v>
      </c>
      <c r="G623" s="1" t="s">
        <v>32</v>
      </c>
      <c r="H623" s="1" t="s">
        <v>90</v>
      </c>
      <c r="I623" s="1">
        <v>169000</v>
      </c>
      <c r="J623" s="1">
        <v>154000</v>
      </c>
      <c r="K623" s="1">
        <v>15000</v>
      </c>
      <c r="L623" s="1">
        <v>0</v>
      </c>
      <c r="M623" s="1" t="s">
        <v>34</v>
      </c>
      <c r="N623" s="1" t="s">
        <v>63</v>
      </c>
      <c r="O623" s="1" t="s">
        <v>64</v>
      </c>
      <c r="P623" s="1" t="s">
        <v>65</v>
      </c>
      <c r="Q623" s="1" t="s">
        <v>38</v>
      </c>
      <c r="R623" s="1" t="s">
        <v>2496</v>
      </c>
      <c r="S623" s="3">
        <v>918485000000</v>
      </c>
      <c r="T623" s="1" t="s">
        <v>98</v>
      </c>
      <c r="U623" s="1">
        <v>78</v>
      </c>
      <c r="V623" s="1">
        <v>76</v>
      </c>
      <c r="W623" s="1" t="s">
        <v>52</v>
      </c>
      <c r="X623" s="1">
        <v>118899</v>
      </c>
      <c r="Y623" s="2">
        <v>37737</v>
      </c>
      <c r="Z623" s="1">
        <v>3.1789737171464298</v>
      </c>
      <c r="AA623" s="1">
        <v>21</v>
      </c>
      <c r="AB623" s="1">
        <v>676000</v>
      </c>
      <c r="AC623" s="1">
        <f t="shared" si="9"/>
        <v>736000</v>
      </c>
    </row>
    <row r="624" spans="1:29" x14ac:dyDescent="0.25">
      <c r="A624" s="1" t="s">
        <v>2497</v>
      </c>
      <c r="B624" s="1" t="s">
        <v>469</v>
      </c>
      <c r="C624" s="1" t="s">
        <v>470</v>
      </c>
      <c r="D624" s="1">
        <v>2020</v>
      </c>
      <c r="E624" s="1" t="s">
        <v>31</v>
      </c>
      <c r="F624" s="1">
        <v>4</v>
      </c>
      <c r="G624" s="1" t="s">
        <v>32</v>
      </c>
      <c r="H624" s="1" t="s">
        <v>210</v>
      </c>
      <c r="I624" s="1">
        <v>169000</v>
      </c>
      <c r="J624" s="1">
        <v>154000</v>
      </c>
      <c r="K624" s="1">
        <v>15000</v>
      </c>
      <c r="L624" s="1">
        <v>0</v>
      </c>
      <c r="M624" s="1" t="s">
        <v>34</v>
      </c>
      <c r="N624" s="1" t="s">
        <v>35</v>
      </c>
      <c r="O624" s="1" t="s">
        <v>78</v>
      </c>
      <c r="P624" s="1" t="s">
        <v>79</v>
      </c>
      <c r="Q624" s="1" t="s">
        <v>38</v>
      </c>
      <c r="R624" s="1" t="s">
        <v>2498</v>
      </c>
      <c r="S624" s="3">
        <v>918398000000</v>
      </c>
      <c r="T624" s="1" t="s">
        <v>51</v>
      </c>
      <c r="U624" s="1">
        <v>78</v>
      </c>
      <c r="V624" s="1">
        <v>88</v>
      </c>
      <c r="W624" s="1" t="s">
        <v>52</v>
      </c>
      <c r="X624" s="1">
        <v>455752</v>
      </c>
      <c r="Y624" s="2">
        <v>38398</v>
      </c>
      <c r="Z624" s="1">
        <v>3.1789737171464298</v>
      </c>
      <c r="AA624" s="1">
        <v>19</v>
      </c>
      <c r="AB624" s="1">
        <v>676000</v>
      </c>
      <c r="AC624" s="1">
        <f t="shared" si="9"/>
        <v>736000</v>
      </c>
    </row>
    <row r="625" spans="1:29" x14ac:dyDescent="0.25">
      <c r="A625" s="1" t="s">
        <v>2524</v>
      </c>
      <c r="B625" s="1" t="s">
        <v>2525</v>
      </c>
      <c r="C625" s="1" t="s">
        <v>2526</v>
      </c>
      <c r="D625" s="1">
        <v>2020</v>
      </c>
      <c r="E625" s="1" t="s">
        <v>31</v>
      </c>
      <c r="F625" s="1">
        <v>4</v>
      </c>
      <c r="G625" s="1" t="s">
        <v>32</v>
      </c>
      <c r="H625" s="1" t="s">
        <v>113</v>
      </c>
      <c r="I625" s="1">
        <v>169000</v>
      </c>
      <c r="J625" s="1">
        <v>154000</v>
      </c>
      <c r="K625" s="1">
        <v>15000</v>
      </c>
      <c r="L625" s="1">
        <v>0</v>
      </c>
      <c r="M625" s="1" t="s">
        <v>34</v>
      </c>
      <c r="N625" s="1" t="s">
        <v>70</v>
      </c>
      <c r="O625" s="1" t="s">
        <v>57</v>
      </c>
      <c r="P625" s="1" t="s">
        <v>57</v>
      </c>
      <c r="Q625" s="1" t="s">
        <v>38</v>
      </c>
      <c r="R625" s="1" t="s">
        <v>2527</v>
      </c>
      <c r="S625" s="3">
        <v>918952000000</v>
      </c>
      <c r="T625" s="1" t="s">
        <v>98</v>
      </c>
      <c r="U625" s="1">
        <v>78</v>
      </c>
      <c r="V625" s="1">
        <v>90</v>
      </c>
      <c r="W625" s="1" t="s">
        <v>41</v>
      </c>
      <c r="X625" s="1">
        <v>210646</v>
      </c>
      <c r="Y625" s="2">
        <v>36721</v>
      </c>
      <c r="Z625" s="1">
        <v>3.1789737171464298</v>
      </c>
      <c r="AA625" s="1">
        <v>23</v>
      </c>
      <c r="AB625" s="1">
        <v>676000</v>
      </c>
      <c r="AC625" s="1">
        <f t="shared" si="9"/>
        <v>736000</v>
      </c>
    </row>
    <row r="626" spans="1:29" x14ac:dyDescent="0.25">
      <c r="A626" s="1" t="s">
        <v>2552</v>
      </c>
      <c r="B626" s="1" t="s">
        <v>2553</v>
      </c>
      <c r="C626" s="1" t="s">
        <v>2554</v>
      </c>
      <c r="D626" s="1">
        <v>2020</v>
      </c>
      <c r="E626" s="1" t="s">
        <v>45</v>
      </c>
      <c r="F626" s="1">
        <v>2</v>
      </c>
      <c r="G626" s="1" t="s">
        <v>46</v>
      </c>
      <c r="H626" s="1" t="s">
        <v>62</v>
      </c>
      <c r="I626" s="1">
        <v>92000</v>
      </c>
      <c r="J626" s="1">
        <v>77000</v>
      </c>
      <c r="K626" s="1">
        <v>15000</v>
      </c>
      <c r="L626" s="1">
        <v>0</v>
      </c>
      <c r="M626" s="1" t="s">
        <v>34</v>
      </c>
      <c r="N626" s="1" t="s">
        <v>35</v>
      </c>
      <c r="O626" s="1" t="s">
        <v>188</v>
      </c>
      <c r="P626" s="1" t="s">
        <v>189</v>
      </c>
      <c r="Q626" s="1" t="s">
        <v>38</v>
      </c>
      <c r="R626" s="1" t="s">
        <v>2555</v>
      </c>
      <c r="S626" s="3">
        <v>918844000000</v>
      </c>
      <c r="T626" s="1" t="s">
        <v>40</v>
      </c>
      <c r="U626" s="1">
        <v>77</v>
      </c>
      <c r="V626" s="1">
        <v>72</v>
      </c>
      <c r="W626" s="1" t="s">
        <v>41</v>
      </c>
      <c r="X626" s="1">
        <v>628938</v>
      </c>
      <c r="Y626" s="2">
        <v>36228</v>
      </c>
      <c r="Z626" s="1">
        <v>2.1789737171464298</v>
      </c>
      <c r="AA626" s="1">
        <v>25</v>
      </c>
      <c r="AB626" s="1">
        <v>184000</v>
      </c>
      <c r="AC626" s="1">
        <f t="shared" si="9"/>
        <v>214000</v>
      </c>
    </row>
    <row r="627" spans="1:29" x14ac:dyDescent="0.25">
      <c r="A627" s="1" t="s">
        <v>2570</v>
      </c>
      <c r="B627" s="1" t="s">
        <v>309</v>
      </c>
      <c r="C627" s="1" t="s">
        <v>310</v>
      </c>
      <c r="D627" s="1">
        <v>2020</v>
      </c>
      <c r="E627" s="1" t="s">
        <v>31</v>
      </c>
      <c r="F627" s="1">
        <v>4</v>
      </c>
      <c r="G627" s="1" t="s">
        <v>32</v>
      </c>
      <c r="H627" s="1" t="s">
        <v>210</v>
      </c>
      <c r="I627" s="1">
        <v>169000</v>
      </c>
      <c r="J627" s="1">
        <v>154000</v>
      </c>
      <c r="K627" s="1">
        <v>15000</v>
      </c>
      <c r="L627" s="1">
        <v>0</v>
      </c>
      <c r="M627" s="1" t="s">
        <v>34</v>
      </c>
      <c r="N627" s="1" t="s">
        <v>63</v>
      </c>
      <c r="O627" s="1" t="s">
        <v>188</v>
      </c>
      <c r="P627" s="1" t="s">
        <v>189</v>
      </c>
      <c r="Q627" s="1" t="s">
        <v>38</v>
      </c>
      <c r="R627" s="1" t="s">
        <v>2571</v>
      </c>
      <c r="S627" s="3">
        <v>919679000000</v>
      </c>
      <c r="T627" s="1" t="s">
        <v>86</v>
      </c>
      <c r="U627" s="1">
        <v>77</v>
      </c>
      <c r="V627" s="1">
        <v>75</v>
      </c>
      <c r="W627" s="1" t="s">
        <v>41</v>
      </c>
      <c r="X627" s="1">
        <v>667375</v>
      </c>
      <c r="Y627" s="2">
        <v>37080</v>
      </c>
      <c r="Z627" s="1">
        <v>2.1789737171464298</v>
      </c>
      <c r="AA627" s="1">
        <v>23</v>
      </c>
      <c r="AB627" s="1">
        <v>676000</v>
      </c>
      <c r="AC627" s="1">
        <f t="shared" si="9"/>
        <v>736000</v>
      </c>
    </row>
    <row r="628" spans="1:29" x14ac:dyDescent="0.25">
      <c r="A628" s="1" t="s">
        <v>2588</v>
      </c>
      <c r="B628" s="1" t="s">
        <v>2589</v>
      </c>
      <c r="C628" s="1" t="s">
        <v>2590</v>
      </c>
      <c r="D628" s="1">
        <v>2020</v>
      </c>
      <c r="E628" s="1" t="s">
        <v>31</v>
      </c>
      <c r="F628" s="1">
        <v>4</v>
      </c>
      <c r="G628" s="1" t="s">
        <v>32</v>
      </c>
      <c r="H628" s="1" t="s">
        <v>90</v>
      </c>
      <c r="I628" s="1">
        <v>169000</v>
      </c>
      <c r="J628" s="1">
        <v>154000</v>
      </c>
      <c r="K628" s="1">
        <v>15000</v>
      </c>
      <c r="L628" s="1">
        <v>0</v>
      </c>
      <c r="M628" s="1" t="s">
        <v>34</v>
      </c>
      <c r="N628" s="1" t="s">
        <v>70</v>
      </c>
      <c r="O628" s="1" t="s">
        <v>57</v>
      </c>
      <c r="P628" s="1" t="s">
        <v>57</v>
      </c>
      <c r="Q628" s="1" t="s">
        <v>38</v>
      </c>
      <c r="R628" s="1" t="s">
        <v>2591</v>
      </c>
      <c r="S628" s="3">
        <v>917086000000</v>
      </c>
      <c r="T628" s="1" t="s">
        <v>98</v>
      </c>
      <c r="U628" s="1">
        <v>77</v>
      </c>
      <c r="V628" s="1">
        <v>68</v>
      </c>
      <c r="W628" s="1" t="s">
        <v>41</v>
      </c>
      <c r="X628" s="1">
        <v>219761</v>
      </c>
      <c r="Y628" s="2">
        <v>38614</v>
      </c>
      <c r="Z628" s="1">
        <v>2.1789737171464298</v>
      </c>
      <c r="AA628" s="1">
        <v>18</v>
      </c>
      <c r="AB628" s="1">
        <v>676000</v>
      </c>
      <c r="AC628" s="1">
        <f t="shared" si="9"/>
        <v>736000</v>
      </c>
    </row>
    <row r="629" spans="1:29" x14ac:dyDescent="0.25">
      <c r="A629" s="1" t="s">
        <v>2630</v>
      </c>
      <c r="B629" s="1" t="s">
        <v>2631</v>
      </c>
      <c r="C629" s="1" t="s">
        <v>2632</v>
      </c>
      <c r="D629" s="1">
        <v>2020</v>
      </c>
      <c r="E629" s="1" t="s">
        <v>31</v>
      </c>
      <c r="F629" s="1">
        <v>4</v>
      </c>
      <c r="G629" s="1" t="s">
        <v>32</v>
      </c>
      <c r="H629" s="1" t="s">
        <v>210</v>
      </c>
      <c r="I629" s="1">
        <v>169000</v>
      </c>
      <c r="J629" s="1">
        <v>154000</v>
      </c>
      <c r="K629" s="1">
        <v>15000</v>
      </c>
      <c r="L629" s="1">
        <v>0</v>
      </c>
      <c r="M629" s="1" t="s">
        <v>34</v>
      </c>
      <c r="N629" s="1" t="s">
        <v>70</v>
      </c>
      <c r="O629" s="1" t="s">
        <v>78</v>
      </c>
      <c r="P629" s="1" t="s">
        <v>79</v>
      </c>
      <c r="Q629" s="1" t="s">
        <v>38</v>
      </c>
      <c r="R629" s="1" t="s">
        <v>2633</v>
      </c>
      <c r="S629" s="3">
        <v>919410000000</v>
      </c>
      <c r="T629" s="1" t="s">
        <v>40</v>
      </c>
      <c r="U629" s="1">
        <v>77</v>
      </c>
      <c r="V629" s="1">
        <v>74</v>
      </c>
      <c r="W629" s="1" t="s">
        <v>41</v>
      </c>
      <c r="X629" s="1">
        <v>161289</v>
      </c>
      <c r="Y629" s="2">
        <v>37233</v>
      </c>
      <c r="Z629" s="1">
        <v>2.1789737171464298</v>
      </c>
      <c r="AA629" s="1">
        <v>22</v>
      </c>
      <c r="AB629" s="1">
        <v>676000</v>
      </c>
      <c r="AC629" s="1">
        <f t="shared" si="9"/>
        <v>736000</v>
      </c>
    </row>
    <row r="630" spans="1:29" x14ac:dyDescent="0.25">
      <c r="A630" s="1" t="s">
        <v>2669</v>
      </c>
      <c r="B630" s="1" t="s">
        <v>2670</v>
      </c>
      <c r="C630" s="1" t="s">
        <v>2671</v>
      </c>
      <c r="D630" s="1">
        <v>2020</v>
      </c>
      <c r="E630" s="1" t="s">
        <v>31</v>
      </c>
      <c r="F630" s="1">
        <v>4</v>
      </c>
      <c r="G630" s="1" t="s">
        <v>32</v>
      </c>
      <c r="H630" s="1" t="s">
        <v>102</v>
      </c>
      <c r="I630" s="1">
        <v>169000</v>
      </c>
      <c r="J630" s="1">
        <v>154000</v>
      </c>
      <c r="K630" s="1">
        <v>15000</v>
      </c>
      <c r="L630" s="1">
        <v>0</v>
      </c>
      <c r="M630" s="1" t="s">
        <v>34</v>
      </c>
      <c r="N630" s="1" t="s">
        <v>63</v>
      </c>
      <c r="O630" s="1" t="s">
        <v>64</v>
      </c>
      <c r="P630" s="1" t="s">
        <v>65</v>
      </c>
      <c r="Q630" s="1" t="s">
        <v>38</v>
      </c>
      <c r="R630" s="1" t="s">
        <v>2672</v>
      </c>
      <c r="S630" s="3">
        <v>917090000000</v>
      </c>
      <c r="T630" s="1" t="s">
        <v>98</v>
      </c>
      <c r="U630" s="1">
        <v>77</v>
      </c>
      <c r="V630" s="1">
        <v>60</v>
      </c>
      <c r="W630" s="1" t="s">
        <v>52</v>
      </c>
      <c r="X630" s="1">
        <v>404773</v>
      </c>
      <c r="Y630" s="2">
        <v>37298</v>
      </c>
      <c r="Z630" s="1">
        <v>2.1789737171464298</v>
      </c>
      <c r="AA630" s="1">
        <v>22</v>
      </c>
      <c r="AB630" s="1">
        <v>676000</v>
      </c>
      <c r="AC630" s="1">
        <f t="shared" si="9"/>
        <v>736000</v>
      </c>
    </row>
    <row r="631" spans="1:29" x14ac:dyDescent="0.25">
      <c r="A631" s="1" t="s">
        <v>2677</v>
      </c>
      <c r="B631" s="1" t="s">
        <v>2678</v>
      </c>
      <c r="C631" s="1" t="s">
        <v>2679</v>
      </c>
      <c r="D631" s="1">
        <v>2020</v>
      </c>
      <c r="E631" s="1" t="s">
        <v>45</v>
      </c>
      <c r="F631" s="1">
        <v>2</v>
      </c>
      <c r="G631" s="1" t="s">
        <v>46</v>
      </c>
      <c r="H631" s="1" t="s">
        <v>62</v>
      </c>
      <c r="I631" s="1">
        <v>92000</v>
      </c>
      <c r="J631" s="1">
        <v>77000</v>
      </c>
      <c r="K631" s="1">
        <v>15000</v>
      </c>
      <c r="L631" s="1">
        <v>0</v>
      </c>
      <c r="M631" s="1" t="s">
        <v>34</v>
      </c>
      <c r="N631" s="1" t="s">
        <v>63</v>
      </c>
      <c r="O631" s="1" t="s">
        <v>188</v>
      </c>
      <c r="P631" s="1" t="s">
        <v>189</v>
      </c>
      <c r="Q631" s="1" t="s">
        <v>38</v>
      </c>
      <c r="R631" s="1" t="s">
        <v>2680</v>
      </c>
      <c r="S631" s="3">
        <v>918405000000</v>
      </c>
      <c r="T631" s="1" t="s">
        <v>51</v>
      </c>
      <c r="U631" s="1">
        <v>77</v>
      </c>
      <c r="V631" s="1">
        <v>73</v>
      </c>
      <c r="W631" s="1" t="s">
        <v>52</v>
      </c>
      <c r="X631" s="1">
        <v>556650</v>
      </c>
      <c r="Y631" s="2">
        <v>37126</v>
      </c>
      <c r="Z631" s="1">
        <v>2.1789737171464298</v>
      </c>
      <c r="AA631" s="1">
        <v>22</v>
      </c>
      <c r="AB631" s="1">
        <v>184000</v>
      </c>
      <c r="AC631" s="1">
        <f t="shared" si="9"/>
        <v>214000</v>
      </c>
    </row>
    <row r="632" spans="1:29" x14ac:dyDescent="0.25">
      <c r="A632" s="1" t="s">
        <v>2757</v>
      </c>
      <c r="B632" s="1" t="s">
        <v>2758</v>
      </c>
      <c r="C632" s="1" t="s">
        <v>2759</v>
      </c>
      <c r="D632" s="1">
        <v>2020</v>
      </c>
      <c r="E632" s="1" t="s">
        <v>45</v>
      </c>
      <c r="F632" s="1">
        <v>2</v>
      </c>
      <c r="G632" s="1" t="s">
        <v>46</v>
      </c>
      <c r="H632" s="1" t="s">
        <v>33</v>
      </c>
      <c r="I632" s="1">
        <v>92000</v>
      </c>
      <c r="J632" s="1">
        <v>77000</v>
      </c>
      <c r="K632" s="1">
        <v>15000</v>
      </c>
      <c r="L632" s="1">
        <v>0</v>
      </c>
      <c r="M632" s="1" t="s">
        <v>34</v>
      </c>
      <c r="N632" s="1" t="s">
        <v>70</v>
      </c>
      <c r="O632" s="1" t="s">
        <v>48</v>
      </c>
      <c r="P632" s="1" t="s">
        <v>49</v>
      </c>
      <c r="Q632" s="1" t="s">
        <v>38</v>
      </c>
      <c r="R632" s="1" t="s">
        <v>629</v>
      </c>
      <c r="S632" s="3">
        <v>918366000000</v>
      </c>
      <c r="T632" s="1" t="s">
        <v>86</v>
      </c>
      <c r="U632" s="1">
        <v>76</v>
      </c>
      <c r="V632" s="1">
        <v>81</v>
      </c>
      <c r="W632" s="1" t="s">
        <v>41</v>
      </c>
      <c r="X632" s="1">
        <v>392481</v>
      </c>
      <c r="Y632" s="2">
        <v>35249</v>
      </c>
      <c r="Z632" s="1">
        <v>1.1789737171464301</v>
      </c>
      <c r="AA632" s="1">
        <v>28</v>
      </c>
      <c r="AB632" s="1">
        <v>184000</v>
      </c>
      <c r="AC632" s="1">
        <f t="shared" si="9"/>
        <v>214000</v>
      </c>
    </row>
    <row r="633" spans="1:29" x14ac:dyDescent="0.25">
      <c r="A633" s="1" t="s">
        <v>2770</v>
      </c>
      <c r="B633" s="1" t="s">
        <v>807</v>
      </c>
      <c r="C633" s="1" t="s">
        <v>808</v>
      </c>
      <c r="D633" s="1">
        <v>2020</v>
      </c>
      <c r="E633" s="1" t="s">
        <v>31</v>
      </c>
      <c r="F633" s="1">
        <v>4</v>
      </c>
      <c r="G633" s="1" t="s">
        <v>32</v>
      </c>
      <c r="H633" s="1" t="s">
        <v>122</v>
      </c>
      <c r="I633" s="1">
        <v>169000</v>
      </c>
      <c r="J633" s="1">
        <v>154000</v>
      </c>
      <c r="K633" s="1">
        <v>15000</v>
      </c>
      <c r="L633" s="1">
        <v>0</v>
      </c>
      <c r="M633" s="1" t="s">
        <v>34</v>
      </c>
      <c r="N633" s="1" t="s">
        <v>35</v>
      </c>
      <c r="O633" s="1" t="s">
        <v>57</v>
      </c>
      <c r="P633" s="1" t="s">
        <v>57</v>
      </c>
      <c r="Q633" s="1" t="s">
        <v>38</v>
      </c>
      <c r="R633" s="1" t="s">
        <v>2771</v>
      </c>
      <c r="S633" s="3">
        <v>919464000000</v>
      </c>
      <c r="T633" s="1" t="s">
        <v>86</v>
      </c>
      <c r="U633" s="1">
        <v>76</v>
      </c>
      <c r="V633" s="1">
        <v>64</v>
      </c>
      <c r="W633" s="1" t="s">
        <v>52</v>
      </c>
      <c r="X633" s="1">
        <v>690797</v>
      </c>
      <c r="Y633" s="2">
        <v>38723</v>
      </c>
      <c r="Z633" s="1">
        <v>1.1789737171464301</v>
      </c>
      <c r="AA633" s="1">
        <v>18</v>
      </c>
      <c r="AB633" s="1">
        <v>676000</v>
      </c>
      <c r="AC633" s="1">
        <f t="shared" si="9"/>
        <v>736000</v>
      </c>
    </row>
    <row r="634" spans="1:29" x14ac:dyDescent="0.25">
      <c r="A634" s="1" t="s">
        <v>2778</v>
      </c>
      <c r="B634" s="1" t="s">
        <v>2779</v>
      </c>
      <c r="C634" s="1" t="s">
        <v>2780</v>
      </c>
      <c r="D634" s="1">
        <v>2020</v>
      </c>
      <c r="E634" s="1" t="s">
        <v>31</v>
      </c>
      <c r="F634" s="1">
        <v>4</v>
      </c>
      <c r="G634" s="1" t="s">
        <v>32</v>
      </c>
      <c r="H634" s="1" t="s">
        <v>113</v>
      </c>
      <c r="I634" s="1">
        <v>169000</v>
      </c>
      <c r="J634" s="1">
        <v>154000</v>
      </c>
      <c r="K634" s="1">
        <v>15000</v>
      </c>
      <c r="L634" s="1">
        <v>0</v>
      </c>
      <c r="M634" s="1" t="s">
        <v>34</v>
      </c>
      <c r="N634" s="1" t="s">
        <v>35</v>
      </c>
      <c r="O634" s="1" t="s">
        <v>64</v>
      </c>
      <c r="P634" s="1" t="s">
        <v>65</v>
      </c>
      <c r="Q634" s="1" t="s">
        <v>38</v>
      </c>
      <c r="R634" s="1" t="s">
        <v>2781</v>
      </c>
      <c r="S634" s="3">
        <v>919902000000</v>
      </c>
      <c r="T634" s="1" t="s">
        <v>86</v>
      </c>
      <c r="U634" s="1">
        <v>76</v>
      </c>
      <c r="V634" s="1">
        <v>80</v>
      </c>
      <c r="W634" s="1" t="s">
        <v>52</v>
      </c>
      <c r="X634" s="1">
        <v>350580</v>
      </c>
      <c r="Y634" s="2">
        <v>38709</v>
      </c>
      <c r="Z634" s="1">
        <v>1.1789737171464301</v>
      </c>
      <c r="AA634" s="1">
        <v>18</v>
      </c>
      <c r="AB634" s="1">
        <v>676000</v>
      </c>
      <c r="AC634" s="1">
        <f t="shared" si="9"/>
        <v>736000</v>
      </c>
    </row>
    <row r="635" spans="1:29" x14ac:dyDescent="0.25">
      <c r="A635" s="1" t="s">
        <v>2782</v>
      </c>
      <c r="B635" s="1" t="s">
        <v>2783</v>
      </c>
      <c r="C635" s="1" t="s">
        <v>2784</v>
      </c>
      <c r="D635" s="1">
        <v>2020</v>
      </c>
      <c r="E635" s="1" t="s">
        <v>31</v>
      </c>
      <c r="F635" s="1">
        <v>4</v>
      </c>
      <c r="G635" s="1" t="s">
        <v>32</v>
      </c>
      <c r="H635" s="1" t="s">
        <v>90</v>
      </c>
      <c r="I635" s="1">
        <v>169000</v>
      </c>
      <c r="J635" s="1">
        <v>154000</v>
      </c>
      <c r="K635" s="1">
        <v>15000</v>
      </c>
      <c r="L635" s="1">
        <v>0</v>
      </c>
      <c r="M635" s="1" t="s">
        <v>34</v>
      </c>
      <c r="N635" s="1" t="s">
        <v>70</v>
      </c>
      <c r="O635" s="1" t="s">
        <v>64</v>
      </c>
      <c r="P635" s="1" t="s">
        <v>65</v>
      </c>
      <c r="Q635" s="1" t="s">
        <v>38</v>
      </c>
      <c r="R635" s="1" t="s">
        <v>2785</v>
      </c>
      <c r="S635" s="3">
        <v>919812000000</v>
      </c>
      <c r="T635" s="1" t="s">
        <v>86</v>
      </c>
      <c r="U635" s="1">
        <v>76</v>
      </c>
      <c r="V635" s="1">
        <v>78</v>
      </c>
      <c r="W635" s="1" t="s">
        <v>41</v>
      </c>
      <c r="X635" s="1">
        <v>125004</v>
      </c>
      <c r="Y635" s="2">
        <v>38225</v>
      </c>
      <c r="Z635" s="1">
        <v>1.1789737171464301</v>
      </c>
      <c r="AA635" s="1">
        <v>19</v>
      </c>
      <c r="AB635" s="1">
        <v>676000</v>
      </c>
      <c r="AC635" s="1">
        <f t="shared" si="9"/>
        <v>736000</v>
      </c>
    </row>
    <row r="636" spans="1:29" x14ac:dyDescent="0.25">
      <c r="A636" s="1" t="s">
        <v>2808</v>
      </c>
      <c r="B636" s="1" t="s">
        <v>425</v>
      </c>
      <c r="C636" s="1" t="s">
        <v>426</v>
      </c>
      <c r="D636" s="1">
        <v>2020</v>
      </c>
      <c r="E636" s="1" t="s">
        <v>45</v>
      </c>
      <c r="F636" s="1">
        <v>2</v>
      </c>
      <c r="G636" s="1" t="s">
        <v>46</v>
      </c>
      <c r="H636" s="1" t="s">
        <v>33</v>
      </c>
      <c r="I636" s="1">
        <v>92000</v>
      </c>
      <c r="J636" s="1">
        <v>77000</v>
      </c>
      <c r="K636" s="1">
        <v>15000</v>
      </c>
      <c r="L636" s="1">
        <v>0</v>
      </c>
      <c r="M636" s="1" t="s">
        <v>34</v>
      </c>
      <c r="N636" s="1" t="s">
        <v>63</v>
      </c>
      <c r="O636" s="1" t="s">
        <v>188</v>
      </c>
      <c r="P636" s="1" t="s">
        <v>189</v>
      </c>
      <c r="Q636" s="1" t="s">
        <v>38</v>
      </c>
      <c r="R636" s="1" t="s">
        <v>2809</v>
      </c>
      <c r="S636" s="3">
        <v>918169000000</v>
      </c>
      <c r="T636" s="1" t="s">
        <v>74</v>
      </c>
      <c r="U636" s="1">
        <v>76</v>
      </c>
      <c r="V636" s="1">
        <v>77</v>
      </c>
      <c r="W636" s="1" t="s">
        <v>41</v>
      </c>
      <c r="X636" s="1">
        <v>672938</v>
      </c>
      <c r="Y636" s="2">
        <v>36496</v>
      </c>
      <c r="Z636" s="1">
        <v>1.1789737171464301</v>
      </c>
      <c r="AA636" s="1">
        <v>24</v>
      </c>
      <c r="AB636" s="1">
        <v>184000</v>
      </c>
      <c r="AC636" s="1">
        <f t="shared" si="9"/>
        <v>214000</v>
      </c>
    </row>
    <row r="637" spans="1:29" x14ac:dyDescent="0.25">
      <c r="A637" s="1" t="s">
        <v>2816</v>
      </c>
      <c r="B637" s="1" t="s">
        <v>2817</v>
      </c>
      <c r="C637" s="1" t="s">
        <v>2818</v>
      </c>
      <c r="D637" s="1">
        <v>2020</v>
      </c>
      <c r="E637" s="1" t="s">
        <v>31</v>
      </c>
      <c r="F637" s="1">
        <v>4</v>
      </c>
      <c r="G637" s="1" t="s">
        <v>32</v>
      </c>
      <c r="H637" s="1" t="s">
        <v>47</v>
      </c>
      <c r="I637" s="1">
        <v>169000</v>
      </c>
      <c r="J637" s="1">
        <v>154000</v>
      </c>
      <c r="K637" s="1">
        <v>15000</v>
      </c>
      <c r="L637" s="1">
        <v>0</v>
      </c>
      <c r="M637" s="1" t="s">
        <v>34</v>
      </c>
      <c r="N637" s="1" t="s">
        <v>35</v>
      </c>
      <c r="O637" s="1" t="s">
        <v>188</v>
      </c>
      <c r="P637" s="1" t="s">
        <v>189</v>
      </c>
      <c r="Q637" s="1" t="s">
        <v>38</v>
      </c>
      <c r="R637" s="1" t="s">
        <v>2819</v>
      </c>
      <c r="S637" s="3">
        <v>919486000000</v>
      </c>
      <c r="T637" s="1" t="s">
        <v>74</v>
      </c>
      <c r="U637" s="1">
        <v>76</v>
      </c>
      <c r="V637" s="1">
        <v>67</v>
      </c>
      <c r="W637" s="1" t="s">
        <v>41</v>
      </c>
      <c r="X637" s="1">
        <v>416593</v>
      </c>
      <c r="Y637" s="2">
        <v>37703</v>
      </c>
      <c r="Z637" s="1">
        <v>1.1789737171464301</v>
      </c>
      <c r="AA637" s="1">
        <v>21</v>
      </c>
      <c r="AB637" s="1">
        <v>676000</v>
      </c>
      <c r="AC637" s="1">
        <f t="shared" si="9"/>
        <v>736000</v>
      </c>
    </row>
    <row r="638" spans="1:29" x14ac:dyDescent="0.25">
      <c r="A638" s="1" t="s">
        <v>2882</v>
      </c>
      <c r="B638" s="1" t="s">
        <v>1419</v>
      </c>
      <c r="C638" s="1" t="s">
        <v>1420</v>
      </c>
      <c r="D638" s="1">
        <v>2020</v>
      </c>
      <c r="E638" s="1" t="s">
        <v>45</v>
      </c>
      <c r="F638" s="1">
        <v>2</v>
      </c>
      <c r="G638" s="1" t="s">
        <v>46</v>
      </c>
      <c r="H638" s="1" t="s">
        <v>47</v>
      </c>
      <c r="I638" s="1">
        <v>92000</v>
      </c>
      <c r="J638" s="1">
        <v>77000</v>
      </c>
      <c r="K638" s="1">
        <v>15000</v>
      </c>
      <c r="L638" s="1">
        <v>0</v>
      </c>
      <c r="M638" s="1" t="s">
        <v>34</v>
      </c>
      <c r="N638" s="1" t="s">
        <v>63</v>
      </c>
      <c r="O638" s="1" t="s">
        <v>188</v>
      </c>
      <c r="P638" s="1" t="s">
        <v>189</v>
      </c>
      <c r="Q638" s="1" t="s">
        <v>38</v>
      </c>
      <c r="R638" s="1" t="s">
        <v>2883</v>
      </c>
      <c r="S638" s="3">
        <v>917650000000</v>
      </c>
      <c r="T638" s="1" t="s">
        <v>74</v>
      </c>
      <c r="U638" s="1">
        <v>76</v>
      </c>
      <c r="V638" s="1">
        <v>80</v>
      </c>
      <c r="W638" s="1" t="s">
        <v>52</v>
      </c>
      <c r="X638" s="1">
        <v>148027</v>
      </c>
      <c r="Y638" s="2">
        <v>35528</v>
      </c>
      <c r="Z638" s="1">
        <v>1.1789737171464301</v>
      </c>
      <c r="AA638" s="1">
        <v>27</v>
      </c>
      <c r="AB638" s="1">
        <v>184000</v>
      </c>
      <c r="AC638" s="1">
        <f t="shared" si="9"/>
        <v>214000</v>
      </c>
    </row>
    <row r="639" spans="1:29" x14ac:dyDescent="0.25">
      <c r="A639" s="1" t="s">
        <v>2884</v>
      </c>
      <c r="B639" s="1" t="s">
        <v>2885</v>
      </c>
      <c r="C639" s="1" t="s">
        <v>2886</v>
      </c>
      <c r="D639" s="1">
        <v>2020</v>
      </c>
      <c r="E639" s="1" t="s">
        <v>31</v>
      </c>
      <c r="F639" s="1">
        <v>4</v>
      </c>
      <c r="G639" s="1" t="s">
        <v>32</v>
      </c>
      <c r="H639" s="1" t="s">
        <v>102</v>
      </c>
      <c r="I639" s="1">
        <v>169000</v>
      </c>
      <c r="J639" s="1">
        <v>154000</v>
      </c>
      <c r="K639" s="1">
        <v>15000</v>
      </c>
      <c r="L639" s="1">
        <v>0</v>
      </c>
      <c r="M639" s="1" t="s">
        <v>34</v>
      </c>
      <c r="N639" s="1" t="s">
        <v>63</v>
      </c>
      <c r="O639" s="1" t="s">
        <v>71</v>
      </c>
      <c r="P639" s="1" t="s">
        <v>72</v>
      </c>
      <c r="Q639" s="1" t="s">
        <v>38</v>
      </c>
      <c r="R639" s="1" t="s">
        <v>2887</v>
      </c>
      <c r="S639" s="3">
        <v>917776000000</v>
      </c>
      <c r="T639" s="1" t="s">
        <v>51</v>
      </c>
      <c r="U639" s="1">
        <v>76</v>
      </c>
      <c r="V639" s="1">
        <v>82</v>
      </c>
      <c r="W639" s="1" t="s">
        <v>52</v>
      </c>
      <c r="X639" s="1">
        <v>594130</v>
      </c>
      <c r="Y639" s="2">
        <v>37984</v>
      </c>
      <c r="Z639" s="1">
        <v>1.1789737171464301</v>
      </c>
      <c r="AA639" s="1">
        <v>20</v>
      </c>
      <c r="AB639" s="1">
        <v>676000</v>
      </c>
      <c r="AC639" s="1">
        <f t="shared" si="9"/>
        <v>736000</v>
      </c>
    </row>
    <row r="640" spans="1:29" x14ac:dyDescent="0.25">
      <c r="A640" s="1" t="s">
        <v>2896</v>
      </c>
      <c r="B640" s="1" t="s">
        <v>2897</v>
      </c>
      <c r="C640" s="1" t="s">
        <v>2898</v>
      </c>
      <c r="D640" s="1">
        <v>2020</v>
      </c>
      <c r="E640" s="1" t="s">
        <v>31</v>
      </c>
      <c r="F640" s="1">
        <v>4</v>
      </c>
      <c r="G640" s="1" t="s">
        <v>32</v>
      </c>
      <c r="H640" s="1" t="s">
        <v>33</v>
      </c>
      <c r="I640" s="1">
        <v>169000</v>
      </c>
      <c r="J640" s="1">
        <v>154000</v>
      </c>
      <c r="K640" s="1">
        <v>15000</v>
      </c>
      <c r="L640" s="1">
        <v>0</v>
      </c>
      <c r="M640" s="1" t="s">
        <v>34</v>
      </c>
      <c r="N640" s="1" t="s">
        <v>63</v>
      </c>
      <c r="O640" s="1" t="s">
        <v>91</v>
      </c>
      <c r="P640" s="1" t="s">
        <v>92</v>
      </c>
      <c r="Q640" s="1" t="s">
        <v>38</v>
      </c>
      <c r="R640" s="1" t="s">
        <v>2899</v>
      </c>
      <c r="S640" s="3">
        <v>918940000000</v>
      </c>
      <c r="T640" s="1" t="s">
        <v>74</v>
      </c>
      <c r="U640" s="1">
        <v>76</v>
      </c>
      <c r="V640" s="1">
        <v>73</v>
      </c>
      <c r="W640" s="1" t="s">
        <v>52</v>
      </c>
      <c r="X640" s="1">
        <v>258414</v>
      </c>
      <c r="Y640" s="2">
        <v>38118</v>
      </c>
      <c r="Z640" s="1">
        <v>1.1789737171464301</v>
      </c>
      <c r="AA640" s="1">
        <v>20</v>
      </c>
      <c r="AB640" s="1">
        <v>676000</v>
      </c>
      <c r="AC640" s="1">
        <f t="shared" si="9"/>
        <v>736000</v>
      </c>
    </row>
    <row r="641" spans="1:29" x14ac:dyDescent="0.25">
      <c r="A641" s="1" t="s">
        <v>2950</v>
      </c>
      <c r="B641" s="1" t="s">
        <v>2492</v>
      </c>
      <c r="C641" s="1" t="s">
        <v>2493</v>
      </c>
      <c r="D641" s="1">
        <v>2020</v>
      </c>
      <c r="E641" s="1" t="s">
        <v>31</v>
      </c>
      <c r="F641" s="1">
        <v>4</v>
      </c>
      <c r="G641" s="1" t="s">
        <v>32</v>
      </c>
      <c r="H641" s="1" t="s">
        <v>210</v>
      </c>
      <c r="I641" s="1">
        <v>169000</v>
      </c>
      <c r="J641" s="1">
        <v>154000</v>
      </c>
      <c r="K641" s="1">
        <v>15000</v>
      </c>
      <c r="L641" s="1">
        <v>0</v>
      </c>
      <c r="M641" s="1" t="s">
        <v>34</v>
      </c>
      <c r="N641" s="1" t="s">
        <v>70</v>
      </c>
      <c r="O641" s="1" t="s">
        <v>36</v>
      </c>
      <c r="P641" s="1" t="s">
        <v>37</v>
      </c>
      <c r="Q641" s="1" t="s">
        <v>38</v>
      </c>
      <c r="R641" s="1" t="s">
        <v>2951</v>
      </c>
      <c r="S641" s="3">
        <v>919380000000</v>
      </c>
      <c r="T641" s="1" t="s">
        <v>86</v>
      </c>
      <c r="U641" s="1">
        <v>75</v>
      </c>
      <c r="V641" s="1">
        <v>66</v>
      </c>
      <c r="W641" s="1" t="s">
        <v>52</v>
      </c>
      <c r="X641" s="1">
        <v>633855</v>
      </c>
      <c r="Y641" s="2">
        <v>37702</v>
      </c>
      <c r="Z641" s="1">
        <v>0.17897371714643301</v>
      </c>
      <c r="AA641" s="1">
        <v>21</v>
      </c>
      <c r="AB641" s="1">
        <v>676000</v>
      </c>
      <c r="AC641" s="1">
        <f t="shared" si="9"/>
        <v>736000</v>
      </c>
    </row>
    <row r="642" spans="1:29" x14ac:dyDescent="0.25">
      <c r="A642" s="1" t="s">
        <v>2968</v>
      </c>
      <c r="B642" s="1" t="s">
        <v>2969</v>
      </c>
      <c r="C642" s="1" t="s">
        <v>2970</v>
      </c>
      <c r="D642" s="1">
        <v>2020</v>
      </c>
      <c r="E642" s="1" t="s">
        <v>31</v>
      </c>
      <c r="F642" s="1">
        <v>4</v>
      </c>
      <c r="G642" s="1" t="s">
        <v>32</v>
      </c>
      <c r="H642" s="1" t="s">
        <v>47</v>
      </c>
      <c r="I642" s="1">
        <v>169000</v>
      </c>
      <c r="J642" s="1">
        <v>154000</v>
      </c>
      <c r="K642" s="1">
        <v>15000</v>
      </c>
      <c r="L642" s="1">
        <v>0</v>
      </c>
      <c r="M642" s="1" t="s">
        <v>34</v>
      </c>
      <c r="N642" s="1" t="s">
        <v>63</v>
      </c>
      <c r="O642" s="1" t="s">
        <v>36</v>
      </c>
      <c r="P642" s="1" t="s">
        <v>37</v>
      </c>
      <c r="Q642" s="1" t="s">
        <v>38</v>
      </c>
      <c r="R642" s="1" t="s">
        <v>2971</v>
      </c>
      <c r="S642" s="3">
        <v>919513000000</v>
      </c>
      <c r="T642" s="1" t="s">
        <v>51</v>
      </c>
      <c r="U642" s="1">
        <v>75</v>
      </c>
      <c r="V642" s="1">
        <v>67</v>
      </c>
      <c r="W642" s="1" t="s">
        <v>52</v>
      </c>
      <c r="X642" s="1">
        <v>136941</v>
      </c>
      <c r="Y642" s="2">
        <v>37465</v>
      </c>
      <c r="Z642" s="1">
        <v>0.17897371714643301</v>
      </c>
      <c r="AA642" s="1">
        <v>21</v>
      </c>
      <c r="AB642" s="1">
        <v>676000</v>
      </c>
      <c r="AC642" s="1">
        <f t="shared" si="9"/>
        <v>736000</v>
      </c>
    </row>
    <row r="643" spans="1:29" x14ac:dyDescent="0.25">
      <c r="A643" s="1" t="s">
        <v>2972</v>
      </c>
      <c r="B643" s="1" t="s">
        <v>2973</v>
      </c>
      <c r="C643" s="1" t="s">
        <v>2974</v>
      </c>
      <c r="D643" s="1">
        <v>2020</v>
      </c>
      <c r="E643" s="1" t="s">
        <v>31</v>
      </c>
      <c r="F643" s="1">
        <v>4</v>
      </c>
      <c r="G643" s="1" t="s">
        <v>32</v>
      </c>
      <c r="H643" s="1" t="s">
        <v>33</v>
      </c>
      <c r="I643" s="1">
        <v>169000</v>
      </c>
      <c r="J643" s="1">
        <v>154000</v>
      </c>
      <c r="K643" s="1">
        <v>15000</v>
      </c>
      <c r="L643" s="1">
        <v>0</v>
      </c>
      <c r="M643" s="1" t="s">
        <v>34</v>
      </c>
      <c r="N643" s="1" t="s">
        <v>70</v>
      </c>
      <c r="O643" s="1" t="s">
        <v>64</v>
      </c>
      <c r="P643" s="1" t="s">
        <v>65</v>
      </c>
      <c r="Q643" s="1" t="s">
        <v>38</v>
      </c>
      <c r="R643" s="1" t="s">
        <v>2975</v>
      </c>
      <c r="S643" s="3">
        <v>919696000000</v>
      </c>
      <c r="T643" s="1" t="s">
        <v>86</v>
      </c>
      <c r="U643" s="1">
        <v>75</v>
      </c>
      <c r="V643" s="1">
        <v>67</v>
      </c>
      <c r="W643" s="1" t="s">
        <v>52</v>
      </c>
      <c r="X643" s="1">
        <v>230610</v>
      </c>
      <c r="Y643" s="2">
        <v>38772</v>
      </c>
      <c r="Z643" s="1">
        <v>0.17897371714643301</v>
      </c>
      <c r="AA643" s="1">
        <v>18</v>
      </c>
      <c r="AB643" s="1">
        <v>676000</v>
      </c>
      <c r="AC643" s="1">
        <f t="shared" si="9"/>
        <v>736000</v>
      </c>
    </row>
    <row r="644" spans="1:29" x14ac:dyDescent="0.25">
      <c r="A644" s="1" t="s">
        <v>2990</v>
      </c>
      <c r="B644" s="1" t="s">
        <v>2991</v>
      </c>
      <c r="C644" s="1" t="s">
        <v>2992</v>
      </c>
      <c r="D644" s="1">
        <v>2020</v>
      </c>
      <c r="E644" s="1" t="s">
        <v>31</v>
      </c>
      <c r="F644" s="1">
        <v>4</v>
      </c>
      <c r="G644" s="1" t="s">
        <v>32</v>
      </c>
      <c r="H644" s="1" t="s">
        <v>210</v>
      </c>
      <c r="I644" s="1">
        <v>169000</v>
      </c>
      <c r="J644" s="1">
        <v>154000</v>
      </c>
      <c r="K644" s="1">
        <v>15000</v>
      </c>
      <c r="L644" s="1">
        <v>0</v>
      </c>
      <c r="M644" s="1" t="s">
        <v>34</v>
      </c>
      <c r="N644" s="1" t="s">
        <v>35</v>
      </c>
      <c r="O644" s="1" t="s">
        <v>71</v>
      </c>
      <c r="P644" s="1" t="s">
        <v>72</v>
      </c>
      <c r="Q644" s="1" t="s">
        <v>38</v>
      </c>
      <c r="R644" s="1" t="s">
        <v>2993</v>
      </c>
      <c r="S644" s="3">
        <v>918351000000</v>
      </c>
      <c r="T644" s="1" t="s">
        <v>74</v>
      </c>
      <c r="U644" s="1">
        <v>75</v>
      </c>
      <c r="V644" s="1">
        <v>88</v>
      </c>
      <c r="W644" s="1" t="s">
        <v>52</v>
      </c>
      <c r="X644" s="1">
        <v>789154</v>
      </c>
      <c r="Y644" s="2">
        <v>37882</v>
      </c>
      <c r="Z644" s="1">
        <v>0.17897371714643301</v>
      </c>
      <c r="AA644" s="1">
        <v>20</v>
      </c>
      <c r="AB644" s="1">
        <v>676000</v>
      </c>
      <c r="AC644" s="1">
        <f t="shared" si="9"/>
        <v>736000</v>
      </c>
    </row>
    <row r="645" spans="1:29" x14ac:dyDescent="0.25">
      <c r="A645" s="1" t="s">
        <v>2998</v>
      </c>
      <c r="B645" s="1" t="s">
        <v>2999</v>
      </c>
      <c r="C645" s="1" t="s">
        <v>3000</v>
      </c>
      <c r="D645" s="1">
        <v>2020</v>
      </c>
      <c r="E645" s="1" t="s">
        <v>31</v>
      </c>
      <c r="F645" s="1">
        <v>4</v>
      </c>
      <c r="G645" s="1" t="s">
        <v>32</v>
      </c>
      <c r="H645" s="1" t="s">
        <v>33</v>
      </c>
      <c r="I645" s="1">
        <v>169000</v>
      </c>
      <c r="J645" s="1">
        <v>154000</v>
      </c>
      <c r="K645" s="1">
        <v>15000</v>
      </c>
      <c r="L645" s="1">
        <v>0</v>
      </c>
      <c r="M645" s="1" t="s">
        <v>34</v>
      </c>
      <c r="N645" s="1" t="s">
        <v>63</v>
      </c>
      <c r="O645" s="1" t="s">
        <v>78</v>
      </c>
      <c r="P645" s="1" t="s">
        <v>79</v>
      </c>
      <c r="Q645" s="1" t="s">
        <v>38</v>
      </c>
      <c r="R645" s="1" t="s">
        <v>3001</v>
      </c>
      <c r="S645" s="3">
        <v>919191000000</v>
      </c>
      <c r="T645" s="1" t="s">
        <v>86</v>
      </c>
      <c r="U645" s="1">
        <v>75</v>
      </c>
      <c r="V645" s="1">
        <v>70</v>
      </c>
      <c r="W645" s="1" t="s">
        <v>52</v>
      </c>
      <c r="X645" s="1">
        <v>591358</v>
      </c>
      <c r="Y645" s="2">
        <v>37053</v>
      </c>
      <c r="Z645" s="1">
        <v>0.17897371714643301</v>
      </c>
      <c r="AA645" s="1">
        <v>23</v>
      </c>
      <c r="AB645" s="1">
        <v>676000</v>
      </c>
      <c r="AC645" s="1">
        <f t="shared" si="9"/>
        <v>736000</v>
      </c>
    </row>
    <row r="646" spans="1:29" x14ac:dyDescent="0.25">
      <c r="A646" s="1" t="s">
        <v>3006</v>
      </c>
      <c r="B646" s="1" t="s">
        <v>3007</v>
      </c>
      <c r="C646" s="1" t="s">
        <v>3008</v>
      </c>
      <c r="D646" s="1">
        <v>2020</v>
      </c>
      <c r="E646" s="1" t="s">
        <v>31</v>
      </c>
      <c r="F646" s="1">
        <v>4</v>
      </c>
      <c r="G646" s="1" t="s">
        <v>32</v>
      </c>
      <c r="H646" s="1" t="s">
        <v>151</v>
      </c>
      <c r="I646" s="1">
        <v>169000</v>
      </c>
      <c r="J646" s="1">
        <v>154000</v>
      </c>
      <c r="K646" s="1">
        <v>15000</v>
      </c>
      <c r="L646" s="1">
        <v>0</v>
      </c>
      <c r="M646" s="1" t="s">
        <v>34</v>
      </c>
      <c r="N646" s="1" t="s">
        <v>35</v>
      </c>
      <c r="O646" s="1" t="s">
        <v>103</v>
      </c>
      <c r="P646" s="1" t="s">
        <v>104</v>
      </c>
      <c r="Q646" s="1" t="s">
        <v>38</v>
      </c>
      <c r="R646" s="1" t="s">
        <v>3009</v>
      </c>
      <c r="S646" s="3">
        <v>917191000000</v>
      </c>
      <c r="T646" s="1" t="s">
        <v>40</v>
      </c>
      <c r="U646" s="1">
        <v>75</v>
      </c>
      <c r="V646" s="1">
        <v>68</v>
      </c>
      <c r="W646" s="1" t="s">
        <v>52</v>
      </c>
      <c r="X646" s="1">
        <v>794320</v>
      </c>
      <c r="Y646" s="2">
        <v>37025</v>
      </c>
      <c r="Z646" s="1">
        <v>0.17897371714643301</v>
      </c>
      <c r="AA646" s="1">
        <v>23</v>
      </c>
      <c r="AB646" s="1">
        <v>676000</v>
      </c>
      <c r="AC646" s="1">
        <f t="shared" ref="AC646:AC709" si="10">IF(F646 = 2, AB646+30000,AB646+60000)</f>
        <v>736000</v>
      </c>
    </row>
    <row r="647" spans="1:29" x14ac:dyDescent="0.25">
      <c r="A647" s="1" t="s">
        <v>3010</v>
      </c>
      <c r="B647" s="1" t="s">
        <v>3011</v>
      </c>
      <c r="C647" s="1" t="s">
        <v>3012</v>
      </c>
      <c r="D647" s="1">
        <v>2020</v>
      </c>
      <c r="E647" s="1" t="s">
        <v>31</v>
      </c>
      <c r="F647" s="1">
        <v>4</v>
      </c>
      <c r="G647" s="1" t="s">
        <v>32</v>
      </c>
      <c r="H647" s="1" t="s">
        <v>90</v>
      </c>
      <c r="I647" s="1">
        <v>169000</v>
      </c>
      <c r="J647" s="1">
        <v>154000</v>
      </c>
      <c r="K647" s="1">
        <v>15000</v>
      </c>
      <c r="L647" s="1">
        <v>0</v>
      </c>
      <c r="M647" s="1" t="s">
        <v>34</v>
      </c>
      <c r="N647" s="1" t="s">
        <v>63</v>
      </c>
      <c r="O647" s="1" t="s">
        <v>103</v>
      </c>
      <c r="P647" s="1" t="s">
        <v>104</v>
      </c>
      <c r="Q647" s="1" t="s">
        <v>38</v>
      </c>
      <c r="R647" s="1" t="s">
        <v>3013</v>
      </c>
      <c r="S647" s="3">
        <v>917943000000</v>
      </c>
      <c r="T647" s="1" t="s">
        <v>51</v>
      </c>
      <c r="U647" s="1">
        <v>75</v>
      </c>
      <c r="V647" s="1">
        <v>81</v>
      </c>
      <c r="W647" s="1" t="s">
        <v>52</v>
      </c>
      <c r="X647" s="1">
        <v>435074</v>
      </c>
      <c r="Y647" s="2">
        <v>37988</v>
      </c>
      <c r="Z647" s="1">
        <v>0.17897371714643301</v>
      </c>
      <c r="AA647" s="1">
        <v>20</v>
      </c>
      <c r="AB647" s="1">
        <v>676000</v>
      </c>
      <c r="AC647" s="1">
        <f t="shared" si="10"/>
        <v>736000</v>
      </c>
    </row>
    <row r="648" spans="1:29" x14ac:dyDescent="0.25">
      <c r="A648" s="1" t="s">
        <v>3030</v>
      </c>
      <c r="B648" s="1" t="s">
        <v>3031</v>
      </c>
      <c r="C648" s="1" t="s">
        <v>3032</v>
      </c>
      <c r="D648" s="1">
        <v>2020</v>
      </c>
      <c r="E648" s="1" t="s">
        <v>31</v>
      </c>
      <c r="F648" s="1">
        <v>4</v>
      </c>
      <c r="G648" s="1" t="s">
        <v>32</v>
      </c>
      <c r="H648" s="1" t="s">
        <v>102</v>
      </c>
      <c r="I648" s="1">
        <v>169000</v>
      </c>
      <c r="J648" s="1">
        <v>154000</v>
      </c>
      <c r="K648" s="1">
        <v>15000</v>
      </c>
      <c r="L648" s="1">
        <v>0</v>
      </c>
      <c r="M648" s="1" t="s">
        <v>34</v>
      </c>
      <c r="N648" s="1" t="s">
        <v>63</v>
      </c>
      <c r="O648" s="1" t="s">
        <v>36</v>
      </c>
      <c r="P648" s="1" t="s">
        <v>37</v>
      </c>
      <c r="Q648" s="1" t="s">
        <v>38</v>
      </c>
      <c r="R648" s="1" t="s">
        <v>3033</v>
      </c>
      <c r="S648" s="3">
        <v>919125000000</v>
      </c>
      <c r="T648" s="1" t="s">
        <v>74</v>
      </c>
      <c r="U648" s="1">
        <v>75</v>
      </c>
      <c r="V648" s="1">
        <v>90</v>
      </c>
      <c r="W648" s="1" t="s">
        <v>41</v>
      </c>
      <c r="X648" s="1">
        <v>346093</v>
      </c>
      <c r="Y648" s="2">
        <v>38624</v>
      </c>
      <c r="Z648" s="1">
        <v>0.17897371714643301</v>
      </c>
      <c r="AA648" s="1">
        <v>18</v>
      </c>
      <c r="AB648" s="1">
        <v>676000</v>
      </c>
      <c r="AC648" s="1">
        <f t="shared" si="10"/>
        <v>736000</v>
      </c>
    </row>
    <row r="649" spans="1:29" x14ac:dyDescent="0.25">
      <c r="A649" s="1" t="s">
        <v>3072</v>
      </c>
      <c r="B649" s="1" t="s">
        <v>3073</v>
      </c>
      <c r="C649" s="1" t="s">
        <v>3074</v>
      </c>
      <c r="D649" s="1">
        <v>2020</v>
      </c>
      <c r="E649" s="1" t="s">
        <v>31</v>
      </c>
      <c r="F649" s="1">
        <v>4</v>
      </c>
      <c r="G649" s="1" t="s">
        <v>32</v>
      </c>
      <c r="H649" s="1" t="s">
        <v>113</v>
      </c>
      <c r="I649" s="1">
        <v>169000</v>
      </c>
      <c r="J649" s="1">
        <v>154000</v>
      </c>
      <c r="K649" s="1">
        <v>15000</v>
      </c>
      <c r="L649" s="1">
        <v>0</v>
      </c>
      <c r="M649" s="1" t="s">
        <v>34</v>
      </c>
      <c r="N649" s="1" t="s">
        <v>63</v>
      </c>
      <c r="O649" s="1" t="s">
        <v>78</v>
      </c>
      <c r="P649" s="1" t="s">
        <v>79</v>
      </c>
      <c r="Q649" s="1" t="s">
        <v>38</v>
      </c>
      <c r="R649" s="1" t="s">
        <v>3075</v>
      </c>
      <c r="S649" s="3">
        <v>918885000000</v>
      </c>
      <c r="T649" s="1" t="s">
        <v>98</v>
      </c>
      <c r="U649" s="1">
        <v>75</v>
      </c>
      <c r="V649" s="1">
        <v>67</v>
      </c>
      <c r="W649" s="1" t="s">
        <v>52</v>
      </c>
      <c r="X649" s="1">
        <v>113331</v>
      </c>
      <c r="Y649" s="2">
        <v>37735</v>
      </c>
      <c r="Z649" s="1">
        <v>0.17897371714643301</v>
      </c>
      <c r="AA649" s="1">
        <v>21</v>
      </c>
      <c r="AB649" s="1">
        <v>676000</v>
      </c>
      <c r="AC649" s="1">
        <f t="shared" si="10"/>
        <v>736000</v>
      </c>
    </row>
    <row r="650" spans="1:29" x14ac:dyDescent="0.25">
      <c r="A650" s="1" t="s">
        <v>3080</v>
      </c>
      <c r="B650" s="1" t="s">
        <v>2444</v>
      </c>
      <c r="C650" s="1" t="s">
        <v>2445</v>
      </c>
      <c r="D650" s="1">
        <v>2020</v>
      </c>
      <c r="E650" s="1" t="s">
        <v>31</v>
      </c>
      <c r="F650" s="1">
        <v>4</v>
      </c>
      <c r="G650" s="1" t="s">
        <v>32</v>
      </c>
      <c r="H650" s="1" t="s">
        <v>62</v>
      </c>
      <c r="I650" s="1">
        <v>169000</v>
      </c>
      <c r="J650" s="1">
        <v>154000</v>
      </c>
      <c r="K650" s="1">
        <v>15000</v>
      </c>
      <c r="L650" s="1">
        <v>0</v>
      </c>
      <c r="M650" s="1" t="s">
        <v>34</v>
      </c>
      <c r="N650" s="1" t="s">
        <v>63</v>
      </c>
      <c r="O650" s="1" t="s">
        <v>103</v>
      </c>
      <c r="P650" s="1" t="s">
        <v>104</v>
      </c>
      <c r="Q650" s="1" t="s">
        <v>38</v>
      </c>
      <c r="R650" s="1" t="s">
        <v>3081</v>
      </c>
      <c r="S650" s="3">
        <v>919836000000</v>
      </c>
      <c r="T650" s="1" t="s">
        <v>74</v>
      </c>
      <c r="U650" s="1">
        <v>74</v>
      </c>
      <c r="V650" s="1">
        <v>75</v>
      </c>
      <c r="W650" s="1" t="s">
        <v>52</v>
      </c>
      <c r="X650" s="1">
        <v>595358</v>
      </c>
      <c r="Y650" s="2">
        <v>36851</v>
      </c>
      <c r="Z650" s="1">
        <v>-0.82102628285356605</v>
      </c>
      <c r="AA650" s="1">
        <v>23</v>
      </c>
      <c r="AB650" s="1">
        <v>676000</v>
      </c>
      <c r="AC650" s="1">
        <f t="shared" si="10"/>
        <v>736000</v>
      </c>
    </row>
    <row r="651" spans="1:29" x14ac:dyDescent="0.25">
      <c r="A651" s="1" t="s">
        <v>3086</v>
      </c>
      <c r="B651" s="1" t="s">
        <v>3087</v>
      </c>
      <c r="C651" s="1" t="s">
        <v>3088</v>
      </c>
      <c r="D651" s="1">
        <v>2020</v>
      </c>
      <c r="E651" s="1" t="s">
        <v>31</v>
      </c>
      <c r="F651" s="1">
        <v>4</v>
      </c>
      <c r="G651" s="1" t="s">
        <v>32</v>
      </c>
      <c r="H651" s="1" t="s">
        <v>90</v>
      </c>
      <c r="I651" s="1">
        <v>169000</v>
      </c>
      <c r="J651" s="1">
        <v>154000</v>
      </c>
      <c r="K651" s="1">
        <v>15000</v>
      </c>
      <c r="L651" s="1">
        <v>0</v>
      </c>
      <c r="M651" s="1" t="s">
        <v>34</v>
      </c>
      <c r="N651" s="1" t="s">
        <v>70</v>
      </c>
      <c r="O651" s="1" t="s">
        <v>78</v>
      </c>
      <c r="P651" s="1" t="s">
        <v>79</v>
      </c>
      <c r="Q651" s="1" t="s">
        <v>38</v>
      </c>
      <c r="R651" s="1" t="s">
        <v>3089</v>
      </c>
      <c r="S651" s="3">
        <v>917658000000</v>
      </c>
      <c r="T651" s="1" t="s">
        <v>51</v>
      </c>
      <c r="U651" s="1">
        <v>74</v>
      </c>
      <c r="V651" s="1">
        <v>60</v>
      </c>
      <c r="W651" s="1" t="s">
        <v>52</v>
      </c>
      <c r="X651" s="1">
        <v>450989</v>
      </c>
      <c r="Y651" s="2">
        <v>37478</v>
      </c>
      <c r="Z651" s="1">
        <v>-0.82102628285356605</v>
      </c>
      <c r="AA651" s="1">
        <v>21</v>
      </c>
      <c r="AB651" s="1">
        <v>676000</v>
      </c>
      <c r="AC651" s="1">
        <f t="shared" si="10"/>
        <v>736000</v>
      </c>
    </row>
    <row r="652" spans="1:29" x14ac:dyDescent="0.25">
      <c r="A652" s="1" t="s">
        <v>3098</v>
      </c>
      <c r="B652" s="1" t="s">
        <v>3099</v>
      </c>
      <c r="C652" s="1" t="s">
        <v>3100</v>
      </c>
      <c r="D652" s="1">
        <v>2020</v>
      </c>
      <c r="E652" s="1" t="s">
        <v>31</v>
      </c>
      <c r="F652" s="1">
        <v>4</v>
      </c>
      <c r="G652" s="1" t="s">
        <v>32</v>
      </c>
      <c r="H652" s="1" t="s">
        <v>56</v>
      </c>
      <c r="I652" s="1">
        <v>169000</v>
      </c>
      <c r="J652" s="1">
        <v>154000</v>
      </c>
      <c r="K652" s="1">
        <v>15000</v>
      </c>
      <c r="L652" s="1">
        <v>0</v>
      </c>
      <c r="M652" s="1" t="s">
        <v>34</v>
      </c>
      <c r="N652" s="1" t="s">
        <v>70</v>
      </c>
      <c r="O652" s="1" t="s">
        <v>64</v>
      </c>
      <c r="P652" s="1" t="s">
        <v>65</v>
      </c>
      <c r="Q652" s="1" t="s">
        <v>38</v>
      </c>
      <c r="R652" s="1" t="s">
        <v>3101</v>
      </c>
      <c r="S652" s="3">
        <v>917497000000</v>
      </c>
      <c r="T652" s="1" t="s">
        <v>98</v>
      </c>
      <c r="U652" s="1">
        <v>74</v>
      </c>
      <c r="V652" s="1">
        <v>90</v>
      </c>
      <c r="W652" s="1" t="s">
        <v>52</v>
      </c>
      <c r="X652" s="1">
        <v>316715</v>
      </c>
      <c r="Y652" s="2">
        <v>38828</v>
      </c>
      <c r="Z652" s="1">
        <v>-0.82102628285356605</v>
      </c>
      <c r="AA652" s="1">
        <v>18</v>
      </c>
      <c r="AB652" s="1">
        <v>676000</v>
      </c>
      <c r="AC652" s="1">
        <f t="shared" si="10"/>
        <v>736000</v>
      </c>
    </row>
    <row r="653" spans="1:29" x14ac:dyDescent="0.25">
      <c r="A653" s="1" t="s">
        <v>3104</v>
      </c>
      <c r="B653" s="1" t="s">
        <v>681</v>
      </c>
      <c r="C653" s="1" t="s">
        <v>682</v>
      </c>
      <c r="D653" s="1">
        <v>2020</v>
      </c>
      <c r="E653" s="1" t="s">
        <v>45</v>
      </c>
      <c r="F653" s="1">
        <v>2</v>
      </c>
      <c r="G653" s="1" t="s">
        <v>46</v>
      </c>
      <c r="H653" s="1" t="s">
        <v>90</v>
      </c>
      <c r="I653" s="1">
        <v>92000</v>
      </c>
      <c r="J653" s="1">
        <v>77000</v>
      </c>
      <c r="K653" s="1">
        <v>15000</v>
      </c>
      <c r="L653" s="1">
        <v>0</v>
      </c>
      <c r="M653" s="1" t="s">
        <v>34</v>
      </c>
      <c r="N653" s="1" t="s">
        <v>35</v>
      </c>
      <c r="O653" s="1" t="s">
        <v>103</v>
      </c>
      <c r="P653" s="1" t="s">
        <v>104</v>
      </c>
      <c r="Q653" s="1" t="s">
        <v>38</v>
      </c>
      <c r="R653" s="1" t="s">
        <v>3105</v>
      </c>
      <c r="S653" s="3">
        <v>918194000000</v>
      </c>
      <c r="T653" s="1" t="s">
        <v>74</v>
      </c>
      <c r="U653" s="1">
        <v>74</v>
      </c>
      <c r="V653" s="1">
        <v>91</v>
      </c>
      <c r="W653" s="1" t="s">
        <v>41</v>
      </c>
      <c r="X653" s="1">
        <v>655928</v>
      </c>
      <c r="Y653" s="2">
        <v>35271</v>
      </c>
      <c r="Z653" s="1">
        <v>-0.82102628285356605</v>
      </c>
      <c r="AA653" s="1">
        <v>27</v>
      </c>
      <c r="AB653" s="1">
        <v>184000</v>
      </c>
      <c r="AC653" s="1">
        <f t="shared" si="10"/>
        <v>214000</v>
      </c>
    </row>
    <row r="654" spans="1:29" x14ac:dyDescent="0.25">
      <c r="A654" s="1" t="s">
        <v>3152</v>
      </c>
      <c r="B654" s="1" t="s">
        <v>3153</v>
      </c>
      <c r="C654" s="1" t="s">
        <v>3154</v>
      </c>
      <c r="D654" s="1">
        <v>2020</v>
      </c>
      <c r="E654" s="1" t="s">
        <v>31</v>
      </c>
      <c r="F654" s="1">
        <v>4</v>
      </c>
      <c r="G654" s="1" t="s">
        <v>32</v>
      </c>
      <c r="H654" s="1" t="s">
        <v>122</v>
      </c>
      <c r="I654" s="1">
        <v>169000</v>
      </c>
      <c r="J654" s="1">
        <v>154000</v>
      </c>
      <c r="K654" s="1">
        <v>15000</v>
      </c>
      <c r="L654" s="1">
        <v>0</v>
      </c>
      <c r="M654" s="1" t="s">
        <v>34</v>
      </c>
      <c r="N654" s="1" t="s">
        <v>35</v>
      </c>
      <c r="O654" s="1" t="s">
        <v>57</v>
      </c>
      <c r="P654" s="1" t="s">
        <v>57</v>
      </c>
      <c r="Q654" s="1" t="s">
        <v>38</v>
      </c>
      <c r="R654" s="1" t="s">
        <v>3155</v>
      </c>
      <c r="S654" s="3">
        <v>918487000000</v>
      </c>
      <c r="T654" s="1" t="s">
        <v>86</v>
      </c>
      <c r="U654" s="1">
        <v>74</v>
      </c>
      <c r="V654" s="1">
        <v>89</v>
      </c>
      <c r="W654" s="1" t="s">
        <v>52</v>
      </c>
      <c r="X654" s="1">
        <v>417154</v>
      </c>
      <c r="Y654" s="2">
        <v>37891</v>
      </c>
      <c r="Z654" s="1">
        <v>-0.82102628285356605</v>
      </c>
      <c r="AA654" s="1">
        <v>20</v>
      </c>
      <c r="AB654" s="1">
        <v>676000</v>
      </c>
      <c r="AC654" s="1">
        <f t="shared" si="10"/>
        <v>736000</v>
      </c>
    </row>
    <row r="655" spans="1:29" x14ac:dyDescent="0.25">
      <c r="A655" s="1" t="s">
        <v>3170</v>
      </c>
      <c r="B655" s="1" t="s">
        <v>3171</v>
      </c>
      <c r="C655" s="1" t="s">
        <v>3172</v>
      </c>
      <c r="D655" s="1">
        <v>2020</v>
      </c>
      <c r="E655" s="1" t="s">
        <v>31</v>
      </c>
      <c r="F655" s="1">
        <v>4</v>
      </c>
      <c r="G655" s="1" t="s">
        <v>32</v>
      </c>
      <c r="H655" s="1" t="s">
        <v>47</v>
      </c>
      <c r="I655" s="1">
        <v>169000</v>
      </c>
      <c r="J655" s="1">
        <v>154000</v>
      </c>
      <c r="K655" s="1">
        <v>15000</v>
      </c>
      <c r="L655" s="1">
        <v>0</v>
      </c>
      <c r="M655" s="1" t="s">
        <v>34</v>
      </c>
      <c r="N655" s="1" t="s">
        <v>70</v>
      </c>
      <c r="O655" s="1" t="s">
        <v>78</v>
      </c>
      <c r="P655" s="1" t="s">
        <v>79</v>
      </c>
      <c r="Q655" s="1" t="s">
        <v>38</v>
      </c>
      <c r="R655" s="1" t="s">
        <v>3173</v>
      </c>
      <c r="S655" s="3">
        <v>919585000000</v>
      </c>
      <c r="T655" s="1" t="s">
        <v>51</v>
      </c>
      <c r="U655" s="1">
        <v>74</v>
      </c>
      <c r="V655" s="1">
        <v>78</v>
      </c>
      <c r="W655" s="1" t="s">
        <v>52</v>
      </c>
      <c r="X655" s="1">
        <v>309342</v>
      </c>
      <c r="Y655" s="2">
        <v>37542</v>
      </c>
      <c r="Z655" s="1">
        <v>-0.82102628285356605</v>
      </c>
      <c r="AA655" s="1">
        <v>21</v>
      </c>
      <c r="AB655" s="1">
        <v>676000</v>
      </c>
      <c r="AC655" s="1">
        <f t="shared" si="10"/>
        <v>736000</v>
      </c>
    </row>
    <row r="656" spans="1:29" x14ac:dyDescent="0.25">
      <c r="A656" s="1" t="s">
        <v>3196</v>
      </c>
      <c r="B656" s="1" t="s">
        <v>261</v>
      </c>
      <c r="C656" s="1" t="s">
        <v>262</v>
      </c>
      <c r="D656" s="1">
        <v>2020</v>
      </c>
      <c r="E656" s="1" t="s">
        <v>45</v>
      </c>
      <c r="F656" s="1">
        <v>2</v>
      </c>
      <c r="G656" s="1" t="s">
        <v>46</v>
      </c>
      <c r="H656" s="1" t="s">
        <v>90</v>
      </c>
      <c r="I656" s="1">
        <v>92000</v>
      </c>
      <c r="J656" s="1">
        <v>77000</v>
      </c>
      <c r="K656" s="1">
        <v>15000</v>
      </c>
      <c r="L656" s="1">
        <v>0</v>
      </c>
      <c r="M656" s="1" t="s">
        <v>34</v>
      </c>
      <c r="N656" s="1" t="s">
        <v>70</v>
      </c>
      <c r="O656" s="1" t="s">
        <v>64</v>
      </c>
      <c r="P656" s="1" t="s">
        <v>65</v>
      </c>
      <c r="Q656" s="1" t="s">
        <v>38</v>
      </c>
      <c r="R656" s="1" t="s">
        <v>3197</v>
      </c>
      <c r="S656" s="3">
        <v>917484000000</v>
      </c>
      <c r="T656" s="1" t="s">
        <v>98</v>
      </c>
      <c r="U656" s="1">
        <v>74</v>
      </c>
      <c r="V656" s="1">
        <v>90</v>
      </c>
      <c r="W656" s="1" t="s">
        <v>41</v>
      </c>
      <c r="X656" s="1">
        <v>572656</v>
      </c>
      <c r="Y656" s="2">
        <v>36834</v>
      </c>
      <c r="Z656" s="1">
        <v>-0.82102628285356605</v>
      </c>
      <c r="AA656" s="1">
        <v>23</v>
      </c>
      <c r="AB656" s="1">
        <v>184000</v>
      </c>
      <c r="AC656" s="1">
        <f t="shared" si="10"/>
        <v>214000</v>
      </c>
    </row>
    <row r="657" spans="1:29" x14ac:dyDescent="0.25">
      <c r="A657" s="1" t="s">
        <v>3216</v>
      </c>
      <c r="B657" s="1" t="s">
        <v>2146</v>
      </c>
      <c r="C657" s="1" t="s">
        <v>2147</v>
      </c>
      <c r="D657" s="1">
        <v>2020</v>
      </c>
      <c r="E657" s="1" t="s">
        <v>45</v>
      </c>
      <c r="F657" s="1">
        <v>2</v>
      </c>
      <c r="G657" s="1" t="s">
        <v>46</v>
      </c>
      <c r="H657" s="1" t="s">
        <v>102</v>
      </c>
      <c r="I657" s="1">
        <v>92000</v>
      </c>
      <c r="J657" s="1">
        <v>77000</v>
      </c>
      <c r="K657" s="1">
        <v>15000</v>
      </c>
      <c r="L657" s="1">
        <v>0</v>
      </c>
      <c r="M657" s="1" t="s">
        <v>34</v>
      </c>
      <c r="N657" s="1" t="s">
        <v>35</v>
      </c>
      <c r="O657" s="1" t="s">
        <v>48</v>
      </c>
      <c r="P657" s="1" t="s">
        <v>49</v>
      </c>
      <c r="Q657" s="1" t="s">
        <v>38</v>
      </c>
      <c r="R657" s="1" t="s">
        <v>3217</v>
      </c>
      <c r="S657" s="3">
        <v>917449000000</v>
      </c>
      <c r="T657" s="1" t="s">
        <v>51</v>
      </c>
      <c r="U657" s="1">
        <v>74</v>
      </c>
      <c r="V657" s="1">
        <v>74</v>
      </c>
      <c r="W657" s="1" t="s">
        <v>52</v>
      </c>
      <c r="X657" s="1">
        <v>243111</v>
      </c>
      <c r="Y657" s="2">
        <v>36090</v>
      </c>
      <c r="Z657" s="1">
        <v>-0.82102628285356605</v>
      </c>
      <c r="AA657" s="1">
        <v>25</v>
      </c>
      <c r="AB657" s="1">
        <v>184000</v>
      </c>
      <c r="AC657" s="1">
        <f t="shared" si="10"/>
        <v>214000</v>
      </c>
    </row>
    <row r="658" spans="1:29" x14ac:dyDescent="0.25">
      <c r="A658" s="1" t="s">
        <v>3238</v>
      </c>
      <c r="B658" s="1" t="s">
        <v>3239</v>
      </c>
      <c r="C658" s="1" t="s">
        <v>3240</v>
      </c>
      <c r="D658" s="1">
        <v>2020</v>
      </c>
      <c r="E658" s="1" t="s">
        <v>31</v>
      </c>
      <c r="F658" s="1">
        <v>4</v>
      </c>
      <c r="G658" s="1" t="s">
        <v>32</v>
      </c>
      <c r="H658" s="1" t="s">
        <v>62</v>
      </c>
      <c r="I658" s="1">
        <v>169000</v>
      </c>
      <c r="J658" s="1">
        <v>154000</v>
      </c>
      <c r="K658" s="1">
        <v>15000</v>
      </c>
      <c r="L658" s="1">
        <v>0</v>
      </c>
      <c r="M658" s="1" t="s">
        <v>34</v>
      </c>
      <c r="N658" s="1" t="s">
        <v>35</v>
      </c>
      <c r="O658" s="1" t="s">
        <v>84</v>
      </c>
      <c r="P658" s="1" t="s">
        <v>65</v>
      </c>
      <c r="Q658" s="1" t="s">
        <v>38</v>
      </c>
      <c r="R658" s="1" t="s">
        <v>3241</v>
      </c>
      <c r="S658" s="3">
        <v>917787000000</v>
      </c>
      <c r="T658" s="1" t="s">
        <v>98</v>
      </c>
      <c r="U658" s="1">
        <v>74</v>
      </c>
      <c r="V658" s="1">
        <v>67</v>
      </c>
      <c r="W658" s="1" t="s">
        <v>41</v>
      </c>
      <c r="X658" s="1">
        <v>663373</v>
      </c>
      <c r="Y658" s="2">
        <v>37055</v>
      </c>
      <c r="Z658" s="1">
        <v>-0.82102628285356605</v>
      </c>
      <c r="AA658" s="1">
        <v>23</v>
      </c>
      <c r="AB658" s="1">
        <v>676000</v>
      </c>
      <c r="AC658" s="1">
        <f t="shared" si="10"/>
        <v>736000</v>
      </c>
    </row>
    <row r="659" spans="1:29" x14ac:dyDescent="0.25">
      <c r="A659" s="1" t="s">
        <v>3244</v>
      </c>
      <c r="B659" s="1" t="s">
        <v>2885</v>
      </c>
      <c r="C659" s="1" t="s">
        <v>2886</v>
      </c>
      <c r="D659" s="1">
        <v>2020</v>
      </c>
      <c r="E659" s="1" t="s">
        <v>45</v>
      </c>
      <c r="F659" s="1">
        <v>2</v>
      </c>
      <c r="G659" s="1" t="s">
        <v>46</v>
      </c>
      <c r="H659" s="1" t="s">
        <v>47</v>
      </c>
      <c r="I659" s="1">
        <v>92000</v>
      </c>
      <c r="J659" s="1">
        <v>77000</v>
      </c>
      <c r="K659" s="1">
        <v>15000</v>
      </c>
      <c r="L659" s="1">
        <v>0</v>
      </c>
      <c r="M659" s="1" t="s">
        <v>34</v>
      </c>
      <c r="N659" s="1" t="s">
        <v>70</v>
      </c>
      <c r="O659" s="1" t="s">
        <v>188</v>
      </c>
      <c r="P659" s="1" t="s">
        <v>189</v>
      </c>
      <c r="Q659" s="1" t="s">
        <v>38</v>
      </c>
      <c r="R659" s="1" t="s">
        <v>3245</v>
      </c>
      <c r="S659" s="3">
        <v>917843000000</v>
      </c>
      <c r="T659" s="1" t="s">
        <v>86</v>
      </c>
      <c r="U659" s="1">
        <v>74</v>
      </c>
      <c r="V659" s="1">
        <v>89</v>
      </c>
      <c r="W659" s="1" t="s">
        <v>41</v>
      </c>
      <c r="X659" s="1">
        <v>434305</v>
      </c>
      <c r="Y659" s="2">
        <v>36011</v>
      </c>
      <c r="Z659" s="1">
        <v>-0.82102628285356605</v>
      </c>
      <c r="AA659" s="1">
        <v>25</v>
      </c>
      <c r="AB659" s="1">
        <v>184000</v>
      </c>
      <c r="AC659" s="1">
        <f t="shared" si="10"/>
        <v>214000</v>
      </c>
    </row>
    <row r="660" spans="1:29" x14ac:dyDescent="0.25">
      <c r="A660" s="1" t="s">
        <v>3263</v>
      </c>
      <c r="B660" s="1" t="s">
        <v>3264</v>
      </c>
      <c r="C660" s="1" t="s">
        <v>3265</v>
      </c>
      <c r="D660" s="1">
        <v>2020</v>
      </c>
      <c r="E660" s="1" t="s">
        <v>31</v>
      </c>
      <c r="F660" s="1">
        <v>4</v>
      </c>
      <c r="G660" s="1" t="s">
        <v>32</v>
      </c>
      <c r="H660" s="1" t="s">
        <v>113</v>
      </c>
      <c r="I660" s="1">
        <v>169000</v>
      </c>
      <c r="J660" s="1">
        <v>154000</v>
      </c>
      <c r="K660" s="1">
        <v>15000</v>
      </c>
      <c r="L660" s="1">
        <v>0</v>
      </c>
      <c r="M660" s="1" t="s">
        <v>34</v>
      </c>
      <c r="N660" s="1" t="s">
        <v>63</v>
      </c>
      <c r="O660" s="1" t="s">
        <v>84</v>
      </c>
      <c r="P660" s="1" t="s">
        <v>65</v>
      </c>
      <c r="Q660" s="1" t="s">
        <v>38</v>
      </c>
      <c r="R660" s="1" t="s">
        <v>3266</v>
      </c>
      <c r="S660" s="3">
        <v>918865000000</v>
      </c>
      <c r="T660" s="1" t="s">
        <v>98</v>
      </c>
      <c r="U660" s="1">
        <v>74</v>
      </c>
      <c r="V660" s="1">
        <v>67</v>
      </c>
      <c r="W660" s="1" t="s">
        <v>41</v>
      </c>
      <c r="X660" s="1">
        <v>480905</v>
      </c>
      <c r="Y660" s="2">
        <v>37650</v>
      </c>
      <c r="Z660" s="1">
        <v>-0.82102628285356605</v>
      </c>
      <c r="AA660" s="1">
        <v>21</v>
      </c>
      <c r="AB660" s="1">
        <v>676000</v>
      </c>
      <c r="AC660" s="1">
        <f t="shared" si="10"/>
        <v>736000</v>
      </c>
    </row>
    <row r="661" spans="1:29" x14ac:dyDescent="0.25">
      <c r="A661" s="1" t="s">
        <v>3279</v>
      </c>
      <c r="B661" s="1" t="s">
        <v>3280</v>
      </c>
      <c r="C661" s="1" t="s">
        <v>3281</v>
      </c>
      <c r="D661" s="1">
        <v>2020</v>
      </c>
      <c r="E661" s="1" t="s">
        <v>31</v>
      </c>
      <c r="F661" s="1">
        <v>4</v>
      </c>
      <c r="G661" s="1" t="s">
        <v>32</v>
      </c>
      <c r="H661" s="1" t="s">
        <v>102</v>
      </c>
      <c r="I661" s="1">
        <v>169000</v>
      </c>
      <c r="J661" s="1">
        <v>154000</v>
      </c>
      <c r="K661" s="1">
        <v>15000</v>
      </c>
      <c r="L661" s="1">
        <v>0</v>
      </c>
      <c r="M661" s="1" t="s">
        <v>34</v>
      </c>
      <c r="N661" s="1" t="s">
        <v>63</v>
      </c>
      <c r="O661" s="1" t="s">
        <v>91</v>
      </c>
      <c r="P661" s="1" t="s">
        <v>92</v>
      </c>
      <c r="Q661" s="1" t="s">
        <v>38</v>
      </c>
      <c r="R661" s="1" t="s">
        <v>3282</v>
      </c>
      <c r="S661" s="3">
        <v>918485000000</v>
      </c>
      <c r="T661" s="1" t="s">
        <v>98</v>
      </c>
      <c r="U661" s="1">
        <v>74</v>
      </c>
      <c r="V661" s="1">
        <v>77</v>
      </c>
      <c r="W661" s="1" t="s">
        <v>41</v>
      </c>
      <c r="X661" s="1">
        <v>299975</v>
      </c>
      <c r="Y661" s="2">
        <v>38202</v>
      </c>
      <c r="Z661" s="1">
        <v>-0.82102628285356605</v>
      </c>
      <c r="AA661" s="1">
        <v>19</v>
      </c>
      <c r="AB661" s="1">
        <v>676000</v>
      </c>
      <c r="AC661" s="1">
        <f t="shared" si="10"/>
        <v>736000</v>
      </c>
    </row>
    <row r="662" spans="1:29" x14ac:dyDescent="0.25">
      <c r="A662" s="1" t="s">
        <v>3283</v>
      </c>
      <c r="B662" s="1" t="s">
        <v>3284</v>
      </c>
      <c r="C662" s="1" t="s">
        <v>3285</v>
      </c>
      <c r="D662" s="1">
        <v>2020</v>
      </c>
      <c r="E662" s="1" t="s">
        <v>31</v>
      </c>
      <c r="F662" s="1">
        <v>4</v>
      </c>
      <c r="G662" s="1" t="s">
        <v>32</v>
      </c>
      <c r="H662" s="1" t="s">
        <v>122</v>
      </c>
      <c r="I662" s="1">
        <v>169000</v>
      </c>
      <c r="J662" s="1">
        <v>154000</v>
      </c>
      <c r="K662" s="1">
        <v>15000</v>
      </c>
      <c r="L662" s="1">
        <v>0</v>
      </c>
      <c r="M662" s="1" t="s">
        <v>34</v>
      </c>
      <c r="N662" s="1" t="s">
        <v>35</v>
      </c>
      <c r="O662" s="1" t="s">
        <v>36</v>
      </c>
      <c r="P662" s="1" t="s">
        <v>37</v>
      </c>
      <c r="Q662" s="1" t="s">
        <v>38</v>
      </c>
      <c r="R662" s="1" t="s">
        <v>3286</v>
      </c>
      <c r="S662" s="3">
        <v>918872000000</v>
      </c>
      <c r="T662" s="1" t="s">
        <v>86</v>
      </c>
      <c r="U662" s="1">
        <v>74</v>
      </c>
      <c r="V662" s="1">
        <v>71</v>
      </c>
      <c r="W662" s="1" t="s">
        <v>41</v>
      </c>
      <c r="X662" s="1">
        <v>732981</v>
      </c>
      <c r="Y662" s="2">
        <v>37014</v>
      </c>
      <c r="Z662" s="1">
        <v>-0.82102628285356605</v>
      </c>
      <c r="AA662" s="1">
        <v>23</v>
      </c>
      <c r="AB662" s="1">
        <v>676000</v>
      </c>
      <c r="AC662" s="1">
        <f t="shared" si="10"/>
        <v>736000</v>
      </c>
    </row>
    <row r="663" spans="1:29" x14ac:dyDescent="0.25">
      <c r="A663" s="1" t="s">
        <v>3303</v>
      </c>
      <c r="B663" s="1" t="s">
        <v>1359</v>
      </c>
      <c r="C663" s="1" t="s">
        <v>1360</v>
      </c>
      <c r="D663" s="1">
        <v>2020</v>
      </c>
      <c r="E663" s="1" t="s">
        <v>31</v>
      </c>
      <c r="F663" s="1">
        <v>4</v>
      </c>
      <c r="G663" s="1" t="s">
        <v>32</v>
      </c>
      <c r="H663" s="1" t="s">
        <v>62</v>
      </c>
      <c r="I663" s="1">
        <v>169000</v>
      </c>
      <c r="J663" s="1">
        <v>154000</v>
      </c>
      <c r="K663" s="1">
        <v>15000</v>
      </c>
      <c r="L663" s="1">
        <v>0</v>
      </c>
      <c r="M663" s="1" t="s">
        <v>34</v>
      </c>
      <c r="N663" s="1" t="s">
        <v>70</v>
      </c>
      <c r="O663" s="1" t="s">
        <v>57</v>
      </c>
      <c r="P663" s="1" t="s">
        <v>57</v>
      </c>
      <c r="Q663" s="1" t="s">
        <v>38</v>
      </c>
      <c r="R663" s="1" t="s">
        <v>3304</v>
      </c>
      <c r="S663" s="3">
        <v>919788000000</v>
      </c>
      <c r="T663" s="1" t="s">
        <v>74</v>
      </c>
      <c r="U663" s="1">
        <v>73</v>
      </c>
      <c r="V663" s="1">
        <v>82</v>
      </c>
      <c r="W663" s="1" t="s">
        <v>41</v>
      </c>
      <c r="X663" s="1">
        <v>128709</v>
      </c>
      <c r="Y663" s="2">
        <v>37101</v>
      </c>
      <c r="Z663" s="1">
        <v>-1.8210262828535599</v>
      </c>
      <c r="AA663" s="1">
        <v>22</v>
      </c>
      <c r="AB663" s="1">
        <v>676000</v>
      </c>
      <c r="AC663" s="1">
        <f t="shared" si="10"/>
        <v>736000</v>
      </c>
    </row>
    <row r="664" spans="1:29" x14ac:dyDescent="0.25">
      <c r="A664" s="1" t="s">
        <v>3309</v>
      </c>
      <c r="B664" s="1" t="s">
        <v>3310</v>
      </c>
      <c r="C664" s="1" t="s">
        <v>3311</v>
      </c>
      <c r="D664" s="1">
        <v>2020</v>
      </c>
      <c r="E664" s="1" t="s">
        <v>31</v>
      </c>
      <c r="F664" s="1">
        <v>4</v>
      </c>
      <c r="G664" s="1" t="s">
        <v>32</v>
      </c>
      <c r="H664" s="1" t="s">
        <v>102</v>
      </c>
      <c r="I664" s="1">
        <v>169000</v>
      </c>
      <c r="J664" s="1">
        <v>154000</v>
      </c>
      <c r="K664" s="1">
        <v>15000</v>
      </c>
      <c r="L664" s="1">
        <v>0</v>
      </c>
      <c r="M664" s="1" t="s">
        <v>34</v>
      </c>
      <c r="N664" s="1" t="s">
        <v>63</v>
      </c>
      <c r="O664" s="1" t="s">
        <v>71</v>
      </c>
      <c r="P664" s="1" t="s">
        <v>72</v>
      </c>
      <c r="Q664" s="1" t="s">
        <v>38</v>
      </c>
      <c r="R664" s="1" t="s">
        <v>3312</v>
      </c>
      <c r="S664" s="3">
        <v>919757000000</v>
      </c>
      <c r="T664" s="1" t="s">
        <v>86</v>
      </c>
      <c r="U664" s="1">
        <v>73</v>
      </c>
      <c r="V664" s="1">
        <v>72</v>
      </c>
      <c r="W664" s="1" t="s">
        <v>52</v>
      </c>
      <c r="X664" s="1">
        <v>479459</v>
      </c>
      <c r="Y664" s="2">
        <v>37172</v>
      </c>
      <c r="Z664" s="1">
        <v>-1.8210262828535599</v>
      </c>
      <c r="AA664" s="1">
        <v>22</v>
      </c>
      <c r="AB664" s="1">
        <v>676000</v>
      </c>
      <c r="AC664" s="1">
        <f t="shared" si="10"/>
        <v>736000</v>
      </c>
    </row>
    <row r="665" spans="1:29" x14ac:dyDescent="0.25">
      <c r="A665" s="1" t="s">
        <v>3331</v>
      </c>
      <c r="B665" s="1" t="s">
        <v>3332</v>
      </c>
      <c r="C665" s="1" t="s">
        <v>3333</v>
      </c>
      <c r="D665" s="1">
        <v>2020</v>
      </c>
      <c r="E665" s="1" t="s">
        <v>31</v>
      </c>
      <c r="F665" s="1">
        <v>4</v>
      </c>
      <c r="G665" s="1" t="s">
        <v>32</v>
      </c>
      <c r="H665" s="1" t="s">
        <v>62</v>
      </c>
      <c r="I665" s="1">
        <v>169000</v>
      </c>
      <c r="J665" s="1">
        <v>154000</v>
      </c>
      <c r="K665" s="1">
        <v>15000</v>
      </c>
      <c r="L665" s="1">
        <v>0</v>
      </c>
      <c r="M665" s="1" t="s">
        <v>34</v>
      </c>
      <c r="N665" s="1" t="s">
        <v>70</v>
      </c>
      <c r="O665" s="1" t="s">
        <v>188</v>
      </c>
      <c r="P665" s="1" t="s">
        <v>189</v>
      </c>
      <c r="Q665" s="1" t="s">
        <v>38</v>
      </c>
      <c r="R665" s="1" t="s">
        <v>3334</v>
      </c>
      <c r="S665" s="3">
        <v>919464000000</v>
      </c>
      <c r="T665" s="1" t="s">
        <v>98</v>
      </c>
      <c r="U665" s="1">
        <v>73</v>
      </c>
      <c r="V665" s="1">
        <v>80</v>
      </c>
      <c r="W665" s="1" t="s">
        <v>41</v>
      </c>
      <c r="X665" s="1">
        <v>425139</v>
      </c>
      <c r="Y665" s="2">
        <v>37826</v>
      </c>
      <c r="Z665" s="1">
        <v>-1.8210262828535599</v>
      </c>
      <c r="AA665" s="1">
        <v>20</v>
      </c>
      <c r="AB665" s="1">
        <v>676000</v>
      </c>
      <c r="AC665" s="1">
        <f t="shared" si="10"/>
        <v>736000</v>
      </c>
    </row>
    <row r="666" spans="1:29" x14ac:dyDescent="0.25">
      <c r="A666" s="1" t="s">
        <v>3343</v>
      </c>
      <c r="B666" s="1" t="s">
        <v>2847</v>
      </c>
      <c r="C666" s="1" t="s">
        <v>2848</v>
      </c>
      <c r="D666" s="1">
        <v>2020</v>
      </c>
      <c r="E666" s="1" t="s">
        <v>45</v>
      </c>
      <c r="F666" s="1">
        <v>2</v>
      </c>
      <c r="G666" s="1" t="s">
        <v>46</v>
      </c>
      <c r="H666" s="1" t="s">
        <v>62</v>
      </c>
      <c r="I666" s="1">
        <v>92000</v>
      </c>
      <c r="J666" s="1">
        <v>77000</v>
      </c>
      <c r="K666" s="1">
        <v>15000</v>
      </c>
      <c r="L666" s="1">
        <v>0</v>
      </c>
      <c r="M666" s="1" t="s">
        <v>34</v>
      </c>
      <c r="N666" s="1" t="s">
        <v>35</v>
      </c>
      <c r="O666" s="1" t="s">
        <v>188</v>
      </c>
      <c r="P666" s="1" t="s">
        <v>189</v>
      </c>
      <c r="Q666" s="1" t="s">
        <v>38</v>
      </c>
      <c r="R666" s="1" t="s">
        <v>3344</v>
      </c>
      <c r="S666" s="3">
        <v>917722000000</v>
      </c>
      <c r="T666" s="1" t="s">
        <v>74</v>
      </c>
      <c r="U666" s="1">
        <v>73</v>
      </c>
      <c r="V666" s="1">
        <v>61</v>
      </c>
      <c r="W666" s="1" t="s">
        <v>41</v>
      </c>
      <c r="X666" s="1">
        <v>575906</v>
      </c>
      <c r="Y666" s="2">
        <v>35657</v>
      </c>
      <c r="Z666" s="1">
        <v>-1.8210262828535599</v>
      </c>
      <c r="AA666" s="1">
        <v>26</v>
      </c>
      <c r="AB666" s="1">
        <v>184000</v>
      </c>
      <c r="AC666" s="1">
        <f t="shared" si="10"/>
        <v>214000</v>
      </c>
    </row>
    <row r="667" spans="1:29" x14ac:dyDescent="0.25">
      <c r="A667" s="1" t="s">
        <v>3345</v>
      </c>
      <c r="B667" s="1" t="s">
        <v>3346</v>
      </c>
      <c r="C667" s="1" t="s">
        <v>3347</v>
      </c>
      <c r="D667" s="1">
        <v>2020</v>
      </c>
      <c r="E667" s="1" t="s">
        <v>31</v>
      </c>
      <c r="F667" s="1">
        <v>4</v>
      </c>
      <c r="G667" s="1" t="s">
        <v>32</v>
      </c>
      <c r="H667" s="1" t="s">
        <v>102</v>
      </c>
      <c r="I667" s="1">
        <v>169000</v>
      </c>
      <c r="J667" s="1">
        <v>154000</v>
      </c>
      <c r="K667" s="1">
        <v>15000</v>
      </c>
      <c r="L667" s="1">
        <v>0</v>
      </c>
      <c r="M667" s="1" t="s">
        <v>34</v>
      </c>
      <c r="N667" s="1" t="s">
        <v>70</v>
      </c>
      <c r="O667" s="1" t="s">
        <v>57</v>
      </c>
      <c r="P667" s="1" t="s">
        <v>57</v>
      </c>
      <c r="Q667" s="1" t="s">
        <v>38</v>
      </c>
      <c r="R667" s="1" t="s">
        <v>3348</v>
      </c>
      <c r="S667" s="3">
        <v>917326000000</v>
      </c>
      <c r="T667" s="1" t="s">
        <v>98</v>
      </c>
      <c r="U667" s="1">
        <v>73</v>
      </c>
      <c r="V667" s="1">
        <v>89</v>
      </c>
      <c r="W667" s="1" t="s">
        <v>41</v>
      </c>
      <c r="X667" s="1">
        <v>691576</v>
      </c>
      <c r="Y667" s="2">
        <v>38337</v>
      </c>
      <c r="Z667" s="1">
        <v>-1.8210262828535599</v>
      </c>
      <c r="AA667" s="1">
        <v>19</v>
      </c>
      <c r="AB667" s="1">
        <v>676000</v>
      </c>
      <c r="AC667" s="1">
        <f t="shared" si="10"/>
        <v>736000</v>
      </c>
    </row>
    <row r="668" spans="1:29" x14ac:dyDescent="0.25">
      <c r="A668" s="1" t="s">
        <v>3355</v>
      </c>
      <c r="B668" s="1" t="s">
        <v>3356</v>
      </c>
      <c r="C668" s="1" t="s">
        <v>3357</v>
      </c>
      <c r="D668" s="1">
        <v>2020</v>
      </c>
      <c r="E668" s="1" t="s">
        <v>45</v>
      </c>
      <c r="F668" s="1">
        <v>2</v>
      </c>
      <c r="G668" s="1" t="s">
        <v>46</v>
      </c>
      <c r="H668" s="1" t="s">
        <v>102</v>
      </c>
      <c r="I668" s="1">
        <v>92000</v>
      </c>
      <c r="J668" s="1">
        <v>77000</v>
      </c>
      <c r="K668" s="1">
        <v>15000</v>
      </c>
      <c r="L668" s="1">
        <v>0</v>
      </c>
      <c r="M668" s="1" t="s">
        <v>34</v>
      </c>
      <c r="N668" s="1" t="s">
        <v>35</v>
      </c>
      <c r="O668" s="1" t="s">
        <v>64</v>
      </c>
      <c r="P668" s="1" t="s">
        <v>65</v>
      </c>
      <c r="Q668" s="1" t="s">
        <v>38</v>
      </c>
      <c r="R668" s="1" t="s">
        <v>3358</v>
      </c>
      <c r="S668" s="3">
        <v>919241000000</v>
      </c>
      <c r="T668" s="1" t="s">
        <v>98</v>
      </c>
      <c r="U668" s="1">
        <v>73</v>
      </c>
      <c r="V668" s="1">
        <v>64</v>
      </c>
      <c r="W668" s="1" t="s">
        <v>41</v>
      </c>
      <c r="X668" s="1">
        <v>346129</v>
      </c>
      <c r="Y668" s="2">
        <v>36044</v>
      </c>
      <c r="Z668" s="1">
        <v>-1.8210262828535599</v>
      </c>
      <c r="AA668" s="1">
        <v>25</v>
      </c>
      <c r="AB668" s="1">
        <v>184000</v>
      </c>
      <c r="AC668" s="1">
        <f t="shared" si="10"/>
        <v>214000</v>
      </c>
    </row>
    <row r="669" spans="1:29" x14ac:dyDescent="0.25">
      <c r="A669" s="1" t="s">
        <v>3359</v>
      </c>
      <c r="B669" s="1" t="s">
        <v>1215</v>
      </c>
      <c r="C669" s="1" t="s">
        <v>1216</v>
      </c>
      <c r="D669" s="1">
        <v>2020</v>
      </c>
      <c r="E669" s="1" t="s">
        <v>45</v>
      </c>
      <c r="F669" s="1">
        <v>2</v>
      </c>
      <c r="G669" s="1" t="s">
        <v>46</v>
      </c>
      <c r="H669" s="1" t="s">
        <v>90</v>
      </c>
      <c r="I669" s="1">
        <v>92000</v>
      </c>
      <c r="J669" s="1">
        <v>77000</v>
      </c>
      <c r="K669" s="1">
        <v>15000</v>
      </c>
      <c r="L669" s="1">
        <v>0</v>
      </c>
      <c r="M669" s="1" t="s">
        <v>34</v>
      </c>
      <c r="N669" s="1" t="s">
        <v>70</v>
      </c>
      <c r="O669" s="1" t="s">
        <v>71</v>
      </c>
      <c r="P669" s="1" t="s">
        <v>72</v>
      </c>
      <c r="Q669" s="1" t="s">
        <v>38</v>
      </c>
      <c r="R669" s="1" t="s">
        <v>3360</v>
      </c>
      <c r="S669" s="3">
        <v>918961000000</v>
      </c>
      <c r="T669" s="1" t="s">
        <v>98</v>
      </c>
      <c r="U669" s="1">
        <v>73</v>
      </c>
      <c r="V669" s="1">
        <v>65</v>
      </c>
      <c r="W669" s="1" t="s">
        <v>41</v>
      </c>
      <c r="X669" s="1">
        <v>368747</v>
      </c>
      <c r="Y669" s="2">
        <v>36140</v>
      </c>
      <c r="Z669" s="1">
        <v>-1.8210262828535599</v>
      </c>
      <c r="AA669" s="1">
        <v>25</v>
      </c>
      <c r="AB669" s="1">
        <v>184000</v>
      </c>
      <c r="AC669" s="1">
        <f t="shared" si="10"/>
        <v>214000</v>
      </c>
    </row>
    <row r="670" spans="1:29" x14ac:dyDescent="0.25">
      <c r="A670" s="1" t="s">
        <v>3396</v>
      </c>
      <c r="B670" s="1" t="s">
        <v>3397</v>
      </c>
      <c r="C670" s="1" t="s">
        <v>3398</v>
      </c>
      <c r="D670" s="1">
        <v>2020</v>
      </c>
      <c r="E670" s="1" t="s">
        <v>31</v>
      </c>
      <c r="F670" s="1">
        <v>4</v>
      </c>
      <c r="G670" s="1" t="s">
        <v>32</v>
      </c>
      <c r="H670" s="1" t="s">
        <v>56</v>
      </c>
      <c r="I670" s="1">
        <v>169000</v>
      </c>
      <c r="J670" s="1">
        <v>154000</v>
      </c>
      <c r="K670" s="1">
        <v>15000</v>
      </c>
      <c r="L670" s="1">
        <v>0</v>
      </c>
      <c r="M670" s="1" t="s">
        <v>34</v>
      </c>
      <c r="N670" s="1" t="s">
        <v>70</v>
      </c>
      <c r="O670" s="1" t="s">
        <v>188</v>
      </c>
      <c r="P670" s="1" t="s">
        <v>189</v>
      </c>
      <c r="Q670" s="1" t="s">
        <v>38</v>
      </c>
      <c r="R670" s="1" t="s">
        <v>3399</v>
      </c>
      <c r="S670" s="3">
        <v>918748000000</v>
      </c>
      <c r="T670" s="1" t="s">
        <v>86</v>
      </c>
      <c r="U670" s="1">
        <v>73</v>
      </c>
      <c r="V670" s="1">
        <v>73</v>
      </c>
      <c r="W670" s="1" t="s">
        <v>52</v>
      </c>
      <c r="X670" s="1">
        <v>625199</v>
      </c>
      <c r="Y670" s="2">
        <v>37559</v>
      </c>
      <c r="Z670" s="1">
        <v>-1.8210262828535599</v>
      </c>
      <c r="AA670" s="1">
        <v>21</v>
      </c>
      <c r="AB670" s="1">
        <v>676000</v>
      </c>
      <c r="AC670" s="1">
        <f t="shared" si="10"/>
        <v>736000</v>
      </c>
    </row>
    <row r="671" spans="1:29" x14ac:dyDescent="0.25">
      <c r="A671" s="1" t="s">
        <v>3475</v>
      </c>
      <c r="B671" s="1" t="s">
        <v>3476</v>
      </c>
      <c r="C671" s="1" t="s">
        <v>3477</v>
      </c>
      <c r="D671" s="1">
        <v>2020</v>
      </c>
      <c r="E671" s="1" t="s">
        <v>31</v>
      </c>
      <c r="F671" s="1">
        <v>4</v>
      </c>
      <c r="G671" s="1" t="s">
        <v>32</v>
      </c>
      <c r="H671" s="1" t="s">
        <v>47</v>
      </c>
      <c r="I671" s="1">
        <v>169000</v>
      </c>
      <c r="J671" s="1">
        <v>154000</v>
      </c>
      <c r="K671" s="1">
        <v>15000</v>
      </c>
      <c r="L671" s="1">
        <v>0</v>
      </c>
      <c r="M671" s="1" t="s">
        <v>34</v>
      </c>
      <c r="N671" s="1" t="s">
        <v>63</v>
      </c>
      <c r="O671" s="1" t="s">
        <v>103</v>
      </c>
      <c r="P671" s="1" t="s">
        <v>104</v>
      </c>
      <c r="Q671" s="1" t="s">
        <v>38</v>
      </c>
      <c r="R671" s="1" t="s">
        <v>3478</v>
      </c>
      <c r="S671" s="3">
        <v>918661000000</v>
      </c>
      <c r="T671" s="1" t="s">
        <v>74</v>
      </c>
      <c r="U671" s="1">
        <v>72</v>
      </c>
      <c r="V671" s="1">
        <v>78</v>
      </c>
      <c r="W671" s="1" t="s">
        <v>52</v>
      </c>
      <c r="X671" s="1">
        <v>221242</v>
      </c>
      <c r="Y671" s="2">
        <v>37962</v>
      </c>
      <c r="Z671" s="1">
        <v>-2.8210262828535599</v>
      </c>
      <c r="AA671" s="1">
        <v>20</v>
      </c>
      <c r="AB671" s="1">
        <v>676000</v>
      </c>
      <c r="AC671" s="1">
        <f t="shared" si="10"/>
        <v>736000</v>
      </c>
    </row>
    <row r="672" spans="1:29" x14ac:dyDescent="0.25">
      <c r="A672" s="1" t="s">
        <v>3489</v>
      </c>
      <c r="B672" s="1" t="s">
        <v>3490</v>
      </c>
      <c r="C672" s="1" t="s">
        <v>3491</v>
      </c>
      <c r="D672" s="1">
        <v>2020</v>
      </c>
      <c r="E672" s="1" t="s">
        <v>31</v>
      </c>
      <c r="F672" s="1">
        <v>4</v>
      </c>
      <c r="G672" s="1" t="s">
        <v>32</v>
      </c>
      <c r="H672" s="1" t="s">
        <v>122</v>
      </c>
      <c r="I672" s="1">
        <v>169000</v>
      </c>
      <c r="J672" s="1">
        <v>154000</v>
      </c>
      <c r="K672" s="1">
        <v>15000</v>
      </c>
      <c r="L672" s="1">
        <v>0</v>
      </c>
      <c r="M672" s="1" t="s">
        <v>34</v>
      </c>
      <c r="N672" s="1" t="s">
        <v>35</v>
      </c>
      <c r="O672" s="1" t="s">
        <v>36</v>
      </c>
      <c r="P672" s="1" t="s">
        <v>37</v>
      </c>
      <c r="Q672" s="1" t="s">
        <v>38</v>
      </c>
      <c r="R672" s="1" t="s">
        <v>3492</v>
      </c>
      <c r="S672" s="3">
        <v>917064000000</v>
      </c>
      <c r="T672" s="1" t="s">
        <v>51</v>
      </c>
      <c r="U672" s="1">
        <v>72</v>
      </c>
      <c r="V672" s="1">
        <v>89</v>
      </c>
      <c r="W672" s="1" t="s">
        <v>52</v>
      </c>
      <c r="X672" s="1">
        <v>607775</v>
      </c>
      <c r="Y672" s="2">
        <v>37152</v>
      </c>
      <c r="Z672" s="1">
        <v>-2.8210262828535599</v>
      </c>
      <c r="AA672" s="1">
        <v>22</v>
      </c>
      <c r="AB672" s="1">
        <v>676000</v>
      </c>
      <c r="AC672" s="1">
        <f t="shared" si="10"/>
        <v>736000</v>
      </c>
    </row>
    <row r="673" spans="1:29" x14ac:dyDescent="0.25">
      <c r="A673" s="1" t="s">
        <v>3503</v>
      </c>
      <c r="B673" s="1" t="s">
        <v>3468</v>
      </c>
      <c r="C673" s="1" t="s">
        <v>3469</v>
      </c>
      <c r="D673" s="1">
        <v>2020</v>
      </c>
      <c r="E673" s="1" t="s">
        <v>45</v>
      </c>
      <c r="F673" s="1">
        <v>2</v>
      </c>
      <c r="G673" s="1" t="s">
        <v>46</v>
      </c>
      <c r="H673" s="1" t="s">
        <v>102</v>
      </c>
      <c r="I673" s="1">
        <v>92000</v>
      </c>
      <c r="J673" s="1">
        <v>77000</v>
      </c>
      <c r="K673" s="1">
        <v>15000</v>
      </c>
      <c r="L673" s="1">
        <v>0</v>
      </c>
      <c r="M673" s="1" t="s">
        <v>34</v>
      </c>
      <c r="N673" s="1" t="s">
        <v>35</v>
      </c>
      <c r="O673" s="1" t="s">
        <v>71</v>
      </c>
      <c r="P673" s="1" t="s">
        <v>72</v>
      </c>
      <c r="Q673" s="1" t="s">
        <v>38</v>
      </c>
      <c r="R673" s="1" t="s">
        <v>3504</v>
      </c>
      <c r="S673" s="3">
        <v>918301000000</v>
      </c>
      <c r="T673" s="1" t="s">
        <v>98</v>
      </c>
      <c r="U673" s="1">
        <v>72</v>
      </c>
      <c r="V673" s="1">
        <v>85</v>
      </c>
      <c r="W673" s="1" t="s">
        <v>52</v>
      </c>
      <c r="X673" s="1">
        <v>764396</v>
      </c>
      <c r="Y673" s="2">
        <v>36572</v>
      </c>
      <c r="Z673" s="1">
        <v>-2.8210262828535599</v>
      </c>
      <c r="AA673" s="1">
        <v>24</v>
      </c>
      <c r="AB673" s="1">
        <v>184000</v>
      </c>
      <c r="AC673" s="1">
        <f t="shared" si="10"/>
        <v>214000</v>
      </c>
    </row>
    <row r="674" spans="1:29" x14ac:dyDescent="0.25">
      <c r="A674" s="1" t="s">
        <v>3509</v>
      </c>
      <c r="B674" s="1" t="s">
        <v>3510</v>
      </c>
      <c r="C674" s="1" t="s">
        <v>3511</v>
      </c>
      <c r="D674" s="1">
        <v>2020</v>
      </c>
      <c r="E674" s="1" t="s">
        <v>31</v>
      </c>
      <c r="F674" s="1">
        <v>4</v>
      </c>
      <c r="G674" s="1" t="s">
        <v>32</v>
      </c>
      <c r="H674" s="1" t="s">
        <v>47</v>
      </c>
      <c r="I674" s="1">
        <v>169000</v>
      </c>
      <c r="J674" s="1">
        <v>154000</v>
      </c>
      <c r="K674" s="1">
        <v>15000</v>
      </c>
      <c r="L674" s="1">
        <v>0</v>
      </c>
      <c r="M674" s="1" t="s">
        <v>34</v>
      </c>
      <c r="N674" s="1" t="s">
        <v>63</v>
      </c>
      <c r="O674" s="1" t="s">
        <v>188</v>
      </c>
      <c r="P674" s="1" t="s">
        <v>189</v>
      </c>
      <c r="Q674" s="1" t="s">
        <v>38</v>
      </c>
      <c r="R674" s="1" t="s">
        <v>3512</v>
      </c>
      <c r="S674" s="3">
        <v>919287000000</v>
      </c>
      <c r="T674" s="1" t="s">
        <v>74</v>
      </c>
      <c r="U674" s="1">
        <v>72</v>
      </c>
      <c r="V674" s="1">
        <v>66</v>
      </c>
      <c r="W674" s="1" t="s">
        <v>52</v>
      </c>
      <c r="X674" s="1">
        <v>380903</v>
      </c>
      <c r="Y674" s="2">
        <v>36753</v>
      </c>
      <c r="Z674" s="1">
        <v>-2.8210262828535599</v>
      </c>
      <c r="AA674" s="1">
        <v>23</v>
      </c>
      <c r="AB674" s="1">
        <v>676000</v>
      </c>
      <c r="AC674" s="1">
        <f t="shared" si="10"/>
        <v>736000</v>
      </c>
    </row>
    <row r="675" spans="1:29" x14ac:dyDescent="0.25">
      <c r="A675" s="1" t="s">
        <v>3539</v>
      </c>
      <c r="B675" s="1" t="s">
        <v>3540</v>
      </c>
      <c r="C675" s="1" t="s">
        <v>3541</v>
      </c>
      <c r="D675" s="1">
        <v>2020</v>
      </c>
      <c r="E675" s="1" t="s">
        <v>31</v>
      </c>
      <c r="F675" s="1">
        <v>4</v>
      </c>
      <c r="G675" s="1" t="s">
        <v>32</v>
      </c>
      <c r="H675" s="1" t="s">
        <v>90</v>
      </c>
      <c r="I675" s="1">
        <v>169000</v>
      </c>
      <c r="J675" s="1">
        <v>154000</v>
      </c>
      <c r="K675" s="1">
        <v>15000</v>
      </c>
      <c r="L675" s="1">
        <v>0</v>
      </c>
      <c r="M675" s="1" t="s">
        <v>34</v>
      </c>
      <c r="N675" s="1" t="s">
        <v>35</v>
      </c>
      <c r="O675" s="1" t="s">
        <v>71</v>
      </c>
      <c r="P675" s="1" t="s">
        <v>72</v>
      </c>
      <c r="Q675" s="1" t="s">
        <v>38</v>
      </c>
      <c r="R675" s="1" t="s">
        <v>3542</v>
      </c>
      <c r="S675" s="3">
        <v>917549000000</v>
      </c>
      <c r="T675" s="1" t="s">
        <v>51</v>
      </c>
      <c r="U675" s="1">
        <v>72</v>
      </c>
      <c r="V675" s="1">
        <v>81</v>
      </c>
      <c r="W675" s="1" t="s">
        <v>52</v>
      </c>
      <c r="X675" s="1">
        <v>556424</v>
      </c>
      <c r="Y675" s="2">
        <v>37306</v>
      </c>
      <c r="Z675" s="1">
        <v>-2.8210262828535599</v>
      </c>
      <c r="AA675" s="1">
        <v>22</v>
      </c>
      <c r="AB675" s="1">
        <v>676000</v>
      </c>
      <c r="AC675" s="1">
        <f t="shared" si="10"/>
        <v>736000</v>
      </c>
    </row>
    <row r="676" spans="1:29" x14ac:dyDescent="0.25">
      <c r="A676" s="1" t="s">
        <v>3543</v>
      </c>
      <c r="B676" s="1" t="s">
        <v>3544</v>
      </c>
      <c r="C676" s="1" t="s">
        <v>3545</v>
      </c>
      <c r="D676" s="1">
        <v>2020</v>
      </c>
      <c r="E676" s="1" t="s">
        <v>31</v>
      </c>
      <c r="F676" s="1">
        <v>4</v>
      </c>
      <c r="G676" s="1" t="s">
        <v>32</v>
      </c>
      <c r="H676" s="1" t="s">
        <v>90</v>
      </c>
      <c r="I676" s="1">
        <v>169000</v>
      </c>
      <c r="J676" s="1">
        <v>154000</v>
      </c>
      <c r="K676" s="1">
        <v>15000</v>
      </c>
      <c r="L676" s="1">
        <v>0</v>
      </c>
      <c r="M676" s="1" t="s">
        <v>34</v>
      </c>
      <c r="N676" s="1" t="s">
        <v>35</v>
      </c>
      <c r="O676" s="1" t="s">
        <v>64</v>
      </c>
      <c r="P676" s="1" t="s">
        <v>65</v>
      </c>
      <c r="Q676" s="1" t="s">
        <v>38</v>
      </c>
      <c r="R676" s="1" t="s">
        <v>3546</v>
      </c>
      <c r="S676" s="3">
        <v>919509000000</v>
      </c>
      <c r="T676" s="1" t="s">
        <v>86</v>
      </c>
      <c r="U676" s="1">
        <v>72</v>
      </c>
      <c r="V676" s="1">
        <v>70</v>
      </c>
      <c r="W676" s="1" t="s">
        <v>52</v>
      </c>
      <c r="X676" s="1">
        <v>287601</v>
      </c>
      <c r="Y676" s="2">
        <v>38436</v>
      </c>
      <c r="Z676" s="1">
        <v>-2.8210262828535599</v>
      </c>
      <c r="AA676" s="1">
        <v>19</v>
      </c>
      <c r="AB676" s="1">
        <v>676000</v>
      </c>
      <c r="AC676" s="1">
        <f t="shared" si="10"/>
        <v>736000</v>
      </c>
    </row>
    <row r="677" spans="1:29" x14ac:dyDescent="0.25">
      <c r="A677" s="1" t="s">
        <v>3551</v>
      </c>
      <c r="B677" s="1" t="s">
        <v>2040</v>
      </c>
      <c r="C677" s="1" t="s">
        <v>2041</v>
      </c>
      <c r="D677" s="1">
        <v>2020</v>
      </c>
      <c r="E677" s="1" t="s">
        <v>45</v>
      </c>
      <c r="F677" s="1">
        <v>2</v>
      </c>
      <c r="G677" s="1" t="s">
        <v>46</v>
      </c>
      <c r="H677" s="1" t="s">
        <v>90</v>
      </c>
      <c r="I677" s="1">
        <v>92000</v>
      </c>
      <c r="J677" s="1">
        <v>77000</v>
      </c>
      <c r="K677" s="1">
        <v>15000</v>
      </c>
      <c r="L677" s="1">
        <v>0</v>
      </c>
      <c r="M677" s="1" t="s">
        <v>34</v>
      </c>
      <c r="N677" s="1" t="s">
        <v>70</v>
      </c>
      <c r="O677" s="1" t="s">
        <v>78</v>
      </c>
      <c r="P677" s="1" t="s">
        <v>79</v>
      </c>
      <c r="Q677" s="1" t="s">
        <v>38</v>
      </c>
      <c r="R677" s="1" t="s">
        <v>3552</v>
      </c>
      <c r="S677" s="3">
        <v>917804000000</v>
      </c>
      <c r="T677" s="1" t="s">
        <v>98</v>
      </c>
      <c r="U677" s="1">
        <v>72</v>
      </c>
      <c r="V677" s="1">
        <v>61</v>
      </c>
      <c r="W677" s="1" t="s">
        <v>41</v>
      </c>
      <c r="X677" s="1">
        <v>729421</v>
      </c>
      <c r="Y677" s="2">
        <v>36606</v>
      </c>
      <c r="Z677" s="1">
        <v>-2.8210262828535599</v>
      </c>
      <c r="AA677" s="1">
        <v>24</v>
      </c>
      <c r="AB677" s="1">
        <v>184000</v>
      </c>
      <c r="AC677" s="1">
        <f t="shared" si="10"/>
        <v>214000</v>
      </c>
    </row>
    <row r="678" spans="1:29" x14ac:dyDescent="0.25">
      <c r="A678" s="1" t="s">
        <v>3555</v>
      </c>
      <c r="B678" s="1" t="s">
        <v>2070</v>
      </c>
      <c r="C678" s="1" t="s">
        <v>2071</v>
      </c>
      <c r="D678" s="1">
        <v>2020</v>
      </c>
      <c r="E678" s="1" t="s">
        <v>45</v>
      </c>
      <c r="F678" s="1">
        <v>2</v>
      </c>
      <c r="G678" s="1" t="s">
        <v>46</v>
      </c>
      <c r="H678" s="1" t="s">
        <v>113</v>
      </c>
      <c r="I678" s="1">
        <v>92000</v>
      </c>
      <c r="J678" s="1">
        <v>77000</v>
      </c>
      <c r="K678" s="1">
        <v>15000</v>
      </c>
      <c r="L678" s="1">
        <v>0</v>
      </c>
      <c r="M678" s="1" t="s">
        <v>34</v>
      </c>
      <c r="N678" s="1" t="s">
        <v>70</v>
      </c>
      <c r="O678" s="1" t="s">
        <v>36</v>
      </c>
      <c r="P678" s="1" t="s">
        <v>37</v>
      </c>
      <c r="Q678" s="1" t="s">
        <v>38</v>
      </c>
      <c r="R678" s="1" t="s">
        <v>3556</v>
      </c>
      <c r="S678" s="3">
        <v>918097000000</v>
      </c>
      <c r="T678" s="1" t="s">
        <v>51</v>
      </c>
      <c r="U678" s="1">
        <v>72</v>
      </c>
      <c r="V678" s="1">
        <v>67</v>
      </c>
      <c r="W678" s="1" t="s">
        <v>52</v>
      </c>
      <c r="X678" s="1">
        <v>241378</v>
      </c>
      <c r="Y678" s="2">
        <v>35517</v>
      </c>
      <c r="Z678" s="1">
        <v>-2.8210262828535599</v>
      </c>
      <c r="AA678" s="1">
        <v>27</v>
      </c>
      <c r="AB678" s="1">
        <v>184000</v>
      </c>
      <c r="AC678" s="1">
        <f t="shared" si="10"/>
        <v>214000</v>
      </c>
    </row>
    <row r="679" spans="1:29" x14ac:dyDescent="0.25">
      <c r="A679" s="1" t="s">
        <v>3557</v>
      </c>
      <c r="B679" s="1" t="s">
        <v>3558</v>
      </c>
      <c r="C679" s="1" t="s">
        <v>3559</v>
      </c>
      <c r="D679" s="1">
        <v>2020</v>
      </c>
      <c r="E679" s="1" t="s">
        <v>31</v>
      </c>
      <c r="F679" s="1">
        <v>4</v>
      </c>
      <c r="G679" s="1" t="s">
        <v>32</v>
      </c>
      <c r="H679" s="1" t="s">
        <v>62</v>
      </c>
      <c r="I679" s="1">
        <v>169000</v>
      </c>
      <c r="J679" s="1">
        <v>154000</v>
      </c>
      <c r="K679" s="1">
        <v>15000</v>
      </c>
      <c r="L679" s="1">
        <v>0</v>
      </c>
      <c r="M679" s="1" t="s">
        <v>34</v>
      </c>
      <c r="N679" s="1" t="s">
        <v>70</v>
      </c>
      <c r="O679" s="1" t="s">
        <v>188</v>
      </c>
      <c r="P679" s="1" t="s">
        <v>189</v>
      </c>
      <c r="Q679" s="1" t="s">
        <v>38</v>
      </c>
      <c r="R679" s="1" t="s">
        <v>3560</v>
      </c>
      <c r="S679" s="3">
        <v>917539000000</v>
      </c>
      <c r="T679" s="1" t="s">
        <v>86</v>
      </c>
      <c r="U679" s="1">
        <v>72</v>
      </c>
      <c r="V679" s="1">
        <v>92</v>
      </c>
      <c r="W679" s="1" t="s">
        <v>52</v>
      </c>
      <c r="X679" s="1">
        <v>300600</v>
      </c>
      <c r="Y679" s="2">
        <v>37361</v>
      </c>
      <c r="Z679" s="1">
        <v>-2.8210262828535599</v>
      </c>
      <c r="AA679" s="1">
        <v>22</v>
      </c>
      <c r="AB679" s="1">
        <v>676000</v>
      </c>
      <c r="AC679" s="1">
        <f t="shared" si="10"/>
        <v>736000</v>
      </c>
    </row>
    <row r="680" spans="1:29" x14ac:dyDescent="0.25">
      <c r="A680" s="1" t="s">
        <v>3565</v>
      </c>
      <c r="B680" s="1" t="s">
        <v>3566</v>
      </c>
      <c r="C680" s="1" t="s">
        <v>3567</v>
      </c>
      <c r="D680" s="1">
        <v>2020</v>
      </c>
      <c r="E680" s="1" t="s">
        <v>31</v>
      </c>
      <c r="F680" s="1">
        <v>4</v>
      </c>
      <c r="G680" s="1" t="s">
        <v>32</v>
      </c>
      <c r="H680" s="1" t="s">
        <v>33</v>
      </c>
      <c r="I680" s="1">
        <v>169000</v>
      </c>
      <c r="J680" s="1">
        <v>154000</v>
      </c>
      <c r="K680" s="1">
        <v>15000</v>
      </c>
      <c r="L680" s="1">
        <v>0</v>
      </c>
      <c r="M680" s="1" t="s">
        <v>34</v>
      </c>
      <c r="N680" s="1" t="s">
        <v>70</v>
      </c>
      <c r="O680" s="1" t="s">
        <v>36</v>
      </c>
      <c r="P680" s="1" t="s">
        <v>37</v>
      </c>
      <c r="Q680" s="1" t="s">
        <v>38</v>
      </c>
      <c r="R680" s="1" t="s">
        <v>3568</v>
      </c>
      <c r="S680" s="3">
        <v>917780000000</v>
      </c>
      <c r="T680" s="1" t="s">
        <v>51</v>
      </c>
      <c r="U680" s="1">
        <v>72</v>
      </c>
      <c r="V680" s="1">
        <v>81</v>
      </c>
      <c r="W680" s="1" t="s">
        <v>52</v>
      </c>
      <c r="X680" s="1">
        <v>524669</v>
      </c>
      <c r="Y680" s="2">
        <v>38561</v>
      </c>
      <c r="Z680" s="1">
        <v>-2.8210262828535599</v>
      </c>
      <c r="AA680" s="1">
        <v>18</v>
      </c>
      <c r="AB680" s="1">
        <v>676000</v>
      </c>
      <c r="AC680" s="1">
        <f t="shared" si="10"/>
        <v>736000</v>
      </c>
    </row>
    <row r="681" spans="1:29" x14ac:dyDescent="0.25">
      <c r="A681" s="1" t="s">
        <v>3579</v>
      </c>
      <c r="B681" s="1" t="s">
        <v>3580</v>
      </c>
      <c r="C681" s="1" t="s">
        <v>3581</v>
      </c>
      <c r="D681" s="1">
        <v>2020</v>
      </c>
      <c r="E681" s="1" t="s">
        <v>31</v>
      </c>
      <c r="F681" s="1">
        <v>4</v>
      </c>
      <c r="G681" s="1" t="s">
        <v>32</v>
      </c>
      <c r="H681" s="1" t="s">
        <v>62</v>
      </c>
      <c r="I681" s="1">
        <v>169000</v>
      </c>
      <c r="J681" s="1">
        <v>154000</v>
      </c>
      <c r="K681" s="1">
        <v>15000</v>
      </c>
      <c r="L681" s="1">
        <v>0</v>
      </c>
      <c r="M681" s="1" t="s">
        <v>34</v>
      </c>
      <c r="N681" s="1" t="s">
        <v>63</v>
      </c>
      <c r="O681" s="1" t="s">
        <v>91</v>
      </c>
      <c r="P681" s="1" t="s">
        <v>92</v>
      </c>
      <c r="Q681" s="1" t="s">
        <v>38</v>
      </c>
      <c r="R681" s="1" t="s">
        <v>3582</v>
      </c>
      <c r="S681" s="3">
        <v>919122000000</v>
      </c>
      <c r="T681" s="1" t="s">
        <v>74</v>
      </c>
      <c r="U681" s="1">
        <v>72</v>
      </c>
      <c r="V681" s="1">
        <v>92</v>
      </c>
      <c r="W681" s="1" t="s">
        <v>52</v>
      </c>
      <c r="X681" s="1">
        <v>563059</v>
      </c>
      <c r="Y681" s="2">
        <v>38784</v>
      </c>
      <c r="Z681" s="1">
        <v>-2.8210262828535599</v>
      </c>
      <c r="AA681" s="1">
        <v>18</v>
      </c>
      <c r="AB681" s="1">
        <v>676000</v>
      </c>
      <c r="AC681" s="1">
        <f t="shared" si="10"/>
        <v>736000</v>
      </c>
    </row>
    <row r="682" spans="1:29" x14ac:dyDescent="0.25">
      <c r="A682" s="1" t="s">
        <v>3583</v>
      </c>
      <c r="B682" s="1" t="s">
        <v>3584</v>
      </c>
      <c r="C682" s="1" t="s">
        <v>3585</v>
      </c>
      <c r="D682" s="1">
        <v>2020</v>
      </c>
      <c r="E682" s="1" t="s">
        <v>31</v>
      </c>
      <c r="F682" s="1">
        <v>4</v>
      </c>
      <c r="G682" s="1" t="s">
        <v>32</v>
      </c>
      <c r="H682" s="1" t="s">
        <v>47</v>
      </c>
      <c r="I682" s="1">
        <v>169000</v>
      </c>
      <c r="J682" s="1">
        <v>154000</v>
      </c>
      <c r="K682" s="1">
        <v>15000</v>
      </c>
      <c r="L682" s="1">
        <v>0</v>
      </c>
      <c r="M682" s="1" t="s">
        <v>34</v>
      </c>
      <c r="N682" s="1" t="s">
        <v>35</v>
      </c>
      <c r="O682" s="1" t="s">
        <v>48</v>
      </c>
      <c r="P682" s="1" t="s">
        <v>49</v>
      </c>
      <c r="Q682" s="1" t="s">
        <v>38</v>
      </c>
      <c r="R682" s="1" t="s">
        <v>3586</v>
      </c>
      <c r="S682" s="3">
        <v>919200000000</v>
      </c>
      <c r="T682" s="1" t="s">
        <v>74</v>
      </c>
      <c r="U682" s="1">
        <v>72</v>
      </c>
      <c r="V682" s="1">
        <v>79</v>
      </c>
      <c r="W682" s="1" t="s">
        <v>41</v>
      </c>
      <c r="X682" s="1">
        <v>631814</v>
      </c>
      <c r="Y682" s="2">
        <v>37421</v>
      </c>
      <c r="Z682" s="1">
        <v>-2.8210262828535599</v>
      </c>
      <c r="AA682" s="1">
        <v>22</v>
      </c>
      <c r="AB682" s="1">
        <v>676000</v>
      </c>
      <c r="AC682" s="1">
        <f t="shared" si="10"/>
        <v>736000</v>
      </c>
    </row>
    <row r="683" spans="1:29" x14ac:dyDescent="0.25">
      <c r="A683" s="1" t="s">
        <v>3589</v>
      </c>
      <c r="B683" s="1" t="s">
        <v>3590</v>
      </c>
      <c r="C683" s="1" t="s">
        <v>3591</v>
      </c>
      <c r="D683" s="1">
        <v>2020</v>
      </c>
      <c r="E683" s="1" t="s">
        <v>31</v>
      </c>
      <c r="F683" s="1">
        <v>4</v>
      </c>
      <c r="G683" s="1" t="s">
        <v>32</v>
      </c>
      <c r="H683" s="1" t="s">
        <v>56</v>
      </c>
      <c r="I683" s="1">
        <v>169000</v>
      </c>
      <c r="J683" s="1">
        <v>154000</v>
      </c>
      <c r="K683" s="1">
        <v>15000</v>
      </c>
      <c r="L683" s="1">
        <v>0</v>
      </c>
      <c r="M683" s="1" t="s">
        <v>34</v>
      </c>
      <c r="N683" s="1" t="s">
        <v>70</v>
      </c>
      <c r="O683" s="1" t="s">
        <v>57</v>
      </c>
      <c r="P683" s="1" t="s">
        <v>57</v>
      </c>
      <c r="Q683" s="1" t="s">
        <v>38</v>
      </c>
      <c r="R683" s="1" t="s">
        <v>3592</v>
      </c>
      <c r="S683" s="3">
        <v>918238000000</v>
      </c>
      <c r="T683" s="1" t="s">
        <v>74</v>
      </c>
      <c r="U683" s="1">
        <v>72</v>
      </c>
      <c r="V683" s="1">
        <v>60</v>
      </c>
      <c r="W683" s="1" t="s">
        <v>41</v>
      </c>
      <c r="X683" s="1">
        <v>108164</v>
      </c>
      <c r="Y683" s="2">
        <v>37842</v>
      </c>
      <c r="Z683" s="1">
        <v>-2.8210262828535599</v>
      </c>
      <c r="AA683" s="1">
        <v>20</v>
      </c>
      <c r="AB683" s="1">
        <v>676000</v>
      </c>
      <c r="AC683" s="1">
        <f t="shared" si="10"/>
        <v>736000</v>
      </c>
    </row>
    <row r="684" spans="1:29" x14ac:dyDescent="0.25">
      <c r="A684" s="1" t="s">
        <v>3593</v>
      </c>
      <c r="B684" s="1" t="s">
        <v>3594</v>
      </c>
      <c r="C684" s="1" t="s">
        <v>3595</v>
      </c>
      <c r="D684" s="1">
        <v>2020</v>
      </c>
      <c r="E684" s="1" t="s">
        <v>31</v>
      </c>
      <c r="F684" s="1">
        <v>4</v>
      </c>
      <c r="G684" s="1" t="s">
        <v>32</v>
      </c>
      <c r="H684" s="1" t="s">
        <v>56</v>
      </c>
      <c r="I684" s="1">
        <v>169000</v>
      </c>
      <c r="J684" s="1">
        <v>154000</v>
      </c>
      <c r="K684" s="1">
        <v>15000</v>
      </c>
      <c r="L684" s="1">
        <v>0</v>
      </c>
      <c r="M684" s="1" t="s">
        <v>34</v>
      </c>
      <c r="N684" s="1" t="s">
        <v>63</v>
      </c>
      <c r="O684" s="1" t="s">
        <v>36</v>
      </c>
      <c r="P684" s="1" t="s">
        <v>37</v>
      </c>
      <c r="Q684" s="1" t="s">
        <v>38</v>
      </c>
      <c r="R684" s="1" t="s">
        <v>3596</v>
      </c>
      <c r="S684" s="3">
        <v>919744000000</v>
      </c>
      <c r="T684" s="1" t="s">
        <v>98</v>
      </c>
      <c r="U684" s="1">
        <v>72</v>
      </c>
      <c r="V684" s="1">
        <v>92</v>
      </c>
      <c r="W684" s="1" t="s">
        <v>52</v>
      </c>
      <c r="X684" s="1">
        <v>248082</v>
      </c>
      <c r="Y684" s="2">
        <v>38746</v>
      </c>
      <c r="Z684" s="1">
        <v>-2.8210262828535599</v>
      </c>
      <c r="AA684" s="1">
        <v>18</v>
      </c>
      <c r="AB684" s="1">
        <v>676000</v>
      </c>
      <c r="AC684" s="1">
        <f t="shared" si="10"/>
        <v>736000</v>
      </c>
    </row>
    <row r="685" spans="1:29" x14ac:dyDescent="0.25">
      <c r="A685" s="1" t="s">
        <v>3614</v>
      </c>
      <c r="B685" s="1" t="s">
        <v>3615</v>
      </c>
      <c r="C685" s="1" t="s">
        <v>3616</v>
      </c>
      <c r="D685" s="1">
        <v>2020</v>
      </c>
      <c r="E685" s="1" t="s">
        <v>31</v>
      </c>
      <c r="F685" s="1">
        <v>4</v>
      </c>
      <c r="G685" s="1" t="s">
        <v>32</v>
      </c>
      <c r="H685" s="1" t="s">
        <v>33</v>
      </c>
      <c r="I685" s="1">
        <v>169000</v>
      </c>
      <c r="J685" s="1">
        <v>154000</v>
      </c>
      <c r="K685" s="1">
        <v>15000</v>
      </c>
      <c r="L685" s="1">
        <v>0</v>
      </c>
      <c r="M685" s="1" t="s">
        <v>34</v>
      </c>
      <c r="N685" s="1" t="s">
        <v>63</v>
      </c>
      <c r="O685" s="1" t="s">
        <v>36</v>
      </c>
      <c r="P685" s="1" t="s">
        <v>37</v>
      </c>
      <c r="Q685" s="1" t="s">
        <v>38</v>
      </c>
      <c r="R685" s="1" t="s">
        <v>3617</v>
      </c>
      <c r="S685" s="3">
        <v>917114000000</v>
      </c>
      <c r="T685" s="1" t="s">
        <v>40</v>
      </c>
      <c r="U685" s="1">
        <v>72</v>
      </c>
      <c r="V685" s="1">
        <v>66</v>
      </c>
      <c r="W685" s="1" t="s">
        <v>41</v>
      </c>
      <c r="X685" s="1">
        <v>192699</v>
      </c>
      <c r="Y685" s="2">
        <v>36803</v>
      </c>
      <c r="Z685" s="1">
        <v>-2.8210262828535599</v>
      </c>
      <c r="AA685" s="1">
        <v>23</v>
      </c>
      <c r="AB685" s="1">
        <v>676000</v>
      </c>
      <c r="AC685" s="1">
        <f t="shared" si="10"/>
        <v>736000</v>
      </c>
    </row>
    <row r="686" spans="1:29" x14ac:dyDescent="0.25">
      <c r="A686" s="1" t="s">
        <v>3674</v>
      </c>
      <c r="B686" s="1" t="s">
        <v>3675</v>
      </c>
      <c r="C686" s="1" t="s">
        <v>3676</v>
      </c>
      <c r="D686" s="1">
        <v>2020</v>
      </c>
      <c r="E686" s="1" t="s">
        <v>31</v>
      </c>
      <c r="F686" s="1">
        <v>4</v>
      </c>
      <c r="G686" s="1" t="s">
        <v>32</v>
      </c>
      <c r="H686" s="1" t="s">
        <v>151</v>
      </c>
      <c r="I686" s="1">
        <v>169000</v>
      </c>
      <c r="J686" s="1">
        <v>154000</v>
      </c>
      <c r="K686" s="1">
        <v>15000</v>
      </c>
      <c r="L686" s="1">
        <v>0</v>
      </c>
      <c r="M686" s="1" t="s">
        <v>34</v>
      </c>
      <c r="N686" s="1" t="s">
        <v>35</v>
      </c>
      <c r="O686" s="1" t="s">
        <v>64</v>
      </c>
      <c r="P686" s="1" t="s">
        <v>65</v>
      </c>
      <c r="Q686" s="1" t="s">
        <v>38</v>
      </c>
      <c r="R686" s="1" t="s">
        <v>3677</v>
      </c>
      <c r="S686" s="3">
        <v>919077000000</v>
      </c>
      <c r="T686" s="1" t="s">
        <v>98</v>
      </c>
      <c r="U686" s="1">
        <v>72</v>
      </c>
      <c r="V686" s="1">
        <v>88</v>
      </c>
      <c r="W686" s="1" t="s">
        <v>52</v>
      </c>
      <c r="X686" s="1">
        <v>628916</v>
      </c>
      <c r="Y686" s="2">
        <v>38418</v>
      </c>
      <c r="Z686" s="1">
        <v>-2.8210262828535599</v>
      </c>
      <c r="AA686" s="1">
        <v>19</v>
      </c>
      <c r="AB686" s="1">
        <v>676000</v>
      </c>
      <c r="AC686" s="1">
        <f t="shared" si="10"/>
        <v>736000</v>
      </c>
    </row>
    <row r="687" spans="1:29" x14ac:dyDescent="0.25">
      <c r="A687" s="1" t="s">
        <v>3723</v>
      </c>
      <c r="B687" s="1" t="s">
        <v>3724</v>
      </c>
      <c r="C687" s="1" t="s">
        <v>3725</v>
      </c>
      <c r="D687" s="1">
        <v>2020</v>
      </c>
      <c r="E687" s="1" t="s">
        <v>31</v>
      </c>
      <c r="F687" s="1">
        <v>4</v>
      </c>
      <c r="G687" s="1" t="s">
        <v>32</v>
      </c>
      <c r="H687" s="1" t="s">
        <v>47</v>
      </c>
      <c r="I687" s="1">
        <v>169000</v>
      </c>
      <c r="J687" s="1">
        <v>154000</v>
      </c>
      <c r="K687" s="1">
        <v>15000</v>
      </c>
      <c r="L687" s="1">
        <v>0</v>
      </c>
      <c r="M687" s="1" t="s">
        <v>34</v>
      </c>
      <c r="N687" s="1" t="s">
        <v>63</v>
      </c>
      <c r="O687" s="1" t="s">
        <v>78</v>
      </c>
      <c r="P687" s="1" t="s">
        <v>79</v>
      </c>
      <c r="Q687" s="1" t="s">
        <v>38</v>
      </c>
      <c r="R687" s="1" t="s">
        <v>3726</v>
      </c>
      <c r="S687" s="3">
        <v>917331000000</v>
      </c>
      <c r="T687" s="1" t="s">
        <v>98</v>
      </c>
      <c r="U687" s="1">
        <v>71</v>
      </c>
      <c r="V687" s="1">
        <v>63</v>
      </c>
      <c r="W687" s="1" t="s">
        <v>41</v>
      </c>
      <c r="X687" s="1">
        <v>705119</v>
      </c>
      <c r="Y687" s="2">
        <v>38355</v>
      </c>
      <c r="Z687" s="1">
        <v>-3.8210262828535599</v>
      </c>
      <c r="AA687" s="1">
        <v>19</v>
      </c>
      <c r="AB687" s="1">
        <v>676000</v>
      </c>
      <c r="AC687" s="1">
        <f t="shared" si="10"/>
        <v>736000</v>
      </c>
    </row>
    <row r="688" spans="1:29" x14ac:dyDescent="0.25">
      <c r="A688" s="1" t="s">
        <v>3731</v>
      </c>
      <c r="B688" s="1" t="s">
        <v>3732</v>
      </c>
      <c r="C688" s="1" t="s">
        <v>3733</v>
      </c>
      <c r="D688" s="1">
        <v>2020</v>
      </c>
      <c r="E688" s="1" t="s">
        <v>31</v>
      </c>
      <c r="F688" s="1">
        <v>4</v>
      </c>
      <c r="G688" s="1" t="s">
        <v>32</v>
      </c>
      <c r="H688" s="1" t="s">
        <v>113</v>
      </c>
      <c r="I688" s="1">
        <v>169000</v>
      </c>
      <c r="J688" s="1">
        <v>154000</v>
      </c>
      <c r="K688" s="1">
        <v>15000</v>
      </c>
      <c r="L688" s="1">
        <v>0</v>
      </c>
      <c r="M688" s="1" t="s">
        <v>34</v>
      </c>
      <c r="N688" s="1" t="s">
        <v>63</v>
      </c>
      <c r="O688" s="1" t="s">
        <v>64</v>
      </c>
      <c r="P688" s="1" t="s">
        <v>65</v>
      </c>
      <c r="Q688" s="1" t="s">
        <v>38</v>
      </c>
      <c r="R688" s="1" t="s">
        <v>3734</v>
      </c>
      <c r="S688" s="3">
        <v>918886000000</v>
      </c>
      <c r="T688" s="1" t="s">
        <v>74</v>
      </c>
      <c r="U688" s="1">
        <v>71</v>
      </c>
      <c r="V688" s="1">
        <v>63</v>
      </c>
      <c r="W688" s="1" t="s">
        <v>41</v>
      </c>
      <c r="X688" s="1">
        <v>350145</v>
      </c>
      <c r="Y688" s="2">
        <v>37018</v>
      </c>
      <c r="Z688" s="1">
        <v>-3.8210262828535599</v>
      </c>
      <c r="AA688" s="1">
        <v>23</v>
      </c>
      <c r="AB688" s="1">
        <v>676000</v>
      </c>
      <c r="AC688" s="1">
        <f t="shared" si="10"/>
        <v>736000</v>
      </c>
    </row>
    <row r="689" spans="1:29" x14ac:dyDescent="0.25">
      <c r="A689" s="1" t="s">
        <v>3753</v>
      </c>
      <c r="B689" s="1" t="s">
        <v>3754</v>
      </c>
      <c r="C689" s="1" t="s">
        <v>3755</v>
      </c>
      <c r="D689" s="1">
        <v>2020</v>
      </c>
      <c r="E689" s="1" t="s">
        <v>31</v>
      </c>
      <c r="F689" s="1">
        <v>4</v>
      </c>
      <c r="G689" s="1" t="s">
        <v>32</v>
      </c>
      <c r="H689" s="1" t="s">
        <v>102</v>
      </c>
      <c r="I689" s="1">
        <v>169000</v>
      </c>
      <c r="J689" s="1">
        <v>154000</v>
      </c>
      <c r="K689" s="1">
        <v>15000</v>
      </c>
      <c r="L689" s="1">
        <v>0</v>
      </c>
      <c r="M689" s="1" t="s">
        <v>34</v>
      </c>
      <c r="N689" s="1" t="s">
        <v>70</v>
      </c>
      <c r="O689" s="1" t="s">
        <v>64</v>
      </c>
      <c r="P689" s="1" t="s">
        <v>65</v>
      </c>
      <c r="Q689" s="1" t="s">
        <v>38</v>
      </c>
      <c r="R689" s="1" t="s">
        <v>3756</v>
      </c>
      <c r="S689" s="3">
        <v>918355000000</v>
      </c>
      <c r="T689" s="1" t="s">
        <v>86</v>
      </c>
      <c r="U689" s="1">
        <v>71</v>
      </c>
      <c r="V689" s="1">
        <v>73</v>
      </c>
      <c r="W689" s="1" t="s">
        <v>52</v>
      </c>
      <c r="X689" s="1">
        <v>243661</v>
      </c>
      <c r="Y689" s="2">
        <v>37497</v>
      </c>
      <c r="Z689" s="1">
        <v>-3.8210262828535599</v>
      </c>
      <c r="AA689" s="1">
        <v>21</v>
      </c>
      <c r="AB689" s="1">
        <v>676000</v>
      </c>
      <c r="AC689" s="1">
        <f t="shared" si="10"/>
        <v>736000</v>
      </c>
    </row>
    <row r="690" spans="1:29" x14ac:dyDescent="0.25">
      <c r="A690" s="1" t="s">
        <v>3761</v>
      </c>
      <c r="B690" s="1" t="s">
        <v>2851</v>
      </c>
      <c r="C690" s="1" t="s">
        <v>2852</v>
      </c>
      <c r="D690" s="1">
        <v>2020</v>
      </c>
      <c r="E690" s="1" t="s">
        <v>45</v>
      </c>
      <c r="F690" s="1">
        <v>2</v>
      </c>
      <c r="G690" s="1" t="s">
        <v>46</v>
      </c>
      <c r="H690" s="1" t="s">
        <v>113</v>
      </c>
      <c r="I690" s="1">
        <v>92000</v>
      </c>
      <c r="J690" s="1">
        <v>77000</v>
      </c>
      <c r="K690" s="1">
        <v>15000</v>
      </c>
      <c r="L690" s="1">
        <v>0</v>
      </c>
      <c r="M690" s="1" t="s">
        <v>34</v>
      </c>
      <c r="N690" s="1" t="s">
        <v>35</v>
      </c>
      <c r="O690" s="1" t="s">
        <v>71</v>
      </c>
      <c r="P690" s="1" t="s">
        <v>72</v>
      </c>
      <c r="Q690" s="1" t="s">
        <v>38</v>
      </c>
      <c r="R690" s="1" t="s">
        <v>3762</v>
      </c>
      <c r="S690" s="3">
        <v>917762000000</v>
      </c>
      <c r="T690" s="1" t="s">
        <v>74</v>
      </c>
      <c r="U690" s="1">
        <v>71</v>
      </c>
      <c r="V690" s="1">
        <v>63</v>
      </c>
      <c r="W690" s="1" t="s">
        <v>41</v>
      </c>
      <c r="X690" s="1">
        <v>364395</v>
      </c>
      <c r="Y690" s="2">
        <v>37237</v>
      </c>
      <c r="Z690" s="1">
        <v>-3.8210262828535599</v>
      </c>
      <c r="AA690" s="1">
        <v>22</v>
      </c>
      <c r="AB690" s="1">
        <v>184000</v>
      </c>
      <c r="AC690" s="1">
        <f t="shared" si="10"/>
        <v>214000</v>
      </c>
    </row>
    <row r="691" spans="1:29" x14ac:dyDescent="0.25">
      <c r="A691" s="1" t="s">
        <v>3773</v>
      </c>
      <c r="B691" s="1" t="s">
        <v>3774</v>
      </c>
      <c r="C691" s="1" t="s">
        <v>3775</v>
      </c>
      <c r="D691" s="1">
        <v>2020</v>
      </c>
      <c r="E691" s="1" t="s">
        <v>31</v>
      </c>
      <c r="F691" s="1">
        <v>4</v>
      </c>
      <c r="G691" s="1" t="s">
        <v>32</v>
      </c>
      <c r="H691" s="1" t="s">
        <v>210</v>
      </c>
      <c r="I691" s="1">
        <v>169000</v>
      </c>
      <c r="J691" s="1">
        <v>154000</v>
      </c>
      <c r="K691" s="1">
        <v>15000</v>
      </c>
      <c r="L691" s="1">
        <v>0</v>
      </c>
      <c r="M691" s="1" t="s">
        <v>34</v>
      </c>
      <c r="N691" s="1" t="s">
        <v>35</v>
      </c>
      <c r="O691" s="1" t="s">
        <v>188</v>
      </c>
      <c r="P691" s="1" t="s">
        <v>189</v>
      </c>
      <c r="Q691" s="1" t="s">
        <v>38</v>
      </c>
      <c r="R691" s="1" t="s">
        <v>3776</v>
      </c>
      <c r="S691" s="3">
        <v>919043000000</v>
      </c>
      <c r="T691" s="1" t="s">
        <v>86</v>
      </c>
      <c r="U691" s="1">
        <v>71</v>
      </c>
      <c r="V691" s="1">
        <v>85</v>
      </c>
      <c r="W691" s="1" t="s">
        <v>52</v>
      </c>
      <c r="X691" s="1">
        <v>403954</v>
      </c>
      <c r="Y691" s="2">
        <v>38186</v>
      </c>
      <c r="Z691" s="1">
        <v>-3.8210262828535599</v>
      </c>
      <c r="AA691" s="1">
        <v>19</v>
      </c>
      <c r="AB691" s="1">
        <v>676000</v>
      </c>
      <c r="AC691" s="1">
        <f t="shared" si="10"/>
        <v>736000</v>
      </c>
    </row>
    <row r="692" spans="1:29" x14ac:dyDescent="0.25">
      <c r="A692" s="1" t="s">
        <v>3777</v>
      </c>
      <c r="B692" s="1" t="s">
        <v>3778</v>
      </c>
      <c r="C692" s="1" t="s">
        <v>3779</v>
      </c>
      <c r="D692" s="1">
        <v>2020</v>
      </c>
      <c r="E692" s="1" t="s">
        <v>31</v>
      </c>
      <c r="F692" s="1">
        <v>4</v>
      </c>
      <c r="G692" s="1" t="s">
        <v>32</v>
      </c>
      <c r="H692" s="1" t="s">
        <v>151</v>
      </c>
      <c r="I692" s="1">
        <v>169000</v>
      </c>
      <c r="J692" s="1">
        <v>154000</v>
      </c>
      <c r="K692" s="1">
        <v>15000</v>
      </c>
      <c r="L692" s="1">
        <v>0</v>
      </c>
      <c r="M692" s="1" t="s">
        <v>34</v>
      </c>
      <c r="N692" s="1" t="s">
        <v>70</v>
      </c>
      <c r="O692" s="1" t="s">
        <v>36</v>
      </c>
      <c r="P692" s="1" t="s">
        <v>37</v>
      </c>
      <c r="Q692" s="1" t="s">
        <v>38</v>
      </c>
      <c r="R692" s="1" t="s">
        <v>3780</v>
      </c>
      <c r="S692" s="3">
        <v>919079000000</v>
      </c>
      <c r="T692" s="1" t="s">
        <v>98</v>
      </c>
      <c r="U692" s="1">
        <v>71</v>
      </c>
      <c r="V692" s="1">
        <v>89</v>
      </c>
      <c r="W692" s="1" t="s">
        <v>41</v>
      </c>
      <c r="X692" s="1">
        <v>728595</v>
      </c>
      <c r="Y692" s="2">
        <v>38202</v>
      </c>
      <c r="Z692" s="1">
        <v>-3.8210262828535599</v>
      </c>
      <c r="AA692" s="1">
        <v>19</v>
      </c>
      <c r="AB692" s="1">
        <v>676000</v>
      </c>
      <c r="AC692" s="1">
        <f t="shared" si="10"/>
        <v>736000</v>
      </c>
    </row>
    <row r="693" spans="1:29" x14ac:dyDescent="0.25">
      <c r="A693" s="1" t="s">
        <v>3831</v>
      </c>
      <c r="B693" s="1" t="s">
        <v>3611</v>
      </c>
      <c r="C693" s="1" t="s">
        <v>3612</v>
      </c>
      <c r="D693" s="1">
        <v>2020</v>
      </c>
      <c r="E693" s="1" t="s">
        <v>31</v>
      </c>
      <c r="F693" s="1">
        <v>4</v>
      </c>
      <c r="G693" s="1" t="s">
        <v>32</v>
      </c>
      <c r="H693" s="1" t="s">
        <v>113</v>
      </c>
      <c r="I693" s="1">
        <v>169000</v>
      </c>
      <c r="J693" s="1">
        <v>154000</v>
      </c>
      <c r="K693" s="1">
        <v>15000</v>
      </c>
      <c r="L693" s="1">
        <v>0</v>
      </c>
      <c r="M693" s="1" t="s">
        <v>34</v>
      </c>
      <c r="N693" s="1" t="s">
        <v>63</v>
      </c>
      <c r="O693" s="1" t="s">
        <v>48</v>
      </c>
      <c r="P693" s="1" t="s">
        <v>49</v>
      </c>
      <c r="Q693" s="1" t="s">
        <v>38</v>
      </c>
      <c r="R693" s="1" t="s">
        <v>3832</v>
      </c>
      <c r="S693" s="3">
        <v>919062000000</v>
      </c>
      <c r="T693" s="1" t="s">
        <v>74</v>
      </c>
      <c r="U693" s="1">
        <v>71</v>
      </c>
      <c r="V693" s="1">
        <v>87</v>
      </c>
      <c r="W693" s="1" t="s">
        <v>52</v>
      </c>
      <c r="X693" s="1">
        <v>162072</v>
      </c>
      <c r="Y693" s="2">
        <v>37609</v>
      </c>
      <c r="Z693" s="1">
        <v>-3.8210262828535599</v>
      </c>
      <c r="AA693" s="1">
        <v>21</v>
      </c>
      <c r="AB693" s="1">
        <v>676000</v>
      </c>
      <c r="AC693" s="1">
        <f t="shared" si="10"/>
        <v>736000</v>
      </c>
    </row>
    <row r="694" spans="1:29" x14ac:dyDescent="0.25">
      <c r="A694" s="1" t="s">
        <v>3853</v>
      </c>
      <c r="B694" s="1" t="s">
        <v>3854</v>
      </c>
      <c r="C694" s="1" t="s">
        <v>3855</v>
      </c>
      <c r="D694" s="1">
        <v>2020</v>
      </c>
      <c r="E694" s="1" t="s">
        <v>31</v>
      </c>
      <c r="F694" s="1">
        <v>4</v>
      </c>
      <c r="G694" s="1" t="s">
        <v>32</v>
      </c>
      <c r="H694" s="1" t="s">
        <v>56</v>
      </c>
      <c r="I694" s="1">
        <v>169000</v>
      </c>
      <c r="J694" s="1">
        <v>154000</v>
      </c>
      <c r="K694" s="1">
        <v>15000</v>
      </c>
      <c r="L694" s="1">
        <v>0</v>
      </c>
      <c r="M694" s="1" t="s">
        <v>34</v>
      </c>
      <c r="N694" s="1" t="s">
        <v>70</v>
      </c>
      <c r="O694" s="1" t="s">
        <v>64</v>
      </c>
      <c r="P694" s="1" t="s">
        <v>65</v>
      </c>
      <c r="Q694" s="1" t="s">
        <v>38</v>
      </c>
      <c r="R694" s="1" t="s">
        <v>3856</v>
      </c>
      <c r="S694" s="3">
        <v>917551000000</v>
      </c>
      <c r="T694" s="1" t="s">
        <v>98</v>
      </c>
      <c r="U694" s="1">
        <v>70</v>
      </c>
      <c r="V694" s="1">
        <v>87</v>
      </c>
      <c r="W694" s="1" t="s">
        <v>41</v>
      </c>
      <c r="X694" s="1">
        <v>625539</v>
      </c>
      <c r="Y694" s="2">
        <v>38309</v>
      </c>
      <c r="Z694" s="1">
        <v>-4.8210262828535599</v>
      </c>
      <c r="AA694" s="1">
        <v>19</v>
      </c>
      <c r="AB694" s="1">
        <v>676000</v>
      </c>
      <c r="AC694" s="1">
        <f t="shared" si="10"/>
        <v>736000</v>
      </c>
    </row>
    <row r="695" spans="1:29" x14ac:dyDescent="0.25">
      <c r="A695" s="1" t="s">
        <v>3885</v>
      </c>
      <c r="B695" s="1" t="s">
        <v>3886</v>
      </c>
      <c r="C695" s="1" t="s">
        <v>3887</v>
      </c>
      <c r="D695" s="1">
        <v>2020</v>
      </c>
      <c r="E695" s="1" t="s">
        <v>31</v>
      </c>
      <c r="F695" s="1">
        <v>4</v>
      </c>
      <c r="G695" s="1" t="s">
        <v>32</v>
      </c>
      <c r="H695" s="1" t="s">
        <v>113</v>
      </c>
      <c r="I695" s="1">
        <v>169000</v>
      </c>
      <c r="J695" s="1">
        <v>154000</v>
      </c>
      <c r="K695" s="1">
        <v>15000</v>
      </c>
      <c r="L695" s="1">
        <v>0</v>
      </c>
      <c r="M695" s="1" t="s">
        <v>34</v>
      </c>
      <c r="N695" s="1" t="s">
        <v>63</v>
      </c>
      <c r="O695" s="1" t="s">
        <v>91</v>
      </c>
      <c r="P695" s="1" t="s">
        <v>92</v>
      </c>
      <c r="Q695" s="1" t="s">
        <v>38</v>
      </c>
      <c r="R695" s="1" t="s">
        <v>3888</v>
      </c>
      <c r="S695" s="3">
        <v>919035000000</v>
      </c>
      <c r="T695" s="1" t="s">
        <v>86</v>
      </c>
      <c r="U695" s="1">
        <v>70</v>
      </c>
      <c r="V695" s="1">
        <v>89</v>
      </c>
      <c r="W695" s="1" t="s">
        <v>41</v>
      </c>
      <c r="X695" s="1">
        <v>266693</v>
      </c>
      <c r="Y695" s="2">
        <v>38364</v>
      </c>
      <c r="Z695" s="1">
        <v>-4.8210262828535599</v>
      </c>
      <c r="AA695" s="1">
        <v>19</v>
      </c>
      <c r="AB695" s="1">
        <v>676000</v>
      </c>
      <c r="AC695" s="1">
        <f t="shared" si="10"/>
        <v>736000</v>
      </c>
    </row>
    <row r="696" spans="1:29" x14ac:dyDescent="0.25">
      <c r="A696" s="1" t="s">
        <v>3889</v>
      </c>
      <c r="B696" s="1" t="s">
        <v>3890</v>
      </c>
      <c r="C696" s="1" t="s">
        <v>3891</v>
      </c>
      <c r="D696" s="1">
        <v>2020</v>
      </c>
      <c r="E696" s="1" t="s">
        <v>31</v>
      </c>
      <c r="F696" s="1">
        <v>4</v>
      </c>
      <c r="G696" s="1" t="s">
        <v>32</v>
      </c>
      <c r="H696" s="1" t="s">
        <v>151</v>
      </c>
      <c r="I696" s="1">
        <v>169000</v>
      </c>
      <c r="J696" s="1">
        <v>154000</v>
      </c>
      <c r="K696" s="1">
        <v>15000</v>
      </c>
      <c r="L696" s="1">
        <v>0</v>
      </c>
      <c r="M696" s="1" t="s">
        <v>34</v>
      </c>
      <c r="N696" s="1" t="s">
        <v>63</v>
      </c>
      <c r="O696" s="1" t="s">
        <v>188</v>
      </c>
      <c r="P696" s="1" t="s">
        <v>189</v>
      </c>
      <c r="Q696" s="1" t="s">
        <v>38</v>
      </c>
      <c r="R696" s="1" t="s">
        <v>3892</v>
      </c>
      <c r="S696" s="3">
        <v>918196000000</v>
      </c>
      <c r="T696" s="1" t="s">
        <v>86</v>
      </c>
      <c r="U696" s="1">
        <v>70</v>
      </c>
      <c r="V696" s="1">
        <v>74</v>
      </c>
      <c r="W696" s="1" t="s">
        <v>52</v>
      </c>
      <c r="X696" s="1">
        <v>659631</v>
      </c>
      <c r="Y696" s="2">
        <v>37160</v>
      </c>
      <c r="Z696" s="1">
        <v>-4.8210262828535599</v>
      </c>
      <c r="AA696" s="1">
        <v>22</v>
      </c>
      <c r="AB696" s="1">
        <v>676000</v>
      </c>
      <c r="AC696" s="1">
        <f t="shared" si="10"/>
        <v>736000</v>
      </c>
    </row>
    <row r="697" spans="1:29" x14ac:dyDescent="0.25">
      <c r="A697" s="1" t="s">
        <v>3927</v>
      </c>
      <c r="B697" s="1" t="s">
        <v>2258</v>
      </c>
      <c r="C697" s="1" t="s">
        <v>2259</v>
      </c>
      <c r="D697" s="1">
        <v>2020</v>
      </c>
      <c r="E697" s="1" t="s">
        <v>31</v>
      </c>
      <c r="F697" s="1">
        <v>4</v>
      </c>
      <c r="G697" s="1" t="s">
        <v>32</v>
      </c>
      <c r="H697" s="1" t="s">
        <v>33</v>
      </c>
      <c r="I697" s="1">
        <v>169000</v>
      </c>
      <c r="J697" s="1">
        <v>154000</v>
      </c>
      <c r="K697" s="1">
        <v>15000</v>
      </c>
      <c r="L697" s="1">
        <v>0</v>
      </c>
      <c r="M697" s="1" t="s">
        <v>34</v>
      </c>
      <c r="N697" s="1" t="s">
        <v>70</v>
      </c>
      <c r="O697" s="1" t="s">
        <v>71</v>
      </c>
      <c r="P697" s="1" t="s">
        <v>72</v>
      </c>
      <c r="Q697" s="1" t="s">
        <v>38</v>
      </c>
      <c r="R697" s="1" t="s">
        <v>3928</v>
      </c>
      <c r="S697" s="3">
        <v>918578000000</v>
      </c>
      <c r="T697" s="1" t="s">
        <v>98</v>
      </c>
      <c r="U697" s="1">
        <v>70</v>
      </c>
      <c r="V697" s="1">
        <v>76</v>
      </c>
      <c r="W697" s="1" t="s">
        <v>52</v>
      </c>
      <c r="X697" s="1">
        <v>692755</v>
      </c>
      <c r="Y697" s="2">
        <v>38039</v>
      </c>
      <c r="Z697" s="1">
        <v>-4.8210262828535599</v>
      </c>
      <c r="AA697" s="1">
        <v>20</v>
      </c>
      <c r="AB697" s="1">
        <v>676000</v>
      </c>
      <c r="AC697" s="1">
        <f t="shared" si="10"/>
        <v>736000</v>
      </c>
    </row>
    <row r="698" spans="1:29" x14ac:dyDescent="0.25">
      <c r="A698" s="1" t="s">
        <v>3953</v>
      </c>
      <c r="B698" s="1" t="s">
        <v>2508</v>
      </c>
      <c r="C698" s="1" t="s">
        <v>2509</v>
      </c>
      <c r="D698" s="1">
        <v>2020</v>
      </c>
      <c r="E698" s="1" t="s">
        <v>31</v>
      </c>
      <c r="F698" s="1">
        <v>4</v>
      </c>
      <c r="G698" s="1" t="s">
        <v>32</v>
      </c>
      <c r="H698" s="1" t="s">
        <v>47</v>
      </c>
      <c r="I698" s="1">
        <v>169000</v>
      </c>
      <c r="J698" s="1">
        <v>154000</v>
      </c>
      <c r="K698" s="1">
        <v>15000</v>
      </c>
      <c r="L698" s="1">
        <v>0</v>
      </c>
      <c r="M698" s="1" t="s">
        <v>34</v>
      </c>
      <c r="N698" s="1" t="s">
        <v>35</v>
      </c>
      <c r="O698" s="1" t="s">
        <v>84</v>
      </c>
      <c r="P698" s="1" t="s">
        <v>65</v>
      </c>
      <c r="Q698" s="1" t="s">
        <v>38</v>
      </c>
      <c r="R698" s="1" t="s">
        <v>3954</v>
      </c>
      <c r="S698" s="3">
        <v>918222000000</v>
      </c>
      <c r="T698" s="1" t="s">
        <v>74</v>
      </c>
      <c r="U698" s="1">
        <v>70</v>
      </c>
      <c r="V698" s="1">
        <v>60</v>
      </c>
      <c r="W698" s="1" t="s">
        <v>41</v>
      </c>
      <c r="X698" s="1">
        <v>794729</v>
      </c>
      <c r="Y698" s="2">
        <v>38308</v>
      </c>
      <c r="Z698" s="1">
        <v>-4.8210262828535599</v>
      </c>
      <c r="AA698" s="1">
        <v>19</v>
      </c>
      <c r="AB698" s="1">
        <v>676000</v>
      </c>
      <c r="AC698" s="1">
        <f t="shared" si="10"/>
        <v>736000</v>
      </c>
    </row>
    <row r="699" spans="1:29" x14ac:dyDescent="0.25">
      <c r="A699" s="1" t="s">
        <v>3977</v>
      </c>
      <c r="B699" s="1" t="s">
        <v>3978</v>
      </c>
      <c r="C699" s="1" t="s">
        <v>3979</v>
      </c>
      <c r="D699" s="1">
        <v>2020</v>
      </c>
      <c r="E699" s="1" t="s">
        <v>45</v>
      </c>
      <c r="F699" s="1">
        <v>2</v>
      </c>
      <c r="G699" s="1" t="s">
        <v>46</v>
      </c>
      <c r="H699" s="1" t="s">
        <v>47</v>
      </c>
      <c r="I699" s="1">
        <v>92000</v>
      </c>
      <c r="J699" s="1">
        <v>77000</v>
      </c>
      <c r="K699" s="1">
        <v>15000</v>
      </c>
      <c r="L699" s="1">
        <v>0</v>
      </c>
      <c r="M699" s="1" t="s">
        <v>34</v>
      </c>
      <c r="N699" s="1" t="s">
        <v>63</v>
      </c>
      <c r="O699" s="1" t="s">
        <v>36</v>
      </c>
      <c r="P699" s="1" t="s">
        <v>37</v>
      </c>
      <c r="Q699" s="1" t="s">
        <v>38</v>
      </c>
      <c r="R699" s="1" t="s">
        <v>3980</v>
      </c>
      <c r="S699" s="3">
        <v>918285000000</v>
      </c>
      <c r="T699" s="1" t="s">
        <v>86</v>
      </c>
      <c r="U699" s="1">
        <v>69</v>
      </c>
      <c r="V699" s="1">
        <v>79</v>
      </c>
      <c r="W699" s="1" t="s">
        <v>41</v>
      </c>
      <c r="X699" s="1">
        <v>575526</v>
      </c>
      <c r="Y699" s="2">
        <v>35721</v>
      </c>
      <c r="Z699" s="1">
        <v>-5.8210262828535599</v>
      </c>
      <c r="AA699" s="1">
        <v>26</v>
      </c>
      <c r="AB699" s="1">
        <v>184000</v>
      </c>
      <c r="AC699" s="1">
        <f t="shared" si="10"/>
        <v>214000</v>
      </c>
    </row>
    <row r="700" spans="1:29" x14ac:dyDescent="0.25">
      <c r="A700" s="1" t="s">
        <v>3997</v>
      </c>
      <c r="B700" s="1" t="s">
        <v>3023</v>
      </c>
      <c r="C700" s="1" t="s">
        <v>3024</v>
      </c>
      <c r="D700" s="1">
        <v>2020</v>
      </c>
      <c r="E700" s="1" t="s">
        <v>31</v>
      </c>
      <c r="F700" s="1">
        <v>4</v>
      </c>
      <c r="G700" s="1" t="s">
        <v>32</v>
      </c>
      <c r="H700" s="1" t="s">
        <v>90</v>
      </c>
      <c r="I700" s="1">
        <v>169000</v>
      </c>
      <c r="J700" s="1">
        <v>154000</v>
      </c>
      <c r="K700" s="1">
        <v>15000</v>
      </c>
      <c r="L700" s="1">
        <v>0</v>
      </c>
      <c r="M700" s="1" t="s">
        <v>34</v>
      </c>
      <c r="N700" s="1" t="s">
        <v>70</v>
      </c>
      <c r="O700" s="1" t="s">
        <v>188</v>
      </c>
      <c r="P700" s="1" t="s">
        <v>189</v>
      </c>
      <c r="Q700" s="1" t="s">
        <v>38</v>
      </c>
      <c r="R700" s="1" t="s">
        <v>3998</v>
      </c>
      <c r="S700" s="3">
        <v>919780000000</v>
      </c>
      <c r="T700" s="1" t="s">
        <v>74</v>
      </c>
      <c r="U700" s="1">
        <v>69</v>
      </c>
      <c r="V700" s="1">
        <v>62</v>
      </c>
      <c r="W700" s="1" t="s">
        <v>52</v>
      </c>
      <c r="X700" s="1">
        <v>769377</v>
      </c>
      <c r="Y700" s="2">
        <v>38198</v>
      </c>
      <c r="Z700" s="1">
        <v>-5.8210262828535599</v>
      </c>
      <c r="AA700" s="1">
        <v>19</v>
      </c>
      <c r="AB700" s="1">
        <v>676000</v>
      </c>
      <c r="AC700" s="1">
        <f t="shared" si="10"/>
        <v>736000</v>
      </c>
    </row>
    <row r="701" spans="1:29" x14ac:dyDescent="0.25">
      <c r="A701" s="1" t="s">
        <v>4009</v>
      </c>
      <c r="B701" s="1" t="s">
        <v>4010</v>
      </c>
      <c r="C701" s="1" t="s">
        <v>4011</v>
      </c>
      <c r="D701" s="1">
        <v>2020</v>
      </c>
      <c r="E701" s="1" t="s">
        <v>31</v>
      </c>
      <c r="F701" s="1">
        <v>4</v>
      </c>
      <c r="G701" s="1" t="s">
        <v>32</v>
      </c>
      <c r="H701" s="1" t="s">
        <v>90</v>
      </c>
      <c r="I701" s="1">
        <v>169000</v>
      </c>
      <c r="J701" s="1">
        <v>154000</v>
      </c>
      <c r="K701" s="1">
        <v>15000</v>
      </c>
      <c r="L701" s="1">
        <v>0</v>
      </c>
      <c r="M701" s="1" t="s">
        <v>34</v>
      </c>
      <c r="N701" s="1" t="s">
        <v>63</v>
      </c>
      <c r="O701" s="1" t="s">
        <v>48</v>
      </c>
      <c r="P701" s="1" t="s">
        <v>49</v>
      </c>
      <c r="Q701" s="1" t="s">
        <v>38</v>
      </c>
      <c r="R701" s="1" t="s">
        <v>4012</v>
      </c>
      <c r="S701" s="3">
        <v>918272000000</v>
      </c>
      <c r="T701" s="1" t="s">
        <v>40</v>
      </c>
      <c r="U701" s="1">
        <v>69</v>
      </c>
      <c r="V701" s="1">
        <v>89</v>
      </c>
      <c r="W701" s="1" t="s">
        <v>41</v>
      </c>
      <c r="X701" s="1">
        <v>713021</v>
      </c>
      <c r="Y701" s="2">
        <v>36923</v>
      </c>
      <c r="Z701" s="1">
        <v>-5.8210262828535599</v>
      </c>
      <c r="AA701" s="1">
        <v>23</v>
      </c>
      <c r="AB701" s="1">
        <v>676000</v>
      </c>
      <c r="AC701" s="1">
        <f t="shared" si="10"/>
        <v>736000</v>
      </c>
    </row>
    <row r="702" spans="1:29" x14ac:dyDescent="0.25">
      <c r="A702" s="1" t="s">
        <v>4013</v>
      </c>
      <c r="B702" s="1" t="s">
        <v>4014</v>
      </c>
      <c r="C702" s="1" t="s">
        <v>4015</v>
      </c>
      <c r="D702" s="1">
        <v>2020</v>
      </c>
      <c r="E702" s="1" t="s">
        <v>31</v>
      </c>
      <c r="F702" s="1">
        <v>4</v>
      </c>
      <c r="G702" s="1" t="s">
        <v>32</v>
      </c>
      <c r="H702" s="1" t="s">
        <v>90</v>
      </c>
      <c r="I702" s="1">
        <v>169000</v>
      </c>
      <c r="J702" s="1">
        <v>154000</v>
      </c>
      <c r="K702" s="1">
        <v>15000</v>
      </c>
      <c r="L702" s="1">
        <v>0</v>
      </c>
      <c r="M702" s="1" t="s">
        <v>34</v>
      </c>
      <c r="N702" s="1" t="s">
        <v>35</v>
      </c>
      <c r="O702" s="1" t="s">
        <v>57</v>
      </c>
      <c r="P702" s="1" t="s">
        <v>57</v>
      </c>
      <c r="Q702" s="1" t="s">
        <v>38</v>
      </c>
      <c r="R702" s="1" t="s">
        <v>4016</v>
      </c>
      <c r="S702" s="3">
        <v>917795000000</v>
      </c>
      <c r="T702" s="1" t="s">
        <v>86</v>
      </c>
      <c r="U702" s="1">
        <v>69</v>
      </c>
      <c r="V702" s="1">
        <v>78</v>
      </c>
      <c r="W702" s="1" t="s">
        <v>41</v>
      </c>
      <c r="X702" s="1">
        <v>530719</v>
      </c>
      <c r="Y702" s="2">
        <v>37841</v>
      </c>
      <c r="Z702" s="1">
        <v>-5.8210262828535599</v>
      </c>
      <c r="AA702" s="1">
        <v>20</v>
      </c>
      <c r="AB702" s="1">
        <v>676000</v>
      </c>
      <c r="AC702" s="1">
        <f t="shared" si="10"/>
        <v>736000</v>
      </c>
    </row>
    <row r="703" spans="1:29" x14ac:dyDescent="0.25">
      <c r="A703" s="1" t="s">
        <v>4025</v>
      </c>
      <c r="B703" s="1" t="s">
        <v>1938</v>
      </c>
      <c r="C703" s="1" t="s">
        <v>1939</v>
      </c>
      <c r="D703" s="1">
        <v>2020</v>
      </c>
      <c r="E703" s="1" t="s">
        <v>45</v>
      </c>
      <c r="F703" s="1">
        <v>2</v>
      </c>
      <c r="G703" s="1" t="s">
        <v>46</v>
      </c>
      <c r="H703" s="1" t="s">
        <v>62</v>
      </c>
      <c r="I703" s="1">
        <v>92000</v>
      </c>
      <c r="J703" s="1">
        <v>77000</v>
      </c>
      <c r="K703" s="1">
        <v>15000</v>
      </c>
      <c r="L703" s="1">
        <v>0</v>
      </c>
      <c r="M703" s="1" t="s">
        <v>34</v>
      </c>
      <c r="N703" s="1" t="s">
        <v>70</v>
      </c>
      <c r="O703" s="1" t="s">
        <v>84</v>
      </c>
      <c r="P703" s="1" t="s">
        <v>65</v>
      </c>
      <c r="Q703" s="1" t="s">
        <v>38</v>
      </c>
      <c r="R703" s="1" t="s">
        <v>4026</v>
      </c>
      <c r="S703" s="3">
        <v>918218000000</v>
      </c>
      <c r="T703" s="1" t="s">
        <v>51</v>
      </c>
      <c r="U703" s="1">
        <v>69</v>
      </c>
      <c r="V703" s="1">
        <v>75</v>
      </c>
      <c r="W703" s="1" t="s">
        <v>41</v>
      </c>
      <c r="X703" s="1">
        <v>237876</v>
      </c>
      <c r="Y703" s="2">
        <v>36886</v>
      </c>
      <c r="Z703" s="1">
        <v>-5.8210262828535599</v>
      </c>
      <c r="AA703" s="1">
        <v>23</v>
      </c>
      <c r="AB703" s="1">
        <v>184000</v>
      </c>
      <c r="AC703" s="1">
        <f t="shared" si="10"/>
        <v>214000</v>
      </c>
    </row>
    <row r="704" spans="1:29" x14ac:dyDescent="0.25">
      <c r="A704" s="1" t="s">
        <v>4027</v>
      </c>
      <c r="B704" s="1" t="s">
        <v>4028</v>
      </c>
      <c r="C704" s="1" t="s">
        <v>4029</v>
      </c>
      <c r="D704" s="1">
        <v>2020</v>
      </c>
      <c r="E704" s="1" t="s">
        <v>31</v>
      </c>
      <c r="F704" s="1">
        <v>4</v>
      </c>
      <c r="G704" s="1" t="s">
        <v>32</v>
      </c>
      <c r="H704" s="1" t="s">
        <v>56</v>
      </c>
      <c r="I704" s="1">
        <v>169000</v>
      </c>
      <c r="J704" s="1">
        <v>154000</v>
      </c>
      <c r="K704" s="1">
        <v>15000</v>
      </c>
      <c r="L704" s="1">
        <v>0</v>
      </c>
      <c r="M704" s="1" t="s">
        <v>34</v>
      </c>
      <c r="N704" s="1" t="s">
        <v>35</v>
      </c>
      <c r="O704" s="1" t="s">
        <v>188</v>
      </c>
      <c r="P704" s="1" t="s">
        <v>189</v>
      </c>
      <c r="Q704" s="1" t="s">
        <v>38</v>
      </c>
      <c r="R704" s="1" t="s">
        <v>4030</v>
      </c>
      <c r="S704" s="3">
        <v>919177000000</v>
      </c>
      <c r="T704" s="1" t="s">
        <v>40</v>
      </c>
      <c r="U704" s="1">
        <v>69</v>
      </c>
      <c r="V704" s="1">
        <v>71</v>
      </c>
      <c r="W704" s="1" t="s">
        <v>52</v>
      </c>
      <c r="X704" s="1">
        <v>308607</v>
      </c>
      <c r="Y704" s="2">
        <v>37303</v>
      </c>
      <c r="Z704" s="1">
        <v>-5.8210262828535599</v>
      </c>
      <c r="AA704" s="1">
        <v>22</v>
      </c>
      <c r="AB704" s="1">
        <v>676000</v>
      </c>
      <c r="AC704" s="1">
        <f t="shared" si="10"/>
        <v>736000</v>
      </c>
    </row>
    <row r="705" spans="1:29" x14ac:dyDescent="0.25">
      <c r="A705" s="1" t="s">
        <v>4064</v>
      </c>
      <c r="B705" s="1" t="s">
        <v>4065</v>
      </c>
      <c r="C705" s="1" t="s">
        <v>4066</v>
      </c>
      <c r="D705" s="1">
        <v>2020</v>
      </c>
      <c r="E705" s="1" t="s">
        <v>31</v>
      </c>
      <c r="F705" s="1">
        <v>4</v>
      </c>
      <c r="G705" s="1" t="s">
        <v>32</v>
      </c>
      <c r="H705" s="1" t="s">
        <v>47</v>
      </c>
      <c r="I705" s="1">
        <v>169000</v>
      </c>
      <c r="J705" s="1">
        <v>154000</v>
      </c>
      <c r="K705" s="1">
        <v>15000</v>
      </c>
      <c r="L705" s="1">
        <v>0</v>
      </c>
      <c r="M705" s="1" t="s">
        <v>34</v>
      </c>
      <c r="N705" s="1" t="s">
        <v>70</v>
      </c>
      <c r="O705" s="1" t="s">
        <v>103</v>
      </c>
      <c r="P705" s="1" t="s">
        <v>104</v>
      </c>
      <c r="Q705" s="1" t="s">
        <v>38</v>
      </c>
      <c r="R705" s="1" t="s">
        <v>4067</v>
      </c>
      <c r="S705" s="3">
        <v>917352000000</v>
      </c>
      <c r="T705" s="1" t="s">
        <v>40</v>
      </c>
      <c r="U705" s="1">
        <v>69</v>
      </c>
      <c r="V705" s="1">
        <v>75</v>
      </c>
      <c r="W705" s="1" t="s">
        <v>52</v>
      </c>
      <c r="X705" s="1">
        <v>119610</v>
      </c>
      <c r="Y705" s="2">
        <v>37342</v>
      </c>
      <c r="Z705" s="1">
        <v>-5.8210262828535599</v>
      </c>
      <c r="AA705" s="1">
        <v>22</v>
      </c>
      <c r="AB705" s="1">
        <v>676000</v>
      </c>
      <c r="AC705" s="1">
        <f t="shared" si="10"/>
        <v>736000</v>
      </c>
    </row>
    <row r="706" spans="1:29" x14ac:dyDescent="0.25">
      <c r="A706" s="1" t="s">
        <v>4068</v>
      </c>
      <c r="B706" s="1" t="s">
        <v>4069</v>
      </c>
      <c r="C706" s="1" t="s">
        <v>4070</v>
      </c>
      <c r="D706" s="1">
        <v>2020</v>
      </c>
      <c r="E706" s="1" t="s">
        <v>31</v>
      </c>
      <c r="F706" s="1">
        <v>4</v>
      </c>
      <c r="G706" s="1" t="s">
        <v>32</v>
      </c>
      <c r="H706" s="1" t="s">
        <v>102</v>
      </c>
      <c r="I706" s="1">
        <v>169000</v>
      </c>
      <c r="J706" s="1">
        <v>154000</v>
      </c>
      <c r="K706" s="1">
        <v>15000</v>
      </c>
      <c r="L706" s="1">
        <v>0</v>
      </c>
      <c r="M706" s="1" t="s">
        <v>34</v>
      </c>
      <c r="N706" s="1" t="s">
        <v>70</v>
      </c>
      <c r="O706" s="1" t="s">
        <v>188</v>
      </c>
      <c r="P706" s="1" t="s">
        <v>189</v>
      </c>
      <c r="Q706" s="1" t="s">
        <v>38</v>
      </c>
      <c r="R706" s="1" t="s">
        <v>4071</v>
      </c>
      <c r="S706" s="3">
        <v>919481000000</v>
      </c>
      <c r="T706" s="1" t="s">
        <v>74</v>
      </c>
      <c r="U706" s="1">
        <v>69</v>
      </c>
      <c r="V706" s="1">
        <v>60</v>
      </c>
      <c r="W706" s="1" t="s">
        <v>41</v>
      </c>
      <c r="X706" s="1">
        <v>591230</v>
      </c>
      <c r="Y706" s="2">
        <v>37774</v>
      </c>
      <c r="Z706" s="1">
        <v>-5.8210262828535599</v>
      </c>
      <c r="AA706" s="1">
        <v>21</v>
      </c>
      <c r="AB706" s="1">
        <v>676000</v>
      </c>
      <c r="AC706" s="1">
        <f t="shared" si="10"/>
        <v>736000</v>
      </c>
    </row>
    <row r="707" spans="1:29" x14ac:dyDescent="0.25">
      <c r="A707" s="1" t="s">
        <v>4074</v>
      </c>
      <c r="B707" s="1" t="s">
        <v>3446</v>
      </c>
      <c r="C707" s="1" t="s">
        <v>3447</v>
      </c>
      <c r="D707" s="1">
        <v>2020</v>
      </c>
      <c r="E707" s="1" t="s">
        <v>45</v>
      </c>
      <c r="F707" s="1">
        <v>2</v>
      </c>
      <c r="G707" s="1" t="s">
        <v>46</v>
      </c>
      <c r="H707" s="1" t="s">
        <v>102</v>
      </c>
      <c r="I707" s="1">
        <v>92000</v>
      </c>
      <c r="J707" s="1">
        <v>77000</v>
      </c>
      <c r="K707" s="1">
        <v>15000</v>
      </c>
      <c r="L707" s="1">
        <v>0</v>
      </c>
      <c r="M707" s="1" t="s">
        <v>34</v>
      </c>
      <c r="N707" s="1" t="s">
        <v>70</v>
      </c>
      <c r="O707" s="1" t="s">
        <v>91</v>
      </c>
      <c r="P707" s="1" t="s">
        <v>92</v>
      </c>
      <c r="Q707" s="1" t="s">
        <v>38</v>
      </c>
      <c r="R707" s="1" t="s">
        <v>4075</v>
      </c>
      <c r="S707" s="3">
        <v>918774000000</v>
      </c>
      <c r="T707" s="1" t="s">
        <v>74</v>
      </c>
      <c r="U707" s="1">
        <v>69</v>
      </c>
      <c r="V707" s="1">
        <v>85</v>
      </c>
      <c r="W707" s="1" t="s">
        <v>41</v>
      </c>
      <c r="X707" s="1">
        <v>384427</v>
      </c>
      <c r="Y707" s="2">
        <v>35790</v>
      </c>
      <c r="Z707" s="1">
        <v>-5.8210262828535599</v>
      </c>
      <c r="AA707" s="1">
        <v>26</v>
      </c>
      <c r="AB707" s="1">
        <v>184000</v>
      </c>
      <c r="AC707" s="1">
        <f t="shared" si="10"/>
        <v>214000</v>
      </c>
    </row>
    <row r="708" spans="1:29" x14ac:dyDescent="0.25">
      <c r="A708" s="1" t="s">
        <v>4076</v>
      </c>
      <c r="B708" s="1" t="s">
        <v>4077</v>
      </c>
      <c r="C708" s="1" t="s">
        <v>4078</v>
      </c>
      <c r="D708" s="1">
        <v>2020</v>
      </c>
      <c r="E708" s="1" t="s">
        <v>31</v>
      </c>
      <c r="F708" s="1">
        <v>4</v>
      </c>
      <c r="G708" s="1" t="s">
        <v>32</v>
      </c>
      <c r="H708" s="1" t="s">
        <v>33</v>
      </c>
      <c r="I708" s="1">
        <v>169000</v>
      </c>
      <c r="J708" s="1">
        <v>154000</v>
      </c>
      <c r="K708" s="1">
        <v>15000</v>
      </c>
      <c r="L708" s="1">
        <v>0</v>
      </c>
      <c r="M708" s="1" t="s">
        <v>34</v>
      </c>
      <c r="N708" s="1" t="s">
        <v>35</v>
      </c>
      <c r="O708" s="1" t="s">
        <v>36</v>
      </c>
      <c r="P708" s="1" t="s">
        <v>37</v>
      </c>
      <c r="Q708" s="1" t="s">
        <v>38</v>
      </c>
      <c r="R708" s="1" t="s">
        <v>4079</v>
      </c>
      <c r="S708" s="3">
        <v>919179000000</v>
      </c>
      <c r="T708" s="1" t="s">
        <v>74</v>
      </c>
      <c r="U708" s="1">
        <v>69</v>
      </c>
      <c r="V708" s="1">
        <v>89</v>
      </c>
      <c r="W708" s="1" t="s">
        <v>52</v>
      </c>
      <c r="X708" s="1">
        <v>689697</v>
      </c>
      <c r="Y708" s="2">
        <v>38202</v>
      </c>
      <c r="Z708" s="1">
        <v>-5.8210262828535599</v>
      </c>
      <c r="AA708" s="1">
        <v>19</v>
      </c>
      <c r="AB708" s="1">
        <v>676000</v>
      </c>
      <c r="AC708" s="1">
        <f t="shared" si="10"/>
        <v>736000</v>
      </c>
    </row>
    <row r="709" spans="1:29" x14ac:dyDescent="0.25">
      <c r="A709" s="1" t="s">
        <v>4084</v>
      </c>
      <c r="B709" s="1" t="s">
        <v>4085</v>
      </c>
      <c r="C709" s="1" t="s">
        <v>4086</v>
      </c>
      <c r="D709" s="1">
        <v>2020</v>
      </c>
      <c r="E709" s="1" t="s">
        <v>31</v>
      </c>
      <c r="F709" s="1">
        <v>4</v>
      </c>
      <c r="G709" s="1" t="s">
        <v>32</v>
      </c>
      <c r="H709" s="1" t="s">
        <v>102</v>
      </c>
      <c r="I709" s="1">
        <v>169000</v>
      </c>
      <c r="J709" s="1">
        <v>154000</v>
      </c>
      <c r="K709" s="1">
        <v>15000</v>
      </c>
      <c r="L709" s="1">
        <v>0</v>
      </c>
      <c r="M709" s="1" t="s">
        <v>34</v>
      </c>
      <c r="N709" s="1" t="s">
        <v>63</v>
      </c>
      <c r="O709" s="1" t="s">
        <v>188</v>
      </c>
      <c r="P709" s="1" t="s">
        <v>189</v>
      </c>
      <c r="Q709" s="1" t="s">
        <v>38</v>
      </c>
      <c r="R709" s="1" t="s">
        <v>4087</v>
      </c>
      <c r="S709" s="3">
        <v>918151000000</v>
      </c>
      <c r="T709" s="1" t="s">
        <v>98</v>
      </c>
      <c r="U709" s="1">
        <v>69</v>
      </c>
      <c r="V709" s="1">
        <v>70</v>
      </c>
      <c r="W709" s="1" t="s">
        <v>41</v>
      </c>
      <c r="X709" s="1">
        <v>120273</v>
      </c>
      <c r="Y709" s="2">
        <v>37090</v>
      </c>
      <c r="Z709" s="1">
        <v>-5.8210262828535599</v>
      </c>
      <c r="AA709" s="1">
        <v>22</v>
      </c>
      <c r="AB709" s="1">
        <v>676000</v>
      </c>
      <c r="AC709" s="1">
        <f t="shared" si="10"/>
        <v>736000</v>
      </c>
    </row>
    <row r="710" spans="1:29" x14ac:dyDescent="0.25">
      <c r="A710" s="1" t="s">
        <v>4106</v>
      </c>
      <c r="B710" s="1" t="s">
        <v>4107</v>
      </c>
      <c r="C710" s="1" t="s">
        <v>4108</v>
      </c>
      <c r="D710" s="1">
        <v>2020</v>
      </c>
      <c r="E710" s="1" t="s">
        <v>45</v>
      </c>
      <c r="F710" s="1">
        <v>2</v>
      </c>
      <c r="G710" s="1" t="s">
        <v>46</v>
      </c>
      <c r="H710" s="1" t="s">
        <v>47</v>
      </c>
      <c r="I710" s="1">
        <v>92000</v>
      </c>
      <c r="J710" s="1">
        <v>77000</v>
      </c>
      <c r="K710" s="1">
        <v>15000</v>
      </c>
      <c r="L710" s="1">
        <v>0</v>
      </c>
      <c r="M710" s="1" t="s">
        <v>34</v>
      </c>
      <c r="N710" s="1" t="s">
        <v>63</v>
      </c>
      <c r="O710" s="1" t="s">
        <v>64</v>
      </c>
      <c r="P710" s="1" t="s">
        <v>65</v>
      </c>
      <c r="Q710" s="1" t="s">
        <v>38</v>
      </c>
      <c r="R710" s="1" t="s">
        <v>4109</v>
      </c>
      <c r="S710" s="3">
        <v>917223000000</v>
      </c>
      <c r="T710" s="1" t="s">
        <v>86</v>
      </c>
      <c r="U710" s="1">
        <v>69</v>
      </c>
      <c r="V710" s="1">
        <v>76</v>
      </c>
      <c r="W710" s="1" t="s">
        <v>52</v>
      </c>
      <c r="X710" s="1">
        <v>567927</v>
      </c>
      <c r="Y710" s="2">
        <v>36161</v>
      </c>
      <c r="Z710" s="1">
        <v>-5.8210262828535599</v>
      </c>
      <c r="AA710" s="1">
        <v>25</v>
      </c>
      <c r="AB710" s="1">
        <v>184000</v>
      </c>
      <c r="AC710" s="1">
        <f t="shared" ref="AC710:AC773" si="11">IF(F710 = 2, AB710+30000,AB710+60000)</f>
        <v>214000</v>
      </c>
    </row>
    <row r="711" spans="1:29" x14ac:dyDescent="0.25">
      <c r="A711" s="1" t="s">
        <v>4144</v>
      </c>
      <c r="B711" s="1" t="s">
        <v>489</v>
      </c>
      <c r="C711" s="1" t="s">
        <v>490</v>
      </c>
      <c r="D711" s="1">
        <v>2020</v>
      </c>
      <c r="E711" s="1" t="s">
        <v>45</v>
      </c>
      <c r="F711" s="1">
        <v>2</v>
      </c>
      <c r="G711" s="1" t="s">
        <v>46</v>
      </c>
      <c r="H711" s="1" t="s">
        <v>113</v>
      </c>
      <c r="I711" s="1">
        <v>92000</v>
      </c>
      <c r="J711" s="1">
        <v>77000</v>
      </c>
      <c r="K711" s="1">
        <v>15000</v>
      </c>
      <c r="L711" s="1">
        <v>0</v>
      </c>
      <c r="M711" s="1" t="s">
        <v>34</v>
      </c>
      <c r="N711" s="1" t="s">
        <v>35</v>
      </c>
      <c r="O711" s="1" t="s">
        <v>57</v>
      </c>
      <c r="P711" s="1" t="s">
        <v>57</v>
      </c>
      <c r="Q711" s="1" t="s">
        <v>38</v>
      </c>
      <c r="R711" s="1" t="s">
        <v>4145</v>
      </c>
      <c r="S711" s="3">
        <v>917162000000</v>
      </c>
      <c r="T711" s="1" t="s">
        <v>40</v>
      </c>
      <c r="U711" s="1">
        <v>68</v>
      </c>
      <c r="V711" s="1">
        <v>82</v>
      </c>
      <c r="W711" s="1" t="s">
        <v>41</v>
      </c>
      <c r="X711" s="1">
        <v>730442</v>
      </c>
      <c r="Y711" s="2">
        <v>36624</v>
      </c>
      <c r="Z711" s="1">
        <v>-6.8210262828535599</v>
      </c>
      <c r="AA711" s="1">
        <v>24</v>
      </c>
      <c r="AB711" s="1">
        <v>184000</v>
      </c>
      <c r="AC711" s="1">
        <f t="shared" si="11"/>
        <v>214000</v>
      </c>
    </row>
    <row r="712" spans="1:29" x14ac:dyDescent="0.25">
      <c r="A712" s="1" t="s">
        <v>4146</v>
      </c>
      <c r="B712" s="1" t="s">
        <v>755</v>
      </c>
      <c r="C712" s="1" t="s">
        <v>756</v>
      </c>
      <c r="D712" s="1">
        <v>2020</v>
      </c>
      <c r="E712" s="1" t="s">
        <v>45</v>
      </c>
      <c r="F712" s="1">
        <v>2</v>
      </c>
      <c r="G712" s="1" t="s">
        <v>46</v>
      </c>
      <c r="H712" s="1" t="s">
        <v>47</v>
      </c>
      <c r="I712" s="1">
        <v>92000</v>
      </c>
      <c r="J712" s="1">
        <v>77000</v>
      </c>
      <c r="K712" s="1">
        <v>15000</v>
      </c>
      <c r="L712" s="1">
        <v>0</v>
      </c>
      <c r="M712" s="1" t="s">
        <v>34</v>
      </c>
      <c r="N712" s="1" t="s">
        <v>63</v>
      </c>
      <c r="O712" s="1" t="s">
        <v>91</v>
      </c>
      <c r="P712" s="1" t="s">
        <v>92</v>
      </c>
      <c r="Q712" s="1" t="s">
        <v>38</v>
      </c>
      <c r="R712" s="1" t="s">
        <v>4147</v>
      </c>
      <c r="S712" s="3">
        <v>917483000000</v>
      </c>
      <c r="T712" s="1" t="s">
        <v>51</v>
      </c>
      <c r="U712" s="1">
        <v>68</v>
      </c>
      <c r="V712" s="1">
        <v>60</v>
      </c>
      <c r="W712" s="1" t="s">
        <v>52</v>
      </c>
      <c r="X712" s="1">
        <v>626523</v>
      </c>
      <c r="Y712" s="2">
        <v>35582</v>
      </c>
      <c r="Z712" s="1">
        <v>-6.8210262828535599</v>
      </c>
      <c r="AA712" s="1">
        <v>27</v>
      </c>
      <c r="AB712" s="1">
        <v>184000</v>
      </c>
      <c r="AC712" s="1">
        <f t="shared" si="11"/>
        <v>214000</v>
      </c>
    </row>
    <row r="713" spans="1:29" x14ac:dyDescent="0.25">
      <c r="A713" s="1" t="s">
        <v>4148</v>
      </c>
      <c r="B713" s="1" t="s">
        <v>4149</v>
      </c>
      <c r="C713" s="1" t="s">
        <v>4150</v>
      </c>
      <c r="D713" s="1">
        <v>2020</v>
      </c>
      <c r="E713" s="1" t="s">
        <v>31</v>
      </c>
      <c r="F713" s="1">
        <v>4</v>
      </c>
      <c r="G713" s="1" t="s">
        <v>32</v>
      </c>
      <c r="H713" s="1" t="s">
        <v>62</v>
      </c>
      <c r="I713" s="1">
        <v>169000</v>
      </c>
      <c r="J713" s="1">
        <v>154000</v>
      </c>
      <c r="K713" s="1">
        <v>15000</v>
      </c>
      <c r="L713" s="1">
        <v>0</v>
      </c>
      <c r="M713" s="1" t="s">
        <v>34</v>
      </c>
      <c r="N713" s="1" t="s">
        <v>63</v>
      </c>
      <c r="O713" s="1" t="s">
        <v>91</v>
      </c>
      <c r="P713" s="1" t="s">
        <v>92</v>
      </c>
      <c r="Q713" s="1" t="s">
        <v>38</v>
      </c>
      <c r="R713" s="1" t="s">
        <v>4151</v>
      </c>
      <c r="S713" s="3">
        <v>919010000000</v>
      </c>
      <c r="T713" s="1" t="s">
        <v>74</v>
      </c>
      <c r="U713" s="1">
        <v>68</v>
      </c>
      <c r="V713" s="1">
        <v>92</v>
      </c>
      <c r="W713" s="1" t="s">
        <v>52</v>
      </c>
      <c r="X713" s="1">
        <v>153521</v>
      </c>
      <c r="Y713" s="2">
        <v>38389</v>
      </c>
      <c r="Z713" s="1">
        <v>-6.8210262828535599</v>
      </c>
      <c r="AA713" s="1">
        <v>19</v>
      </c>
      <c r="AB713" s="1">
        <v>676000</v>
      </c>
      <c r="AC713" s="1">
        <f t="shared" si="11"/>
        <v>736000</v>
      </c>
    </row>
    <row r="714" spans="1:29" x14ac:dyDescent="0.25">
      <c r="A714" s="1" t="s">
        <v>4154</v>
      </c>
      <c r="B714" s="1" t="s">
        <v>2150</v>
      </c>
      <c r="C714" s="1" t="s">
        <v>2151</v>
      </c>
      <c r="D714" s="1">
        <v>2020</v>
      </c>
      <c r="E714" s="1" t="s">
        <v>45</v>
      </c>
      <c r="F714" s="1">
        <v>2</v>
      </c>
      <c r="G714" s="1" t="s">
        <v>46</v>
      </c>
      <c r="H714" s="1" t="s">
        <v>62</v>
      </c>
      <c r="I714" s="1">
        <v>92000</v>
      </c>
      <c r="J714" s="1">
        <v>77000</v>
      </c>
      <c r="K714" s="1">
        <v>15000</v>
      </c>
      <c r="L714" s="1">
        <v>0</v>
      </c>
      <c r="M714" s="1" t="s">
        <v>34</v>
      </c>
      <c r="N714" s="1" t="s">
        <v>70</v>
      </c>
      <c r="O714" s="1" t="s">
        <v>57</v>
      </c>
      <c r="P714" s="1" t="s">
        <v>57</v>
      </c>
      <c r="Q714" s="1" t="s">
        <v>38</v>
      </c>
      <c r="R714" s="1" t="s">
        <v>4155</v>
      </c>
      <c r="S714" s="3">
        <v>917495000000</v>
      </c>
      <c r="T714" s="1" t="s">
        <v>74</v>
      </c>
      <c r="U714" s="1">
        <v>68</v>
      </c>
      <c r="V714" s="1">
        <v>76</v>
      </c>
      <c r="W714" s="1" t="s">
        <v>41</v>
      </c>
      <c r="X714" s="1">
        <v>441823</v>
      </c>
      <c r="Y714" s="2">
        <v>36439</v>
      </c>
      <c r="Z714" s="1">
        <v>-6.8210262828535599</v>
      </c>
      <c r="AA714" s="1">
        <v>24</v>
      </c>
      <c r="AB714" s="1">
        <v>184000</v>
      </c>
      <c r="AC714" s="1">
        <f t="shared" si="11"/>
        <v>214000</v>
      </c>
    </row>
    <row r="715" spans="1:29" x14ac:dyDescent="0.25">
      <c r="A715" s="1" t="s">
        <v>4169</v>
      </c>
      <c r="B715" s="1" t="s">
        <v>4065</v>
      </c>
      <c r="C715" s="1" t="s">
        <v>4066</v>
      </c>
      <c r="D715" s="1">
        <v>2020</v>
      </c>
      <c r="E715" s="1" t="s">
        <v>45</v>
      </c>
      <c r="F715" s="1">
        <v>2</v>
      </c>
      <c r="G715" s="1" t="s">
        <v>46</v>
      </c>
      <c r="H715" s="1" t="s">
        <v>47</v>
      </c>
      <c r="I715" s="1">
        <v>92000</v>
      </c>
      <c r="J715" s="1">
        <v>77000</v>
      </c>
      <c r="K715" s="1">
        <v>15000</v>
      </c>
      <c r="L715" s="1">
        <v>0</v>
      </c>
      <c r="M715" s="1" t="s">
        <v>34</v>
      </c>
      <c r="N715" s="1" t="s">
        <v>63</v>
      </c>
      <c r="O715" s="1" t="s">
        <v>57</v>
      </c>
      <c r="P715" s="1" t="s">
        <v>57</v>
      </c>
      <c r="Q715" s="1" t="s">
        <v>38</v>
      </c>
      <c r="R715" s="1" t="s">
        <v>4170</v>
      </c>
      <c r="S715" s="3">
        <v>919456000000</v>
      </c>
      <c r="T715" s="1" t="s">
        <v>86</v>
      </c>
      <c r="U715" s="1">
        <v>68</v>
      </c>
      <c r="V715" s="1">
        <v>89</v>
      </c>
      <c r="W715" s="1" t="s">
        <v>52</v>
      </c>
      <c r="X715" s="1">
        <v>292906</v>
      </c>
      <c r="Y715" s="2">
        <v>36457</v>
      </c>
      <c r="Z715" s="1">
        <v>-6.8210262828535599</v>
      </c>
      <c r="AA715" s="1">
        <v>24</v>
      </c>
      <c r="AB715" s="1">
        <v>184000</v>
      </c>
      <c r="AC715" s="1">
        <f t="shared" si="11"/>
        <v>214000</v>
      </c>
    </row>
    <row r="716" spans="1:29" x14ac:dyDescent="0.25">
      <c r="A716" s="1" t="s">
        <v>4171</v>
      </c>
      <c r="B716" s="1" t="s">
        <v>2728</v>
      </c>
      <c r="C716" s="1" t="s">
        <v>2729</v>
      </c>
      <c r="D716" s="1">
        <v>2020</v>
      </c>
      <c r="E716" s="1" t="s">
        <v>31</v>
      </c>
      <c r="F716" s="1">
        <v>4</v>
      </c>
      <c r="G716" s="1" t="s">
        <v>32</v>
      </c>
      <c r="H716" s="1" t="s">
        <v>113</v>
      </c>
      <c r="I716" s="1">
        <v>169000</v>
      </c>
      <c r="J716" s="1">
        <v>154000</v>
      </c>
      <c r="K716" s="1">
        <v>15000</v>
      </c>
      <c r="L716" s="1">
        <v>0</v>
      </c>
      <c r="M716" s="1" t="s">
        <v>34</v>
      </c>
      <c r="N716" s="1" t="s">
        <v>70</v>
      </c>
      <c r="O716" s="1" t="s">
        <v>78</v>
      </c>
      <c r="P716" s="1" t="s">
        <v>79</v>
      </c>
      <c r="Q716" s="1" t="s">
        <v>38</v>
      </c>
      <c r="R716" s="1" t="s">
        <v>4172</v>
      </c>
      <c r="S716" s="3">
        <v>918123000000</v>
      </c>
      <c r="T716" s="1" t="s">
        <v>51</v>
      </c>
      <c r="U716" s="1">
        <v>68</v>
      </c>
      <c r="V716" s="1">
        <v>71</v>
      </c>
      <c r="W716" s="1" t="s">
        <v>41</v>
      </c>
      <c r="X716" s="1">
        <v>690303</v>
      </c>
      <c r="Y716" s="2">
        <v>36992</v>
      </c>
      <c r="Z716" s="1">
        <v>-6.8210262828535599</v>
      </c>
      <c r="AA716" s="1">
        <v>23</v>
      </c>
      <c r="AB716" s="1">
        <v>676000</v>
      </c>
      <c r="AC716" s="1">
        <f t="shared" si="11"/>
        <v>736000</v>
      </c>
    </row>
    <row r="717" spans="1:29" x14ac:dyDescent="0.25">
      <c r="A717" s="1" t="s">
        <v>4173</v>
      </c>
      <c r="B717" s="1" t="s">
        <v>4174</v>
      </c>
      <c r="C717" s="1" t="s">
        <v>4175</v>
      </c>
      <c r="D717" s="1">
        <v>2020</v>
      </c>
      <c r="E717" s="1" t="s">
        <v>31</v>
      </c>
      <c r="F717" s="1">
        <v>4</v>
      </c>
      <c r="G717" s="1" t="s">
        <v>32</v>
      </c>
      <c r="H717" s="1" t="s">
        <v>102</v>
      </c>
      <c r="I717" s="1">
        <v>169000</v>
      </c>
      <c r="J717" s="1">
        <v>154000</v>
      </c>
      <c r="K717" s="1">
        <v>15000</v>
      </c>
      <c r="L717" s="1">
        <v>0</v>
      </c>
      <c r="M717" s="1" t="s">
        <v>34</v>
      </c>
      <c r="N717" s="1" t="s">
        <v>35</v>
      </c>
      <c r="O717" s="1" t="s">
        <v>48</v>
      </c>
      <c r="P717" s="1" t="s">
        <v>49</v>
      </c>
      <c r="Q717" s="1" t="s">
        <v>38</v>
      </c>
      <c r="R717" s="1" t="s">
        <v>4176</v>
      </c>
      <c r="S717" s="3">
        <v>917400000000</v>
      </c>
      <c r="T717" s="1" t="s">
        <v>51</v>
      </c>
      <c r="U717" s="1">
        <v>68</v>
      </c>
      <c r="V717" s="1">
        <v>63</v>
      </c>
      <c r="W717" s="1" t="s">
        <v>41</v>
      </c>
      <c r="X717" s="1">
        <v>328696</v>
      </c>
      <c r="Y717" s="2">
        <v>37995</v>
      </c>
      <c r="Z717" s="1">
        <v>-6.8210262828535599</v>
      </c>
      <c r="AA717" s="1">
        <v>20</v>
      </c>
      <c r="AB717" s="1">
        <v>676000</v>
      </c>
      <c r="AC717" s="1">
        <f t="shared" si="11"/>
        <v>736000</v>
      </c>
    </row>
    <row r="718" spans="1:29" x14ac:dyDescent="0.25">
      <c r="A718" s="1" t="s">
        <v>4213</v>
      </c>
      <c r="B718" s="1" t="s">
        <v>4214</v>
      </c>
      <c r="C718" s="1" t="s">
        <v>4215</v>
      </c>
      <c r="D718" s="1">
        <v>2020</v>
      </c>
      <c r="E718" s="1" t="s">
        <v>45</v>
      </c>
      <c r="F718" s="1">
        <v>2</v>
      </c>
      <c r="G718" s="1" t="s">
        <v>46</v>
      </c>
      <c r="H718" s="1" t="s">
        <v>102</v>
      </c>
      <c r="I718" s="1">
        <v>92000</v>
      </c>
      <c r="J718" s="1">
        <v>77000</v>
      </c>
      <c r="K718" s="1">
        <v>15000</v>
      </c>
      <c r="L718" s="1">
        <v>0</v>
      </c>
      <c r="M718" s="1" t="s">
        <v>34</v>
      </c>
      <c r="N718" s="1" t="s">
        <v>35</v>
      </c>
      <c r="O718" s="1" t="s">
        <v>36</v>
      </c>
      <c r="P718" s="1" t="s">
        <v>37</v>
      </c>
      <c r="Q718" s="1" t="s">
        <v>38</v>
      </c>
      <c r="R718" s="1" t="s">
        <v>4216</v>
      </c>
      <c r="S718" s="3">
        <v>918477000000</v>
      </c>
      <c r="T718" s="1" t="s">
        <v>98</v>
      </c>
      <c r="U718" s="1">
        <v>68</v>
      </c>
      <c r="V718" s="1">
        <v>86</v>
      </c>
      <c r="W718" s="1" t="s">
        <v>52</v>
      </c>
      <c r="X718" s="1">
        <v>581140</v>
      </c>
      <c r="Y718" s="2">
        <v>37429</v>
      </c>
      <c r="Z718" s="1">
        <v>-6.8210262828535599</v>
      </c>
      <c r="AA718" s="1">
        <v>22</v>
      </c>
      <c r="AB718" s="1">
        <v>184000</v>
      </c>
      <c r="AC718" s="1">
        <f t="shared" si="11"/>
        <v>214000</v>
      </c>
    </row>
    <row r="719" spans="1:29" x14ac:dyDescent="0.25">
      <c r="A719" s="1" t="s">
        <v>4217</v>
      </c>
      <c r="B719" s="1" t="s">
        <v>2100</v>
      </c>
      <c r="C719" s="1" t="s">
        <v>2101</v>
      </c>
      <c r="D719" s="1">
        <v>2020</v>
      </c>
      <c r="E719" s="1" t="s">
        <v>31</v>
      </c>
      <c r="F719" s="1">
        <v>4</v>
      </c>
      <c r="G719" s="1" t="s">
        <v>32</v>
      </c>
      <c r="H719" s="1" t="s">
        <v>113</v>
      </c>
      <c r="I719" s="1">
        <v>169000</v>
      </c>
      <c r="J719" s="1">
        <v>154000</v>
      </c>
      <c r="K719" s="1">
        <v>15000</v>
      </c>
      <c r="L719" s="1">
        <v>0</v>
      </c>
      <c r="M719" s="1" t="s">
        <v>34</v>
      </c>
      <c r="N719" s="1" t="s">
        <v>70</v>
      </c>
      <c r="O719" s="1" t="s">
        <v>57</v>
      </c>
      <c r="P719" s="1" t="s">
        <v>57</v>
      </c>
      <c r="Q719" s="1" t="s">
        <v>38</v>
      </c>
      <c r="R719" s="1" t="s">
        <v>4218</v>
      </c>
      <c r="S719" s="3">
        <v>919701000000</v>
      </c>
      <c r="T719" s="1" t="s">
        <v>98</v>
      </c>
      <c r="U719" s="1">
        <v>68</v>
      </c>
      <c r="V719" s="1">
        <v>82</v>
      </c>
      <c r="W719" s="1" t="s">
        <v>52</v>
      </c>
      <c r="X719" s="1">
        <v>732092</v>
      </c>
      <c r="Y719" s="2">
        <v>38147</v>
      </c>
      <c r="Z719" s="1">
        <v>-6.8210262828535599</v>
      </c>
      <c r="AA719" s="1">
        <v>20</v>
      </c>
      <c r="AB719" s="1">
        <v>676000</v>
      </c>
      <c r="AC719" s="1">
        <f t="shared" si="11"/>
        <v>736000</v>
      </c>
    </row>
    <row r="720" spans="1:29" x14ac:dyDescent="0.25">
      <c r="A720" s="1" t="s">
        <v>4225</v>
      </c>
      <c r="B720" s="1" t="s">
        <v>4040</v>
      </c>
      <c r="C720" s="1" t="s">
        <v>4041</v>
      </c>
      <c r="D720" s="1">
        <v>2020</v>
      </c>
      <c r="E720" s="1" t="s">
        <v>31</v>
      </c>
      <c r="F720" s="1">
        <v>4</v>
      </c>
      <c r="G720" s="1" t="s">
        <v>32</v>
      </c>
      <c r="H720" s="1" t="s">
        <v>33</v>
      </c>
      <c r="I720" s="1">
        <v>169000</v>
      </c>
      <c r="J720" s="1">
        <v>154000</v>
      </c>
      <c r="K720" s="1">
        <v>15000</v>
      </c>
      <c r="L720" s="1">
        <v>0</v>
      </c>
      <c r="M720" s="1" t="s">
        <v>34</v>
      </c>
      <c r="N720" s="1" t="s">
        <v>35</v>
      </c>
      <c r="O720" s="1" t="s">
        <v>48</v>
      </c>
      <c r="P720" s="1" t="s">
        <v>49</v>
      </c>
      <c r="Q720" s="1" t="s">
        <v>38</v>
      </c>
      <c r="R720" s="1" t="s">
        <v>4226</v>
      </c>
      <c r="S720" s="3">
        <v>919703000000</v>
      </c>
      <c r="T720" s="1" t="s">
        <v>86</v>
      </c>
      <c r="U720" s="1">
        <v>68</v>
      </c>
      <c r="V720" s="1">
        <v>73</v>
      </c>
      <c r="W720" s="1" t="s">
        <v>41</v>
      </c>
      <c r="X720" s="1">
        <v>198555</v>
      </c>
      <c r="Y720" s="2">
        <v>37954</v>
      </c>
      <c r="Z720" s="1">
        <v>-6.8210262828535599</v>
      </c>
      <c r="AA720" s="1">
        <v>20</v>
      </c>
      <c r="AB720" s="1">
        <v>676000</v>
      </c>
      <c r="AC720" s="1">
        <f t="shared" si="11"/>
        <v>736000</v>
      </c>
    </row>
    <row r="721" spans="1:29" x14ac:dyDescent="0.25">
      <c r="A721" s="1" t="s">
        <v>4251</v>
      </c>
      <c r="B721" s="1" t="s">
        <v>4252</v>
      </c>
      <c r="C721" s="1" t="s">
        <v>4253</v>
      </c>
      <c r="D721" s="1">
        <v>2020</v>
      </c>
      <c r="E721" s="1" t="s">
        <v>31</v>
      </c>
      <c r="F721" s="1">
        <v>4</v>
      </c>
      <c r="G721" s="1" t="s">
        <v>32</v>
      </c>
      <c r="H721" s="1" t="s">
        <v>102</v>
      </c>
      <c r="I721" s="1">
        <v>169000</v>
      </c>
      <c r="J721" s="1">
        <v>154000</v>
      </c>
      <c r="K721" s="1">
        <v>15000</v>
      </c>
      <c r="L721" s="1">
        <v>0</v>
      </c>
      <c r="M721" s="1" t="s">
        <v>34</v>
      </c>
      <c r="N721" s="1" t="s">
        <v>35</v>
      </c>
      <c r="O721" s="1" t="s">
        <v>103</v>
      </c>
      <c r="P721" s="1" t="s">
        <v>104</v>
      </c>
      <c r="Q721" s="1" t="s">
        <v>38</v>
      </c>
      <c r="R721" s="1" t="s">
        <v>4254</v>
      </c>
      <c r="S721" s="3">
        <v>917470000000</v>
      </c>
      <c r="T721" s="1" t="s">
        <v>40</v>
      </c>
      <c r="U721" s="1">
        <v>68</v>
      </c>
      <c r="V721" s="1">
        <v>77</v>
      </c>
      <c r="W721" s="1" t="s">
        <v>41</v>
      </c>
      <c r="X721" s="1">
        <v>790228</v>
      </c>
      <c r="Y721" s="2">
        <v>37933</v>
      </c>
      <c r="Z721" s="1">
        <v>-6.8210262828535599</v>
      </c>
      <c r="AA721" s="1">
        <v>20</v>
      </c>
      <c r="AB721" s="1">
        <v>676000</v>
      </c>
      <c r="AC721" s="1">
        <f t="shared" si="11"/>
        <v>736000</v>
      </c>
    </row>
    <row r="722" spans="1:29" x14ac:dyDescent="0.25">
      <c r="A722" s="1" t="s">
        <v>4292</v>
      </c>
      <c r="B722" s="1" t="s">
        <v>4293</v>
      </c>
      <c r="C722" s="1" t="s">
        <v>4294</v>
      </c>
      <c r="D722" s="1">
        <v>2020</v>
      </c>
      <c r="E722" s="1" t="s">
        <v>31</v>
      </c>
      <c r="F722" s="1">
        <v>4</v>
      </c>
      <c r="G722" s="1" t="s">
        <v>32</v>
      </c>
      <c r="H722" s="1" t="s">
        <v>210</v>
      </c>
      <c r="I722" s="1">
        <v>169000</v>
      </c>
      <c r="J722" s="1">
        <v>154000</v>
      </c>
      <c r="K722" s="1">
        <v>15000</v>
      </c>
      <c r="L722" s="1">
        <v>0</v>
      </c>
      <c r="M722" s="1" t="s">
        <v>34</v>
      </c>
      <c r="N722" s="1" t="s">
        <v>35</v>
      </c>
      <c r="O722" s="1" t="s">
        <v>78</v>
      </c>
      <c r="P722" s="1" t="s">
        <v>79</v>
      </c>
      <c r="Q722" s="1" t="s">
        <v>38</v>
      </c>
      <c r="R722" s="1" t="s">
        <v>4295</v>
      </c>
      <c r="S722" s="3">
        <v>918576000000</v>
      </c>
      <c r="T722" s="1" t="s">
        <v>51</v>
      </c>
      <c r="U722" s="1">
        <v>68</v>
      </c>
      <c r="V722" s="1">
        <v>79</v>
      </c>
      <c r="W722" s="1" t="s">
        <v>52</v>
      </c>
      <c r="X722" s="1">
        <v>159513</v>
      </c>
      <c r="Y722" s="2">
        <v>37823</v>
      </c>
      <c r="Z722" s="1">
        <v>-6.8210262828535599</v>
      </c>
      <c r="AA722" s="1">
        <v>20</v>
      </c>
      <c r="AB722" s="1">
        <v>676000</v>
      </c>
      <c r="AC722" s="1">
        <f t="shared" si="11"/>
        <v>736000</v>
      </c>
    </row>
    <row r="723" spans="1:29" x14ac:dyDescent="0.25">
      <c r="A723" s="1" t="s">
        <v>4302</v>
      </c>
      <c r="B723" s="1" t="s">
        <v>4303</v>
      </c>
      <c r="C723" s="1" t="s">
        <v>4304</v>
      </c>
      <c r="D723" s="1">
        <v>2020</v>
      </c>
      <c r="E723" s="1" t="s">
        <v>31</v>
      </c>
      <c r="F723" s="1">
        <v>4</v>
      </c>
      <c r="G723" s="1" t="s">
        <v>32</v>
      </c>
      <c r="H723" s="1" t="s">
        <v>33</v>
      </c>
      <c r="I723" s="1">
        <v>169000</v>
      </c>
      <c r="J723" s="1">
        <v>154000</v>
      </c>
      <c r="K723" s="1">
        <v>15000</v>
      </c>
      <c r="L723" s="1">
        <v>0</v>
      </c>
      <c r="M723" s="1" t="s">
        <v>34</v>
      </c>
      <c r="N723" s="1" t="s">
        <v>63</v>
      </c>
      <c r="O723" s="1" t="s">
        <v>71</v>
      </c>
      <c r="P723" s="1" t="s">
        <v>72</v>
      </c>
      <c r="Q723" s="1" t="s">
        <v>38</v>
      </c>
      <c r="R723" s="1" t="s">
        <v>4305</v>
      </c>
      <c r="S723" s="3">
        <v>918893000000</v>
      </c>
      <c r="T723" s="1" t="s">
        <v>40</v>
      </c>
      <c r="U723" s="1">
        <v>68</v>
      </c>
      <c r="V723" s="1">
        <v>80</v>
      </c>
      <c r="W723" s="1" t="s">
        <v>52</v>
      </c>
      <c r="X723" s="1">
        <v>546423</v>
      </c>
      <c r="Y723" s="2">
        <v>37313</v>
      </c>
      <c r="Z723" s="1">
        <v>-6.8210262828535599</v>
      </c>
      <c r="AA723" s="1">
        <v>22</v>
      </c>
      <c r="AB723" s="1">
        <v>676000</v>
      </c>
      <c r="AC723" s="1">
        <f t="shared" si="11"/>
        <v>736000</v>
      </c>
    </row>
    <row r="724" spans="1:29" x14ac:dyDescent="0.25">
      <c r="A724" s="1" t="s">
        <v>4316</v>
      </c>
      <c r="B724" s="1" t="s">
        <v>1930</v>
      </c>
      <c r="C724" s="1" t="s">
        <v>1931</v>
      </c>
      <c r="D724" s="1">
        <v>2020</v>
      </c>
      <c r="E724" s="1" t="s">
        <v>31</v>
      </c>
      <c r="F724" s="1">
        <v>4</v>
      </c>
      <c r="G724" s="1" t="s">
        <v>32</v>
      </c>
      <c r="H724" s="1" t="s">
        <v>33</v>
      </c>
      <c r="I724" s="1">
        <v>169000</v>
      </c>
      <c r="J724" s="1">
        <v>154000</v>
      </c>
      <c r="K724" s="1">
        <v>15000</v>
      </c>
      <c r="L724" s="1">
        <v>0</v>
      </c>
      <c r="M724" s="1" t="s">
        <v>34</v>
      </c>
      <c r="N724" s="1" t="s">
        <v>35</v>
      </c>
      <c r="O724" s="1" t="s">
        <v>91</v>
      </c>
      <c r="P724" s="1" t="s">
        <v>92</v>
      </c>
      <c r="Q724" s="1" t="s">
        <v>38</v>
      </c>
      <c r="R724" s="1" t="s">
        <v>4317</v>
      </c>
      <c r="S724" s="3">
        <v>917663000000</v>
      </c>
      <c r="T724" s="1" t="s">
        <v>86</v>
      </c>
      <c r="U724" s="1">
        <v>67</v>
      </c>
      <c r="V724" s="1">
        <v>91</v>
      </c>
      <c r="W724" s="1" t="s">
        <v>41</v>
      </c>
      <c r="X724" s="1">
        <v>491292</v>
      </c>
      <c r="Y724" s="2">
        <v>38806</v>
      </c>
      <c r="Z724" s="1">
        <v>-7.8210262828535599</v>
      </c>
      <c r="AA724" s="1">
        <v>18</v>
      </c>
      <c r="AB724" s="1">
        <v>676000</v>
      </c>
      <c r="AC724" s="1">
        <f t="shared" si="11"/>
        <v>736000</v>
      </c>
    </row>
    <row r="725" spans="1:29" x14ac:dyDescent="0.25">
      <c r="A725" s="1" t="s">
        <v>4324</v>
      </c>
      <c r="B725" s="1" t="s">
        <v>4325</v>
      </c>
      <c r="C725" s="1" t="s">
        <v>4326</v>
      </c>
      <c r="D725" s="1">
        <v>2020</v>
      </c>
      <c r="E725" s="1" t="s">
        <v>31</v>
      </c>
      <c r="F725" s="1">
        <v>4</v>
      </c>
      <c r="G725" s="1" t="s">
        <v>32</v>
      </c>
      <c r="H725" s="1" t="s">
        <v>102</v>
      </c>
      <c r="I725" s="1">
        <v>169000</v>
      </c>
      <c r="J725" s="1">
        <v>154000</v>
      </c>
      <c r="K725" s="1">
        <v>15000</v>
      </c>
      <c r="L725" s="1">
        <v>0</v>
      </c>
      <c r="M725" s="1" t="s">
        <v>34</v>
      </c>
      <c r="N725" s="1" t="s">
        <v>63</v>
      </c>
      <c r="O725" s="1" t="s">
        <v>91</v>
      </c>
      <c r="P725" s="1" t="s">
        <v>92</v>
      </c>
      <c r="Q725" s="1" t="s">
        <v>38</v>
      </c>
      <c r="R725" s="1" t="s">
        <v>4327</v>
      </c>
      <c r="S725" s="3">
        <v>918524000000</v>
      </c>
      <c r="T725" s="1" t="s">
        <v>74</v>
      </c>
      <c r="U725" s="1">
        <v>67</v>
      </c>
      <c r="V725" s="1">
        <v>73</v>
      </c>
      <c r="W725" s="1" t="s">
        <v>52</v>
      </c>
      <c r="X725" s="1">
        <v>611677</v>
      </c>
      <c r="Y725" s="2">
        <v>37912</v>
      </c>
      <c r="Z725" s="1">
        <v>-7.8210262828535599</v>
      </c>
      <c r="AA725" s="1">
        <v>20</v>
      </c>
      <c r="AB725" s="1">
        <v>676000</v>
      </c>
      <c r="AC725" s="1">
        <f t="shared" si="11"/>
        <v>736000</v>
      </c>
    </row>
    <row r="726" spans="1:29" x14ac:dyDescent="0.25">
      <c r="A726" s="1" t="s">
        <v>4350</v>
      </c>
      <c r="B726" s="1" t="s">
        <v>4214</v>
      </c>
      <c r="C726" s="1" t="s">
        <v>4215</v>
      </c>
      <c r="D726" s="1">
        <v>2020</v>
      </c>
      <c r="E726" s="1" t="s">
        <v>31</v>
      </c>
      <c r="F726" s="1">
        <v>4</v>
      </c>
      <c r="G726" s="1" t="s">
        <v>32</v>
      </c>
      <c r="H726" s="1" t="s">
        <v>210</v>
      </c>
      <c r="I726" s="1">
        <v>169000</v>
      </c>
      <c r="J726" s="1">
        <v>154000</v>
      </c>
      <c r="K726" s="1">
        <v>15000</v>
      </c>
      <c r="L726" s="1">
        <v>0</v>
      </c>
      <c r="M726" s="1" t="s">
        <v>34</v>
      </c>
      <c r="N726" s="1" t="s">
        <v>63</v>
      </c>
      <c r="O726" s="1" t="s">
        <v>78</v>
      </c>
      <c r="P726" s="1" t="s">
        <v>79</v>
      </c>
      <c r="Q726" s="1" t="s">
        <v>38</v>
      </c>
      <c r="R726" s="1" t="s">
        <v>4351</v>
      </c>
      <c r="S726" s="3">
        <v>918385000000</v>
      </c>
      <c r="T726" s="1" t="s">
        <v>40</v>
      </c>
      <c r="U726" s="1">
        <v>67</v>
      </c>
      <c r="V726" s="1">
        <v>82</v>
      </c>
      <c r="W726" s="1" t="s">
        <v>52</v>
      </c>
      <c r="X726" s="1">
        <v>679823</v>
      </c>
      <c r="Y726" s="2">
        <v>38029</v>
      </c>
      <c r="Z726" s="1">
        <v>-7.8210262828535599</v>
      </c>
      <c r="AA726" s="1">
        <v>20</v>
      </c>
      <c r="AB726" s="1">
        <v>676000</v>
      </c>
      <c r="AC726" s="1">
        <f t="shared" si="11"/>
        <v>736000</v>
      </c>
    </row>
    <row r="727" spans="1:29" x14ac:dyDescent="0.25">
      <c r="A727" s="1" t="s">
        <v>4356</v>
      </c>
      <c r="B727" s="1" t="s">
        <v>2006</v>
      </c>
      <c r="C727" s="1" t="s">
        <v>2007</v>
      </c>
      <c r="D727" s="1">
        <v>2020</v>
      </c>
      <c r="E727" s="1" t="s">
        <v>45</v>
      </c>
      <c r="F727" s="1">
        <v>2</v>
      </c>
      <c r="G727" s="1" t="s">
        <v>46</v>
      </c>
      <c r="H727" s="1" t="s">
        <v>47</v>
      </c>
      <c r="I727" s="1">
        <v>92000</v>
      </c>
      <c r="J727" s="1">
        <v>77000</v>
      </c>
      <c r="K727" s="1">
        <v>15000</v>
      </c>
      <c r="L727" s="1">
        <v>0</v>
      </c>
      <c r="M727" s="1" t="s">
        <v>34</v>
      </c>
      <c r="N727" s="1" t="s">
        <v>35</v>
      </c>
      <c r="O727" s="1" t="s">
        <v>57</v>
      </c>
      <c r="P727" s="1" t="s">
        <v>57</v>
      </c>
      <c r="Q727" s="1" t="s">
        <v>38</v>
      </c>
      <c r="R727" s="1" t="s">
        <v>4357</v>
      </c>
      <c r="S727" s="3">
        <v>919090000000</v>
      </c>
      <c r="T727" s="1" t="s">
        <v>74</v>
      </c>
      <c r="U727" s="1">
        <v>67</v>
      </c>
      <c r="V727" s="1">
        <v>67</v>
      </c>
      <c r="W727" s="1" t="s">
        <v>52</v>
      </c>
      <c r="X727" s="1">
        <v>731803</v>
      </c>
      <c r="Y727" s="2">
        <v>35272</v>
      </c>
      <c r="Z727" s="1">
        <v>-7.8210262828535599</v>
      </c>
      <c r="AA727" s="1">
        <v>27</v>
      </c>
      <c r="AB727" s="1">
        <v>184000</v>
      </c>
      <c r="AC727" s="1">
        <f t="shared" si="11"/>
        <v>214000</v>
      </c>
    </row>
    <row r="728" spans="1:29" x14ac:dyDescent="0.25">
      <c r="A728" s="1" t="s">
        <v>4377</v>
      </c>
      <c r="B728" s="1" t="s">
        <v>1321</v>
      </c>
      <c r="C728" s="1" t="s">
        <v>1322</v>
      </c>
      <c r="D728" s="1">
        <v>2020</v>
      </c>
      <c r="E728" s="1" t="s">
        <v>45</v>
      </c>
      <c r="F728" s="1">
        <v>2</v>
      </c>
      <c r="G728" s="1" t="s">
        <v>46</v>
      </c>
      <c r="H728" s="1" t="s">
        <v>47</v>
      </c>
      <c r="I728" s="1">
        <v>92000</v>
      </c>
      <c r="J728" s="1">
        <v>77000</v>
      </c>
      <c r="K728" s="1">
        <v>15000</v>
      </c>
      <c r="L728" s="1">
        <v>0</v>
      </c>
      <c r="M728" s="1" t="s">
        <v>34</v>
      </c>
      <c r="N728" s="1" t="s">
        <v>35</v>
      </c>
      <c r="O728" s="1" t="s">
        <v>64</v>
      </c>
      <c r="P728" s="1" t="s">
        <v>65</v>
      </c>
      <c r="Q728" s="1" t="s">
        <v>38</v>
      </c>
      <c r="R728" s="1" t="s">
        <v>4378</v>
      </c>
      <c r="S728" s="3">
        <v>919337000000</v>
      </c>
      <c r="T728" s="1" t="s">
        <v>51</v>
      </c>
      <c r="U728" s="1">
        <v>67</v>
      </c>
      <c r="V728" s="1">
        <v>74</v>
      </c>
      <c r="W728" s="1" t="s">
        <v>41</v>
      </c>
      <c r="X728" s="1">
        <v>797418</v>
      </c>
      <c r="Y728" s="2">
        <v>36314</v>
      </c>
      <c r="Z728" s="1">
        <v>-7.8210262828535599</v>
      </c>
      <c r="AA728" s="1">
        <v>25</v>
      </c>
      <c r="AB728" s="1">
        <v>184000</v>
      </c>
      <c r="AC728" s="1">
        <f t="shared" si="11"/>
        <v>214000</v>
      </c>
    </row>
    <row r="729" spans="1:29" x14ac:dyDescent="0.25">
      <c r="A729" s="1" t="s">
        <v>4401</v>
      </c>
      <c r="B729" s="1" t="s">
        <v>4402</v>
      </c>
      <c r="C729" s="1" t="s">
        <v>4403</v>
      </c>
      <c r="D729" s="1">
        <v>2020</v>
      </c>
      <c r="E729" s="1" t="s">
        <v>31</v>
      </c>
      <c r="F729" s="1">
        <v>4</v>
      </c>
      <c r="G729" s="1" t="s">
        <v>32</v>
      </c>
      <c r="H729" s="1" t="s">
        <v>102</v>
      </c>
      <c r="I729" s="1">
        <v>169000</v>
      </c>
      <c r="J729" s="1">
        <v>154000</v>
      </c>
      <c r="K729" s="1">
        <v>15000</v>
      </c>
      <c r="L729" s="1">
        <v>0</v>
      </c>
      <c r="M729" s="1" t="s">
        <v>34</v>
      </c>
      <c r="N729" s="1" t="s">
        <v>70</v>
      </c>
      <c r="O729" s="1" t="s">
        <v>48</v>
      </c>
      <c r="P729" s="1" t="s">
        <v>49</v>
      </c>
      <c r="Q729" s="1" t="s">
        <v>38</v>
      </c>
      <c r="R729" s="1" t="s">
        <v>4404</v>
      </c>
      <c r="S729" s="3">
        <v>918038000000</v>
      </c>
      <c r="T729" s="1" t="s">
        <v>40</v>
      </c>
      <c r="U729" s="1">
        <v>67</v>
      </c>
      <c r="V729" s="1">
        <v>68</v>
      </c>
      <c r="W729" s="1" t="s">
        <v>41</v>
      </c>
      <c r="X729" s="1">
        <v>257438</v>
      </c>
      <c r="Y729" s="2">
        <v>37216</v>
      </c>
      <c r="Z729" s="1">
        <v>-7.8210262828535599</v>
      </c>
      <c r="AA729" s="1">
        <v>22</v>
      </c>
      <c r="AB729" s="1">
        <v>676000</v>
      </c>
      <c r="AC729" s="1">
        <f t="shared" si="11"/>
        <v>736000</v>
      </c>
    </row>
    <row r="730" spans="1:29" x14ac:dyDescent="0.25">
      <c r="A730" s="1" t="s">
        <v>4405</v>
      </c>
      <c r="B730" s="1" t="s">
        <v>4406</v>
      </c>
      <c r="C730" s="1" t="s">
        <v>4407</v>
      </c>
      <c r="D730" s="1">
        <v>2020</v>
      </c>
      <c r="E730" s="1" t="s">
        <v>31</v>
      </c>
      <c r="F730" s="1">
        <v>4</v>
      </c>
      <c r="G730" s="1" t="s">
        <v>32</v>
      </c>
      <c r="H730" s="1" t="s">
        <v>122</v>
      </c>
      <c r="I730" s="1">
        <v>169000</v>
      </c>
      <c r="J730" s="1">
        <v>154000</v>
      </c>
      <c r="K730" s="1">
        <v>15000</v>
      </c>
      <c r="L730" s="1">
        <v>0</v>
      </c>
      <c r="M730" s="1" t="s">
        <v>34</v>
      </c>
      <c r="N730" s="1" t="s">
        <v>35</v>
      </c>
      <c r="O730" s="1" t="s">
        <v>91</v>
      </c>
      <c r="P730" s="1" t="s">
        <v>92</v>
      </c>
      <c r="Q730" s="1" t="s">
        <v>38</v>
      </c>
      <c r="R730" s="1" t="s">
        <v>4408</v>
      </c>
      <c r="S730" s="3">
        <v>918408000000</v>
      </c>
      <c r="T730" s="1" t="s">
        <v>98</v>
      </c>
      <c r="U730" s="1">
        <v>67</v>
      </c>
      <c r="V730" s="1">
        <v>77</v>
      </c>
      <c r="W730" s="1" t="s">
        <v>52</v>
      </c>
      <c r="X730" s="1">
        <v>264854</v>
      </c>
      <c r="Y730" s="2">
        <v>37500</v>
      </c>
      <c r="Z730" s="1">
        <v>-7.8210262828535599</v>
      </c>
      <c r="AA730" s="1">
        <v>21</v>
      </c>
      <c r="AB730" s="1">
        <v>676000</v>
      </c>
      <c r="AC730" s="1">
        <f t="shared" si="11"/>
        <v>736000</v>
      </c>
    </row>
    <row r="731" spans="1:29" x14ac:dyDescent="0.25">
      <c r="A731" s="1" t="s">
        <v>4459</v>
      </c>
      <c r="B731" s="1" t="s">
        <v>1487</v>
      </c>
      <c r="C731" s="1" t="s">
        <v>1488</v>
      </c>
      <c r="D731" s="1">
        <v>2020</v>
      </c>
      <c r="E731" s="1" t="s">
        <v>31</v>
      </c>
      <c r="F731" s="1">
        <v>4</v>
      </c>
      <c r="G731" s="1" t="s">
        <v>32</v>
      </c>
      <c r="H731" s="1" t="s">
        <v>33</v>
      </c>
      <c r="I731" s="1">
        <v>169000</v>
      </c>
      <c r="J731" s="1">
        <v>154000</v>
      </c>
      <c r="K731" s="1">
        <v>15000</v>
      </c>
      <c r="L731" s="1">
        <v>0</v>
      </c>
      <c r="M731" s="1" t="s">
        <v>34</v>
      </c>
      <c r="N731" s="1" t="s">
        <v>35</v>
      </c>
      <c r="O731" s="1" t="s">
        <v>57</v>
      </c>
      <c r="P731" s="1" t="s">
        <v>57</v>
      </c>
      <c r="Q731" s="1" t="s">
        <v>38</v>
      </c>
      <c r="R731" s="1" t="s">
        <v>4460</v>
      </c>
      <c r="S731" s="3">
        <v>918217000000</v>
      </c>
      <c r="T731" s="1" t="s">
        <v>40</v>
      </c>
      <c r="U731" s="1">
        <v>67</v>
      </c>
      <c r="V731" s="1">
        <v>63</v>
      </c>
      <c r="W731" s="1" t="s">
        <v>41</v>
      </c>
      <c r="X731" s="1">
        <v>258178</v>
      </c>
      <c r="Y731" s="2">
        <v>37602</v>
      </c>
      <c r="Z731" s="1">
        <v>-7.8210262828535599</v>
      </c>
      <c r="AA731" s="1">
        <v>21</v>
      </c>
      <c r="AB731" s="1">
        <v>676000</v>
      </c>
      <c r="AC731" s="1">
        <f t="shared" si="11"/>
        <v>736000</v>
      </c>
    </row>
    <row r="732" spans="1:29" x14ac:dyDescent="0.25">
      <c r="A732" s="1" t="s">
        <v>4484</v>
      </c>
      <c r="B732" s="1" t="s">
        <v>3336</v>
      </c>
      <c r="C732" s="1" t="s">
        <v>3337</v>
      </c>
      <c r="D732" s="1">
        <v>2020</v>
      </c>
      <c r="E732" s="1" t="s">
        <v>45</v>
      </c>
      <c r="F732" s="1">
        <v>2</v>
      </c>
      <c r="G732" s="1" t="s">
        <v>46</v>
      </c>
      <c r="H732" s="1" t="s">
        <v>90</v>
      </c>
      <c r="I732" s="1">
        <v>92000</v>
      </c>
      <c r="J732" s="1">
        <v>77000</v>
      </c>
      <c r="K732" s="1">
        <v>15000</v>
      </c>
      <c r="L732" s="1">
        <v>0</v>
      </c>
      <c r="M732" s="1" t="s">
        <v>34</v>
      </c>
      <c r="N732" s="1" t="s">
        <v>63</v>
      </c>
      <c r="O732" s="1" t="s">
        <v>91</v>
      </c>
      <c r="P732" s="1" t="s">
        <v>92</v>
      </c>
      <c r="Q732" s="1" t="s">
        <v>38</v>
      </c>
      <c r="R732" s="1" t="s">
        <v>4485</v>
      </c>
      <c r="S732" s="3">
        <v>917056000000</v>
      </c>
      <c r="T732" s="1" t="s">
        <v>74</v>
      </c>
      <c r="U732" s="1">
        <v>66</v>
      </c>
      <c r="V732" s="1">
        <v>88</v>
      </c>
      <c r="W732" s="1" t="s">
        <v>52</v>
      </c>
      <c r="X732" s="1">
        <v>372290</v>
      </c>
      <c r="Y732" s="2">
        <v>36108</v>
      </c>
      <c r="Z732" s="1">
        <v>-8.8210262828535608</v>
      </c>
      <c r="AA732" s="1">
        <v>25</v>
      </c>
      <c r="AB732" s="1">
        <v>184000</v>
      </c>
      <c r="AC732" s="1">
        <f t="shared" si="11"/>
        <v>214000</v>
      </c>
    </row>
    <row r="733" spans="1:29" x14ac:dyDescent="0.25">
      <c r="A733" s="1" t="s">
        <v>590</v>
      </c>
      <c r="B733" s="1" t="s">
        <v>4488</v>
      </c>
      <c r="C733" s="1" t="s">
        <v>4489</v>
      </c>
      <c r="D733" s="1">
        <v>2020</v>
      </c>
      <c r="E733" s="1" t="s">
        <v>31</v>
      </c>
      <c r="F733" s="1">
        <v>4</v>
      </c>
      <c r="G733" s="1" t="s">
        <v>32</v>
      </c>
      <c r="H733" s="1" t="s">
        <v>90</v>
      </c>
      <c r="I733" s="1">
        <v>169000</v>
      </c>
      <c r="J733" s="1">
        <v>154000</v>
      </c>
      <c r="K733" s="1">
        <v>15000</v>
      </c>
      <c r="L733" s="1">
        <v>0</v>
      </c>
      <c r="M733" s="1" t="s">
        <v>34</v>
      </c>
      <c r="N733" s="1" t="s">
        <v>35</v>
      </c>
      <c r="O733" s="1" t="s">
        <v>36</v>
      </c>
      <c r="P733" s="1" t="s">
        <v>37</v>
      </c>
      <c r="Q733" s="1" t="s">
        <v>38</v>
      </c>
      <c r="R733" s="1" t="s">
        <v>4490</v>
      </c>
      <c r="S733" s="3">
        <v>918815000000</v>
      </c>
      <c r="T733" s="1" t="s">
        <v>51</v>
      </c>
      <c r="U733" s="1">
        <v>66</v>
      </c>
      <c r="V733" s="1">
        <v>71</v>
      </c>
      <c r="W733" s="1" t="s">
        <v>52</v>
      </c>
      <c r="X733" s="1">
        <v>441777</v>
      </c>
      <c r="Y733" s="2">
        <v>38843</v>
      </c>
      <c r="Z733" s="1">
        <v>-8.8210262828535608</v>
      </c>
      <c r="AA733" s="1">
        <v>18</v>
      </c>
      <c r="AB733" s="1">
        <v>676000</v>
      </c>
      <c r="AC733" s="1">
        <f t="shared" si="11"/>
        <v>736000</v>
      </c>
    </row>
    <row r="734" spans="1:29" x14ac:dyDescent="0.25">
      <c r="A734" s="1" t="s">
        <v>4509</v>
      </c>
      <c r="B734" s="1" t="s">
        <v>4510</v>
      </c>
      <c r="C734" s="1" t="s">
        <v>4511</v>
      </c>
      <c r="D734" s="1">
        <v>2020</v>
      </c>
      <c r="E734" s="1" t="s">
        <v>31</v>
      </c>
      <c r="F734" s="1">
        <v>4</v>
      </c>
      <c r="G734" s="1" t="s">
        <v>32</v>
      </c>
      <c r="H734" s="1" t="s">
        <v>62</v>
      </c>
      <c r="I734" s="1">
        <v>169000</v>
      </c>
      <c r="J734" s="1">
        <v>154000</v>
      </c>
      <c r="K734" s="1">
        <v>15000</v>
      </c>
      <c r="L734" s="1">
        <v>0</v>
      </c>
      <c r="M734" s="1" t="s">
        <v>34</v>
      </c>
      <c r="N734" s="1" t="s">
        <v>70</v>
      </c>
      <c r="O734" s="1" t="s">
        <v>84</v>
      </c>
      <c r="P734" s="1" t="s">
        <v>65</v>
      </c>
      <c r="Q734" s="1" t="s">
        <v>38</v>
      </c>
      <c r="R734" s="1" t="s">
        <v>4512</v>
      </c>
      <c r="S734" s="3">
        <v>917975000000</v>
      </c>
      <c r="T734" s="1" t="s">
        <v>40</v>
      </c>
      <c r="U734" s="1">
        <v>66</v>
      </c>
      <c r="V734" s="1">
        <v>78</v>
      </c>
      <c r="W734" s="1" t="s">
        <v>41</v>
      </c>
      <c r="X734" s="1">
        <v>329355</v>
      </c>
      <c r="Y734" s="2">
        <v>36722</v>
      </c>
      <c r="Z734" s="1">
        <v>-8.8210262828535608</v>
      </c>
      <c r="AA734" s="1">
        <v>23</v>
      </c>
      <c r="AB734" s="1">
        <v>676000</v>
      </c>
      <c r="AC734" s="1">
        <f t="shared" si="11"/>
        <v>736000</v>
      </c>
    </row>
    <row r="735" spans="1:29" x14ac:dyDescent="0.25">
      <c r="A735" s="1" t="s">
        <v>4529</v>
      </c>
      <c r="B735" s="1" t="s">
        <v>4530</v>
      </c>
      <c r="C735" s="1" t="s">
        <v>4531</v>
      </c>
      <c r="D735" s="1">
        <v>2020</v>
      </c>
      <c r="E735" s="1" t="s">
        <v>31</v>
      </c>
      <c r="F735" s="1">
        <v>4</v>
      </c>
      <c r="G735" s="1" t="s">
        <v>32</v>
      </c>
      <c r="H735" s="1" t="s">
        <v>90</v>
      </c>
      <c r="I735" s="1">
        <v>169000</v>
      </c>
      <c r="J735" s="1">
        <v>154000</v>
      </c>
      <c r="K735" s="1">
        <v>15000</v>
      </c>
      <c r="L735" s="1">
        <v>0</v>
      </c>
      <c r="M735" s="1" t="s">
        <v>34</v>
      </c>
      <c r="N735" s="1" t="s">
        <v>70</v>
      </c>
      <c r="O735" s="1" t="s">
        <v>36</v>
      </c>
      <c r="P735" s="1" t="s">
        <v>37</v>
      </c>
      <c r="Q735" s="1" t="s">
        <v>38</v>
      </c>
      <c r="R735" s="1" t="s">
        <v>4532</v>
      </c>
      <c r="S735" s="3">
        <v>918648000000</v>
      </c>
      <c r="T735" s="1" t="s">
        <v>98</v>
      </c>
      <c r="U735" s="1">
        <v>66</v>
      </c>
      <c r="V735" s="1">
        <v>78</v>
      </c>
      <c r="W735" s="1" t="s">
        <v>52</v>
      </c>
      <c r="X735" s="1">
        <v>566233</v>
      </c>
      <c r="Y735" s="2">
        <v>36913</v>
      </c>
      <c r="Z735" s="1">
        <v>-8.8210262828535608</v>
      </c>
      <c r="AA735" s="1">
        <v>23</v>
      </c>
      <c r="AB735" s="1">
        <v>676000</v>
      </c>
      <c r="AC735" s="1">
        <f t="shared" si="11"/>
        <v>736000</v>
      </c>
    </row>
    <row r="736" spans="1:29" x14ac:dyDescent="0.25">
      <c r="A736" s="1" t="s">
        <v>4535</v>
      </c>
      <c r="B736" s="1" t="s">
        <v>3820</v>
      </c>
      <c r="C736" s="1" t="s">
        <v>3821</v>
      </c>
      <c r="D736" s="1">
        <v>2020</v>
      </c>
      <c r="E736" s="1" t="s">
        <v>31</v>
      </c>
      <c r="F736" s="1">
        <v>4</v>
      </c>
      <c r="G736" s="1" t="s">
        <v>32</v>
      </c>
      <c r="H736" s="1" t="s">
        <v>113</v>
      </c>
      <c r="I736" s="1">
        <v>169000</v>
      </c>
      <c r="J736" s="1">
        <v>154000</v>
      </c>
      <c r="K736" s="1">
        <v>15000</v>
      </c>
      <c r="L736" s="1">
        <v>0</v>
      </c>
      <c r="M736" s="1" t="s">
        <v>34</v>
      </c>
      <c r="N736" s="1" t="s">
        <v>35</v>
      </c>
      <c r="O736" s="1" t="s">
        <v>188</v>
      </c>
      <c r="P736" s="1" t="s">
        <v>189</v>
      </c>
      <c r="Q736" s="1" t="s">
        <v>38</v>
      </c>
      <c r="R736" s="1" t="s">
        <v>4536</v>
      </c>
      <c r="S736" s="3">
        <v>917794000000</v>
      </c>
      <c r="T736" s="1" t="s">
        <v>40</v>
      </c>
      <c r="U736" s="1">
        <v>66</v>
      </c>
      <c r="V736" s="1">
        <v>82</v>
      </c>
      <c r="W736" s="1" t="s">
        <v>52</v>
      </c>
      <c r="X736" s="1">
        <v>548909</v>
      </c>
      <c r="Y736" s="2">
        <v>37127</v>
      </c>
      <c r="Z736" s="1">
        <v>-8.8210262828535608</v>
      </c>
      <c r="AA736" s="1">
        <v>22</v>
      </c>
      <c r="AB736" s="1">
        <v>676000</v>
      </c>
      <c r="AC736" s="1">
        <f t="shared" si="11"/>
        <v>736000</v>
      </c>
    </row>
    <row r="737" spans="1:29" x14ac:dyDescent="0.25">
      <c r="A737" s="1" t="s">
        <v>4539</v>
      </c>
      <c r="B737" s="1" t="s">
        <v>4540</v>
      </c>
      <c r="C737" s="1" t="s">
        <v>4541</v>
      </c>
      <c r="D737" s="1">
        <v>2020</v>
      </c>
      <c r="E737" s="1" t="s">
        <v>31</v>
      </c>
      <c r="F737" s="1">
        <v>4</v>
      </c>
      <c r="G737" s="1" t="s">
        <v>32</v>
      </c>
      <c r="H737" s="1" t="s">
        <v>151</v>
      </c>
      <c r="I737" s="1">
        <v>169000</v>
      </c>
      <c r="J737" s="1">
        <v>154000</v>
      </c>
      <c r="K737" s="1">
        <v>15000</v>
      </c>
      <c r="L737" s="1">
        <v>0</v>
      </c>
      <c r="M737" s="1" t="s">
        <v>34</v>
      </c>
      <c r="N737" s="1" t="s">
        <v>63</v>
      </c>
      <c r="O737" s="1" t="s">
        <v>48</v>
      </c>
      <c r="P737" s="1" t="s">
        <v>49</v>
      </c>
      <c r="Q737" s="1" t="s">
        <v>38</v>
      </c>
      <c r="R737" s="1" t="s">
        <v>4542</v>
      </c>
      <c r="S737" s="3">
        <v>919215000000</v>
      </c>
      <c r="T737" s="1" t="s">
        <v>51</v>
      </c>
      <c r="U737" s="1">
        <v>66</v>
      </c>
      <c r="V737" s="1">
        <v>87</v>
      </c>
      <c r="W737" s="1" t="s">
        <v>52</v>
      </c>
      <c r="X737" s="1">
        <v>531689</v>
      </c>
      <c r="Y737" s="2">
        <v>38643</v>
      </c>
      <c r="Z737" s="1">
        <v>-8.8210262828535608</v>
      </c>
      <c r="AA737" s="1">
        <v>18</v>
      </c>
      <c r="AB737" s="1">
        <v>676000</v>
      </c>
      <c r="AC737" s="1">
        <f t="shared" si="11"/>
        <v>736000</v>
      </c>
    </row>
    <row r="738" spans="1:29" x14ac:dyDescent="0.25">
      <c r="A738" s="1" t="s">
        <v>4557</v>
      </c>
      <c r="B738" s="1" t="s">
        <v>4558</v>
      </c>
      <c r="C738" s="1" t="s">
        <v>4559</v>
      </c>
      <c r="D738" s="1">
        <v>2020</v>
      </c>
      <c r="E738" s="1" t="s">
        <v>31</v>
      </c>
      <c r="F738" s="1">
        <v>4</v>
      </c>
      <c r="G738" s="1" t="s">
        <v>32</v>
      </c>
      <c r="H738" s="1" t="s">
        <v>90</v>
      </c>
      <c r="I738" s="1">
        <v>169000</v>
      </c>
      <c r="J738" s="1">
        <v>154000</v>
      </c>
      <c r="K738" s="1">
        <v>15000</v>
      </c>
      <c r="L738" s="1">
        <v>0</v>
      </c>
      <c r="M738" s="1" t="s">
        <v>34</v>
      </c>
      <c r="N738" s="1" t="s">
        <v>63</v>
      </c>
      <c r="O738" s="1" t="s">
        <v>48</v>
      </c>
      <c r="P738" s="1" t="s">
        <v>49</v>
      </c>
      <c r="Q738" s="1" t="s">
        <v>38</v>
      </c>
      <c r="R738" s="1" t="s">
        <v>4560</v>
      </c>
      <c r="S738" s="3">
        <v>918801000000</v>
      </c>
      <c r="T738" s="1" t="s">
        <v>86</v>
      </c>
      <c r="U738" s="1">
        <v>66</v>
      </c>
      <c r="V738" s="1">
        <v>71</v>
      </c>
      <c r="W738" s="1" t="s">
        <v>41</v>
      </c>
      <c r="X738" s="1">
        <v>724534</v>
      </c>
      <c r="Y738" s="2">
        <v>37936</v>
      </c>
      <c r="Z738" s="1">
        <v>-8.8210262828535608</v>
      </c>
      <c r="AA738" s="1">
        <v>20</v>
      </c>
      <c r="AB738" s="1">
        <v>676000</v>
      </c>
      <c r="AC738" s="1">
        <f t="shared" si="11"/>
        <v>736000</v>
      </c>
    </row>
    <row r="739" spans="1:29" x14ac:dyDescent="0.25">
      <c r="A739" s="1" t="s">
        <v>4607</v>
      </c>
      <c r="B739" s="1" t="s">
        <v>4608</v>
      </c>
      <c r="C739" s="1" t="s">
        <v>4609</v>
      </c>
      <c r="D739" s="1">
        <v>2020</v>
      </c>
      <c r="E739" s="1" t="s">
        <v>31</v>
      </c>
      <c r="F739" s="1">
        <v>4</v>
      </c>
      <c r="G739" s="1" t="s">
        <v>32</v>
      </c>
      <c r="H739" s="1" t="s">
        <v>102</v>
      </c>
      <c r="I739" s="1">
        <v>169000</v>
      </c>
      <c r="J739" s="1">
        <v>154000</v>
      </c>
      <c r="K739" s="1">
        <v>15000</v>
      </c>
      <c r="L739" s="1">
        <v>0</v>
      </c>
      <c r="M739" s="1" t="s">
        <v>34</v>
      </c>
      <c r="N739" s="1" t="s">
        <v>35</v>
      </c>
      <c r="O739" s="1" t="s">
        <v>84</v>
      </c>
      <c r="P739" s="1" t="s">
        <v>65</v>
      </c>
      <c r="Q739" s="1" t="s">
        <v>38</v>
      </c>
      <c r="R739" s="1" t="s">
        <v>4610</v>
      </c>
      <c r="S739" s="3">
        <v>917913000000</v>
      </c>
      <c r="T739" s="1" t="s">
        <v>51</v>
      </c>
      <c r="U739" s="1">
        <v>66</v>
      </c>
      <c r="V739" s="1">
        <v>73</v>
      </c>
      <c r="W739" s="1" t="s">
        <v>41</v>
      </c>
      <c r="X739" s="1">
        <v>334562</v>
      </c>
      <c r="Y739" s="2">
        <v>37233</v>
      </c>
      <c r="Z739" s="1">
        <v>-8.8210262828535608</v>
      </c>
      <c r="AA739" s="1">
        <v>22</v>
      </c>
      <c r="AB739" s="1">
        <v>676000</v>
      </c>
      <c r="AC739" s="1">
        <f t="shared" si="11"/>
        <v>736000</v>
      </c>
    </row>
    <row r="740" spans="1:29" x14ac:dyDescent="0.25">
      <c r="A740" s="1" t="s">
        <v>4615</v>
      </c>
      <c r="B740" s="1" t="s">
        <v>4616</v>
      </c>
      <c r="C740" s="1" t="s">
        <v>4617</v>
      </c>
      <c r="D740" s="1">
        <v>2020</v>
      </c>
      <c r="E740" s="1" t="s">
        <v>31</v>
      </c>
      <c r="F740" s="1">
        <v>4</v>
      </c>
      <c r="G740" s="1" t="s">
        <v>32</v>
      </c>
      <c r="H740" s="1" t="s">
        <v>210</v>
      </c>
      <c r="I740" s="1">
        <v>169000</v>
      </c>
      <c r="J740" s="1">
        <v>154000</v>
      </c>
      <c r="K740" s="1">
        <v>15000</v>
      </c>
      <c r="L740" s="1">
        <v>0</v>
      </c>
      <c r="M740" s="1" t="s">
        <v>34</v>
      </c>
      <c r="N740" s="1" t="s">
        <v>35</v>
      </c>
      <c r="O740" s="1" t="s">
        <v>91</v>
      </c>
      <c r="P740" s="1" t="s">
        <v>92</v>
      </c>
      <c r="Q740" s="1" t="s">
        <v>38</v>
      </c>
      <c r="R740" s="1" t="s">
        <v>4618</v>
      </c>
      <c r="S740" s="3">
        <v>919404000000</v>
      </c>
      <c r="T740" s="1" t="s">
        <v>98</v>
      </c>
      <c r="U740" s="1">
        <v>66</v>
      </c>
      <c r="V740" s="1">
        <v>88</v>
      </c>
      <c r="W740" s="1" t="s">
        <v>52</v>
      </c>
      <c r="X740" s="1">
        <v>353524</v>
      </c>
      <c r="Y740" s="2">
        <v>38742</v>
      </c>
      <c r="Z740" s="1">
        <v>-8.8210262828535608</v>
      </c>
      <c r="AA740" s="1">
        <v>18</v>
      </c>
      <c r="AB740" s="1">
        <v>676000</v>
      </c>
      <c r="AC740" s="1">
        <f t="shared" si="11"/>
        <v>736000</v>
      </c>
    </row>
    <row r="741" spans="1:29" x14ac:dyDescent="0.25">
      <c r="A741" s="1" t="s">
        <v>4657</v>
      </c>
      <c r="B741" s="1" t="s">
        <v>4658</v>
      </c>
      <c r="C741" s="1" t="s">
        <v>4659</v>
      </c>
      <c r="D741" s="1">
        <v>2020</v>
      </c>
      <c r="E741" s="1" t="s">
        <v>31</v>
      </c>
      <c r="F741" s="1">
        <v>4</v>
      </c>
      <c r="G741" s="1" t="s">
        <v>32</v>
      </c>
      <c r="H741" s="1" t="s">
        <v>151</v>
      </c>
      <c r="I741" s="1">
        <v>169000</v>
      </c>
      <c r="J741" s="1">
        <v>154000</v>
      </c>
      <c r="K741" s="1">
        <v>15000</v>
      </c>
      <c r="L741" s="1">
        <v>0</v>
      </c>
      <c r="M741" s="1" t="s">
        <v>34</v>
      </c>
      <c r="N741" s="1" t="s">
        <v>63</v>
      </c>
      <c r="O741" s="1" t="s">
        <v>78</v>
      </c>
      <c r="P741" s="1" t="s">
        <v>79</v>
      </c>
      <c r="Q741" s="1" t="s">
        <v>38</v>
      </c>
      <c r="R741" s="1" t="s">
        <v>4660</v>
      </c>
      <c r="S741" s="3">
        <v>918905000000</v>
      </c>
      <c r="T741" s="1" t="s">
        <v>74</v>
      </c>
      <c r="U741" s="1">
        <v>65</v>
      </c>
      <c r="V741" s="1">
        <v>69</v>
      </c>
      <c r="W741" s="1" t="s">
        <v>41</v>
      </c>
      <c r="X741" s="1">
        <v>636429</v>
      </c>
      <c r="Y741" s="2">
        <v>37054</v>
      </c>
      <c r="Z741" s="1">
        <v>-9.8210262828535608</v>
      </c>
      <c r="AA741" s="1">
        <v>23</v>
      </c>
      <c r="AB741" s="1">
        <v>676000</v>
      </c>
      <c r="AC741" s="1">
        <f t="shared" si="11"/>
        <v>736000</v>
      </c>
    </row>
    <row r="742" spans="1:29" x14ac:dyDescent="0.25">
      <c r="A742" s="1" t="s">
        <v>4663</v>
      </c>
      <c r="B742" s="1" t="s">
        <v>4664</v>
      </c>
      <c r="C742" s="1" t="s">
        <v>4665</v>
      </c>
      <c r="D742" s="1">
        <v>2020</v>
      </c>
      <c r="E742" s="1" t="s">
        <v>31</v>
      </c>
      <c r="F742" s="1">
        <v>4</v>
      </c>
      <c r="G742" s="1" t="s">
        <v>32</v>
      </c>
      <c r="H742" s="1" t="s">
        <v>113</v>
      </c>
      <c r="I742" s="1">
        <v>169000</v>
      </c>
      <c r="J742" s="1">
        <v>154000</v>
      </c>
      <c r="K742" s="1">
        <v>15000</v>
      </c>
      <c r="L742" s="1">
        <v>0</v>
      </c>
      <c r="M742" s="1" t="s">
        <v>34</v>
      </c>
      <c r="N742" s="1" t="s">
        <v>35</v>
      </c>
      <c r="O742" s="1" t="s">
        <v>71</v>
      </c>
      <c r="P742" s="1" t="s">
        <v>72</v>
      </c>
      <c r="Q742" s="1" t="s">
        <v>38</v>
      </c>
      <c r="R742" s="1" t="s">
        <v>4666</v>
      </c>
      <c r="S742" s="3">
        <v>919929000000</v>
      </c>
      <c r="T742" s="1" t="s">
        <v>98</v>
      </c>
      <c r="U742" s="1">
        <v>65</v>
      </c>
      <c r="V742" s="1">
        <v>69</v>
      </c>
      <c r="W742" s="1" t="s">
        <v>52</v>
      </c>
      <c r="X742" s="1">
        <v>731898</v>
      </c>
      <c r="Y742" s="2">
        <v>37858</v>
      </c>
      <c r="Z742" s="1">
        <v>-9.8210262828535608</v>
      </c>
      <c r="AA742" s="1">
        <v>20</v>
      </c>
      <c r="AB742" s="1">
        <v>676000</v>
      </c>
      <c r="AC742" s="1">
        <f t="shared" si="11"/>
        <v>736000</v>
      </c>
    </row>
    <row r="743" spans="1:29" x14ac:dyDescent="0.25">
      <c r="A743" s="1" t="s">
        <v>4694</v>
      </c>
      <c r="B743" s="1" t="s">
        <v>325</v>
      </c>
      <c r="C743" s="1" t="s">
        <v>326</v>
      </c>
      <c r="D743" s="1">
        <v>2020</v>
      </c>
      <c r="E743" s="1" t="s">
        <v>31</v>
      </c>
      <c r="F743" s="1">
        <v>4</v>
      </c>
      <c r="G743" s="1" t="s">
        <v>32</v>
      </c>
      <c r="H743" s="1" t="s">
        <v>151</v>
      </c>
      <c r="I743" s="1">
        <v>169000</v>
      </c>
      <c r="J743" s="1">
        <v>154000</v>
      </c>
      <c r="K743" s="1">
        <v>15000</v>
      </c>
      <c r="L743" s="1">
        <v>0</v>
      </c>
      <c r="M743" s="1" t="s">
        <v>34</v>
      </c>
      <c r="N743" s="1" t="s">
        <v>63</v>
      </c>
      <c r="O743" s="1" t="s">
        <v>78</v>
      </c>
      <c r="P743" s="1" t="s">
        <v>79</v>
      </c>
      <c r="Q743" s="1" t="s">
        <v>38</v>
      </c>
      <c r="R743" s="1" t="s">
        <v>4695</v>
      </c>
      <c r="S743" s="3">
        <v>917116000000</v>
      </c>
      <c r="T743" s="1" t="s">
        <v>86</v>
      </c>
      <c r="U743" s="1">
        <v>65</v>
      </c>
      <c r="V743" s="1">
        <v>89</v>
      </c>
      <c r="W743" s="1" t="s">
        <v>41</v>
      </c>
      <c r="X743" s="1">
        <v>661848</v>
      </c>
      <c r="Y743" s="2">
        <v>37721</v>
      </c>
      <c r="Z743" s="1">
        <v>-9.8210262828535608</v>
      </c>
      <c r="AA743" s="1">
        <v>21</v>
      </c>
      <c r="AB743" s="1">
        <v>676000</v>
      </c>
      <c r="AC743" s="1">
        <f t="shared" si="11"/>
        <v>736000</v>
      </c>
    </row>
    <row r="744" spans="1:29" x14ac:dyDescent="0.25">
      <c r="A744" s="1" t="s">
        <v>4700</v>
      </c>
      <c r="B744" s="1" t="s">
        <v>4701</v>
      </c>
      <c r="C744" s="1" t="s">
        <v>4702</v>
      </c>
      <c r="D744" s="1">
        <v>2020</v>
      </c>
      <c r="E744" s="1" t="s">
        <v>31</v>
      </c>
      <c r="F744" s="1">
        <v>4</v>
      </c>
      <c r="G744" s="1" t="s">
        <v>32</v>
      </c>
      <c r="H744" s="1" t="s">
        <v>62</v>
      </c>
      <c r="I744" s="1">
        <v>169000</v>
      </c>
      <c r="J744" s="1">
        <v>154000</v>
      </c>
      <c r="K744" s="1">
        <v>15000</v>
      </c>
      <c r="L744" s="1">
        <v>0</v>
      </c>
      <c r="M744" s="1" t="s">
        <v>34</v>
      </c>
      <c r="N744" s="1" t="s">
        <v>35</v>
      </c>
      <c r="O744" s="1" t="s">
        <v>64</v>
      </c>
      <c r="P744" s="1" t="s">
        <v>65</v>
      </c>
      <c r="Q744" s="1" t="s">
        <v>38</v>
      </c>
      <c r="R744" s="1" t="s">
        <v>4703</v>
      </c>
      <c r="S744" s="3">
        <v>917973000000</v>
      </c>
      <c r="T744" s="1" t="s">
        <v>74</v>
      </c>
      <c r="U744" s="1">
        <v>65</v>
      </c>
      <c r="V744" s="1">
        <v>61</v>
      </c>
      <c r="W744" s="1" t="s">
        <v>52</v>
      </c>
      <c r="X744" s="1">
        <v>358747</v>
      </c>
      <c r="Y744" s="2">
        <v>38186</v>
      </c>
      <c r="Z744" s="1">
        <v>-9.8210262828535608</v>
      </c>
      <c r="AA744" s="1">
        <v>19</v>
      </c>
      <c r="AB744" s="1">
        <v>676000</v>
      </c>
      <c r="AC744" s="1">
        <f t="shared" si="11"/>
        <v>736000</v>
      </c>
    </row>
    <row r="745" spans="1:29" x14ac:dyDescent="0.25">
      <c r="A745" s="1" t="s">
        <v>4710</v>
      </c>
      <c r="B745" s="1" t="s">
        <v>3099</v>
      </c>
      <c r="C745" s="1" t="s">
        <v>3100</v>
      </c>
      <c r="D745" s="1">
        <v>2020</v>
      </c>
      <c r="E745" s="1" t="s">
        <v>45</v>
      </c>
      <c r="F745" s="1">
        <v>2</v>
      </c>
      <c r="G745" s="1" t="s">
        <v>46</v>
      </c>
      <c r="H745" s="1" t="s">
        <v>62</v>
      </c>
      <c r="I745" s="1">
        <v>92000</v>
      </c>
      <c r="J745" s="1">
        <v>77000</v>
      </c>
      <c r="K745" s="1">
        <v>15000</v>
      </c>
      <c r="L745" s="1">
        <v>0</v>
      </c>
      <c r="M745" s="1" t="s">
        <v>34</v>
      </c>
      <c r="N745" s="1" t="s">
        <v>70</v>
      </c>
      <c r="O745" s="1" t="s">
        <v>78</v>
      </c>
      <c r="P745" s="1" t="s">
        <v>79</v>
      </c>
      <c r="Q745" s="1" t="s">
        <v>38</v>
      </c>
      <c r="R745" s="1" t="s">
        <v>4711</v>
      </c>
      <c r="S745" s="3">
        <v>919783000000</v>
      </c>
      <c r="T745" s="1" t="s">
        <v>51</v>
      </c>
      <c r="U745" s="1">
        <v>65</v>
      </c>
      <c r="V745" s="1">
        <v>75</v>
      </c>
      <c r="W745" s="1" t="s">
        <v>41</v>
      </c>
      <c r="X745" s="1">
        <v>365336</v>
      </c>
      <c r="Y745" s="2">
        <v>35915</v>
      </c>
      <c r="Z745" s="1">
        <v>-9.8210262828535608</v>
      </c>
      <c r="AA745" s="1">
        <v>26</v>
      </c>
      <c r="AB745" s="1">
        <v>184000</v>
      </c>
      <c r="AC745" s="1">
        <f t="shared" si="11"/>
        <v>214000</v>
      </c>
    </row>
    <row r="746" spans="1:29" x14ac:dyDescent="0.25">
      <c r="A746" s="1" t="s">
        <v>4724</v>
      </c>
      <c r="B746" s="1" t="s">
        <v>4725</v>
      </c>
      <c r="C746" s="1" t="s">
        <v>4726</v>
      </c>
      <c r="D746" s="1">
        <v>2020</v>
      </c>
      <c r="E746" s="1" t="s">
        <v>31</v>
      </c>
      <c r="F746" s="1">
        <v>4</v>
      </c>
      <c r="G746" s="1" t="s">
        <v>32</v>
      </c>
      <c r="H746" s="1" t="s">
        <v>90</v>
      </c>
      <c r="I746" s="1">
        <v>169000</v>
      </c>
      <c r="J746" s="1">
        <v>154000</v>
      </c>
      <c r="K746" s="1">
        <v>15000</v>
      </c>
      <c r="L746" s="1">
        <v>0</v>
      </c>
      <c r="M746" s="1" t="s">
        <v>34</v>
      </c>
      <c r="N746" s="1" t="s">
        <v>35</v>
      </c>
      <c r="O746" s="1" t="s">
        <v>78</v>
      </c>
      <c r="P746" s="1" t="s">
        <v>79</v>
      </c>
      <c r="Q746" s="1" t="s">
        <v>38</v>
      </c>
      <c r="R746" s="1" t="s">
        <v>4727</v>
      </c>
      <c r="S746" s="3">
        <v>919776000000</v>
      </c>
      <c r="T746" s="1" t="s">
        <v>86</v>
      </c>
      <c r="U746" s="1">
        <v>65</v>
      </c>
      <c r="V746" s="1">
        <v>77</v>
      </c>
      <c r="W746" s="1" t="s">
        <v>52</v>
      </c>
      <c r="X746" s="1">
        <v>636205</v>
      </c>
      <c r="Y746" s="2">
        <v>37578</v>
      </c>
      <c r="Z746" s="1">
        <v>-9.8210262828535608</v>
      </c>
      <c r="AA746" s="1">
        <v>21</v>
      </c>
      <c r="AB746" s="1">
        <v>676000</v>
      </c>
      <c r="AC746" s="1">
        <f t="shared" si="11"/>
        <v>736000</v>
      </c>
    </row>
    <row r="747" spans="1:29" x14ac:dyDescent="0.25">
      <c r="A747" s="1" t="s">
        <v>4764</v>
      </c>
      <c r="B747" s="1" t="s">
        <v>60</v>
      </c>
      <c r="C747" s="1" t="s">
        <v>61</v>
      </c>
      <c r="D747" s="1">
        <v>2020</v>
      </c>
      <c r="E747" s="1" t="s">
        <v>45</v>
      </c>
      <c r="F747" s="1">
        <v>2</v>
      </c>
      <c r="G747" s="1" t="s">
        <v>46</v>
      </c>
      <c r="H747" s="1" t="s">
        <v>113</v>
      </c>
      <c r="I747" s="1">
        <v>92000</v>
      </c>
      <c r="J747" s="1">
        <v>77000</v>
      </c>
      <c r="K747" s="1">
        <v>15000</v>
      </c>
      <c r="L747" s="1">
        <v>0</v>
      </c>
      <c r="M747" s="1" t="s">
        <v>34</v>
      </c>
      <c r="N747" s="1" t="s">
        <v>63</v>
      </c>
      <c r="O747" s="1" t="s">
        <v>64</v>
      </c>
      <c r="P747" s="1" t="s">
        <v>65</v>
      </c>
      <c r="Q747" s="1" t="s">
        <v>38</v>
      </c>
      <c r="R747" s="1" t="s">
        <v>4765</v>
      </c>
      <c r="S747" s="3">
        <v>917307000000</v>
      </c>
      <c r="T747" s="1" t="s">
        <v>86</v>
      </c>
      <c r="U747" s="1">
        <v>65</v>
      </c>
      <c r="V747" s="1">
        <v>78</v>
      </c>
      <c r="W747" s="1" t="s">
        <v>41</v>
      </c>
      <c r="X747" s="1">
        <v>653604</v>
      </c>
      <c r="Y747" s="2">
        <v>35702</v>
      </c>
      <c r="Z747" s="1">
        <v>-9.8210262828535608</v>
      </c>
      <c r="AA747" s="1">
        <v>26</v>
      </c>
      <c r="AB747" s="1">
        <v>184000</v>
      </c>
      <c r="AC747" s="1">
        <f t="shared" si="11"/>
        <v>214000</v>
      </c>
    </row>
    <row r="748" spans="1:29" x14ac:dyDescent="0.25">
      <c r="A748" s="1" t="s">
        <v>4766</v>
      </c>
      <c r="B748" s="1" t="s">
        <v>4767</v>
      </c>
      <c r="C748" s="1" t="s">
        <v>4768</v>
      </c>
      <c r="D748" s="1">
        <v>2020</v>
      </c>
      <c r="E748" s="1" t="s">
        <v>31</v>
      </c>
      <c r="F748" s="1">
        <v>4</v>
      </c>
      <c r="G748" s="1" t="s">
        <v>32</v>
      </c>
      <c r="H748" s="1" t="s">
        <v>56</v>
      </c>
      <c r="I748" s="1">
        <v>169000</v>
      </c>
      <c r="J748" s="1">
        <v>154000</v>
      </c>
      <c r="K748" s="1">
        <v>15000</v>
      </c>
      <c r="L748" s="1">
        <v>0</v>
      </c>
      <c r="M748" s="1" t="s">
        <v>34</v>
      </c>
      <c r="N748" s="1" t="s">
        <v>63</v>
      </c>
      <c r="O748" s="1" t="s">
        <v>91</v>
      </c>
      <c r="P748" s="1" t="s">
        <v>92</v>
      </c>
      <c r="Q748" s="1" t="s">
        <v>38</v>
      </c>
      <c r="R748" s="1" t="s">
        <v>4769</v>
      </c>
      <c r="S748" s="3">
        <v>917228000000</v>
      </c>
      <c r="T748" s="1" t="s">
        <v>98</v>
      </c>
      <c r="U748" s="1">
        <v>65</v>
      </c>
      <c r="V748" s="1">
        <v>79</v>
      </c>
      <c r="W748" s="1" t="s">
        <v>41</v>
      </c>
      <c r="X748" s="1">
        <v>531950</v>
      </c>
      <c r="Y748" s="2">
        <v>37288</v>
      </c>
      <c r="Z748" s="1">
        <v>-9.8210262828535608</v>
      </c>
      <c r="AA748" s="1">
        <v>22</v>
      </c>
      <c r="AB748" s="1">
        <v>676000</v>
      </c>
      <c r="AC748" s="1">
        <f t="shared" si="11"/>
        <v>736000</v>
      </c>
    </row>
    <row r="749" spans="1:29" x14ac:dyDescent="0.25">
      <c r="A749" s="1" t="s">
        <v>4778</v>
      </c>
      <c r="B749" s="1" t="s">
        <v>3413</v>
      </c>
      <c r="C749" s="1" t="s">
        <v>3414</v>
      </c>
      <c r="D749" s="1">
        <v>2020</v>
      </c>
      <c r="E749" s="1" t="s">
        <v>45</v>
      </c>
      <c r="F749" s="1">
        <v>2</v>
      </c>
      <c r="G749" s="1" t="s">
        <v>46</v>
      </c>
      <c r="H749" s="1" t="s">
        <v>90</v>
      </c>
      <c r="I749" s="1">
        <v>92000</v>
      </c>
      <c r="J749" s="1">
        <v>77000</v>
      </c>
      <c r="K749" s="1">
        <v>15000</v>
      </c>
      <c r="L749" s="1">
        <v>0</v>
      </c>
      <c r="M749" s="1" t="s">
        <v>34</v>
      </c>
      <c r="N749" s="1" t="s">
        <v>70</v>
      </c>
      <c r="O749" s="1" t="s">
        <v>64</v>
      </c>
      <c r="P749" s="1" t="s">
        <v>65</v>
      </c>
      <c r="Q749" s="1" t="s">
        <v>38</v>
      </c>
      <c r="R749" s="1" t="s">
        <v>4779</v>
      </c>
      <c r="S749" s="3">
        <v>917318000000</v>
      </c>
      <c r="T749" s="1" t="s">
        <v>98</v>
      </c>
      <c r="U749" s="1">
        <v>65</v>
      </c>
      <c r="V749" s="1">
        <v>67</v>
      </c>
      <c r="W749" s="1" t="s">
        <v>52</v>
      </c>
      <c r="X749" s="1">
        <v>166193</v>
      </c>
      <c r="Y749" s="2">
        <v>37277</v>
      </c>
      <c r="Z749" s="1">
        <v>-9.8210262828535608</v>
      </c>
      <c r="AA749" s="1">
        <v>22</v>
      </c>
      <c r="AB749" s="1">
        <v>184000</v>
      </c>
      <c r="AC749" s="1">
        <f t="shared" si="11"/>
        <v>214000</v>
      </c>
    </row>
    <row r="750" spans="1:29" x14ac:dyDescent="0.25">
      <c r="A750" s="1" t="s">
        <v>4782</v>
      </c>
      <c r="B750" s="1" t="s">
        <v>811</v>
      </c>
      <c r="C750" s="1" t="s">
        <v>812</v>
      </c>
      <c r="D750" s="1">
        <v>2020</v>
      </c>
      <c r="E750" s="1" t="s">
        <v>31</v>
      </c>
      <c r="F750" s="1">
        <v>4</v>
      </c>
      <c r="G750" s="1" t="s">
        <v>32</v>
      </c>
      <c r="H750" s="1" t="s">
        <v>210</v>
      </c>
      <c r="I750" s="1">
        <v>169000</v>
      </c>
      <c r="J750" s="1">
        <v>154000</v>
      </c>
      <c r="K750" s="1">
        <v>15000</v>
      </c>
      <c r="L750" s="1">
        <v>0</v>
      </c>
      <c r="M750" s="1" t="s">
        <v>34</v>
      </c>
      <c r="N750" s="1" t="s">
        <v>70</v>
      </c>
      <c r="O750" s="1" t="s">
        <v>188</v>
      </c>
      <c r="P750" s="1" t="s">
        <v>189</v>
      </c>
      <c r="Q750" s="1" t="s">
        <v>38</v>
      </c>
      <c r="R750" s="1" t="s">
        <v>4783</v>
      </c>
      <c r="S750" s="3">
        <v>917817000000</v>
      </c>
      <c r="T750" s="1" t="s">
        <v>86</v>
      </c>
      <c r="U750" s="1">
        <v>64</v>
      </c>
      <c r="V750" s="1">
        <v>70</v>
      </c>
      <c r="W750" s="1" t="s">
        <v>41</v>
      </c>
      <c r="X750" s="1">
        <v>391908</v>
      </c>
      <c r="Y750" s="2">
        <v>38414</v>
      </c>
      <c r="Z750" s="1">
        <v>-10.8210262828535</v>
      </c>
      <c r="AA750" s="1">
        <v>19</v>
      </c>
      <c r="AB750" s="1">
        <v>676000</v>
      </c>
      <c r="AC750" s="1">
        <f t="shared" si="11"/>
        <v>736000</v>
      </c>
    </row>
    <row r="751" spans="1:29" x14ac:dyDescent="0.25">
      <c r="A751" s="1" t="s">
        <v>4858</v>
      </c>
      <c r="B751" s="1" t="s">
        <v>4859</v>
      </c>
      <c r="C751" s="1" t="s">
        <v>4860</v>
      </c>
      <c r="D751" s="1">
        <v>2020</v>
      </c>
      <c r="E751" s="1" t="s">
        <v>31</v>
      </c>
      <c r="F751" s="1">
        <v>4</v>
      </c>
      <c r="G751" s="1" t="s">
        <v>32</v>
      </c>
      <c r="H751" s="1" t="s">
        <v>210</v>
      </c>
      <c r="I751" s="1">
        <v>169000</v>
      </c>
      <c r="J751" s="1">
        <v>154000</v>
      </c>
      <c r="K751" s="1">
        <v>15000</v>
      </c>
      <c r="L751" s="1">
        <v>0</v>
      </c>
      <c r="M751" s="1" t="s">
        <v>34</v>
      </c>
      <c r="N751" s="1" t="s">
        <v>63</v>
      </c>
      <c r="O751" s="1" t="s">
        <v>71</v>
      </c>
      <c r="P751" s="1" t="s">
        <v>72</v>
      </c>
      <c r="Q751" s="1" t="s">
        <v>38</v>
      </c>
      <c r="R751" s="1" t="s">
        <v>4861</v>
      </c>
      <c r="S751" s="3">
        <v>919161000000</v>
      </c>
      <c r="T751" s="1" t="s">
        <v>51</v>
      </c>
      <c r="U751" s="1">
        <v>64</v>
      </c>
      <c r="V751" s="1">
        <v>77</v>
      </c>
      <c r="W751" s="1" t="s">
        <v>52</v>
      </c>
      <c r="X751" s="1">
        <v>186024</v>
      </c>
      <c r="Y751" s="2">
        <v>38571</v>
      </c>
      <c r="Z751" s="1">
        <v>-10.8210262828535</v>
      </c>
      <c r="AA751" s="1">
        <v>18</v>
      </c>
      <c r="AB751" s="1">
        <v>676000</v>
      </c>
      <c r="AC751" s="1">
        <f t="shared" si="11"/>
        <v>736000</v>
      </c>
    </row>
    <row r="752" spans="1:29" x14ac:dyDescent="0.25">
      <c r="A752" s="1" t="s">
        <v>4930</v>
      </c>
      <c r="B752" s="1" t="s">
        <v>4325</v>
      </c>
      <c r="C752" s="1" t="s">
        <v>4326</v>
      </c>
      <c r="D752" s="1">
        <v>2020</v>
      </c>
      <c r="E752" s="1" t="s">
        <v>45</v>
      </c>
      <c r="F752" s="1">
        <v>2</v>
      </c>
      <c r="G752" s="1" t="s">
        <v>46</v>
      </c>
      <c r="H752" s="1" t="s">
        <v>113</v>
      </c>
      <c r="I752" s="1">
        <v>92000</v>
      </c>
      <c r="J752" s="1">
        <v>77000</v>
      </c>
      <c r="K752" s="1">
        <v>15000</v>
      </c>
      <c r="L752" s="1">
        <v>0</v>
      </c>
      <c r="M752" s="1" t="s">
        <v>34</v>
      </c>
      <c r="N752" s="1" t="s">
        <v>35</v>
      </c>
      <c r="O752" s="1" t="s">
        <v>48</v>
      </c>
      <c r="P752" s="1" t="s">
        <v>49</v>
      </c>
      <c r="Q752" s="1" t="s">
        <v>38</v>
      </c>
      <c r="R752" s="1" t="s">
        <v>4931</v>
      </c>
      <c r="S752" s="3">
        <v>919096000000</v>
      </c>
      <c r="T752" s="1" t="s">
        <v>51</v>
      </c>
      <c r="U752" s="1">
        <v>64</v>
      </c>
      <c r="V752" s="1">
        <v>71</v>
      </c>
      <c r="W752" s="1" t="s">
        <v>41</v>
      </c>
      <c r="X752" s="1">
        <v>596017</v>
      </c>
      <c r="Y752" s="2">
        <v>35822</v>
      </c>
      <c r="Z752" s="1">
        <v>-10.8210262828535</v>
      </c>
      <c r="AA752" s="1">
        <v>26</v>
      </c>
      <c r="AB752" s="1">
        <v>184000</v>
      </c>
      <c r="AC752" s="1">
        <f t="shared" si="11"/>
        <v>214000</v>
      </c>
    </row>
    <row r="753" spans="1:29" x14ac:dyDescent="0.25">
      <c r="A753" s="1" t="s">
        <v>4946</v>
      </c>
      <c r="B753" s="1" t="s">
        <v>4947</v>
      </c>
      <c r="C753" s="1" t="s">
        <v>4948</v>
      </c>
      <c r="D753" s="1">
        <v>2020</v>
      </c>
      <c r="E753" s="1" t="s">
        <v>31</v>
      </c>
      <c r="F753" s="1">
        <v>4</v>
      </c>
      <c r="G753" s="1" t="s">
        <v>32</v>
      </c>
      <c r="H753" s="1" t="s">
        <v>151</v>
      </c>
      <c r="I753" s="1">
        <v>169000</v>
      </c>
      <c r="J753" s="1">
        <v>154000</v>
      </c>
      <c r="K753" s="1">
        <v>15000</v>
      </c>
      <c r="L753" s="1">
        <v>0</v>
      </c>
      <c r="M753" s="1" t="s">
        <v>34</v>
      </c>
      <c r="N753" s="1" t="s">
        <v>35</v>
      </c>
      <c r="O753" s="1" t="s">
        <v>64</v>
      </c>
      <c r="P753" s="1" t="s">
        <v>65</v>
      </c>
      <c r="Q753" s="1" t="s">
        <v>38</v>
      </c>
      <c r="R753" s="1" t="s">
        <v>4949</v>
      </c>
      <c r="S753" s="3">
        <v>919976000000</v>
      </c>
      <c r="T753" s="1" t="s">
        <v>51</v>
      </c>
      <c r="U753" s="1">
        <v>64</v>
      </c>
      <c r="V753" s="1">
        <v>83</v>
      </c>
      <c r="W753" s="1" t="s">
        <v>52</v>
      </c>
      <c r="X753" s="1">
        <v>299890</v>
      </c>
      <c r="Y753" s="2">
        <v>37099</v>
      </c>
      <c r="Z753" s="1">
        <v>-10.8210262828535</v>
      </c>
      <c r="AA753" s="1">
        <v>22</v>
      </c>
      <c r="AB753" s="1">
        <v>676000</v>
      </c>
      <c r="AC753" s="1">
        <f t="shared" si="11"/>
        <v>736000</v>
      </c>
    </row>
    <row r="754" spans="1:29" x14ac:dyDescent="0.25">
      <c r="A754" s="1" t="s">
        <v>2530</v>
      </c>
      <c r="B754" s="1" t="s">
        <v>4630</v>
      </c>
      <c r="C754" s="1" t="s">
        <v>4631</v>
      </c>
      <c r="D754" s="1">
        <v>2020</v>
      </c>
      <c r="E754" s="1" t="s">
        <v>45</v>
      </c>
      <c r="F754" s="1">
        <v>2</v>
      </c>
      <c r="G754" s="1" t="s">
        <v>46</v>
      </c>
      <c r="H754" s="1" t="s">
        <v>33</v>
      </c>
      <c r="I754" s="1">
        <v>92000</v>
      </c>
      <c r="J754" s="1">
        <v>77000</v>
      </c>
      <c r="K754" s="1">
        <v>15000</v>
      </c>
      <c r="L754" s="1">
        <v>0</v>
      </c>
      <c r="M754" s="1" t="s">
        <v>34</v>
      </c>
      <c r="N754" s="1" t="s">
        <v>35</v>
      </c>
      <c r="O754" s="1" t="s">
        <v>48</v>
      </c>
      <c r="P754" s="1" t="s">
        <v>49</v>
      </c>
      <c r="Q754" s="1" t="s">
        <v>38</v>
      </c>
      <c r="R754" s="1" t="s">
        <v>5048</v>
      </c>
      <c r="S754" s="3">
        <v>917507000000</v>
      </c>
      <c r="T754" s="1" t="s">
        <v>51</v>
      </c>
      <c r="U754" s="1">
        <v>63</v>
      </c>
      <c r="V754" s="1">
        <v>62</v>
      </c>
      <c r="W754" s="1" t="s">
        <v>41</v>
      </c>
      <c r="X754" s="1">
        <v>641061</v>
      </c>
      <c r="Y754" s="2">
        <v>36614</v>
      </c>
      <c r="Z754" s="1">
        <v>-11.8210262828535</v>
      </c>
      <c r="AA754" s="1">
        <v>24</v>
      </c>
      <c r="AB754" s="1">
        <v>184000</v>
      </c>
      <c r="AC754" s="1">
        <f t="shared" si="11"/>
        <v>214000</v>
      </c>
    </row>
    <row r="755" spans="1:29" x14ac:dyDescent="0.25">
      <c r="A755" s="1" t="s">
        <v>5059</v>
      </c>
      <c r="B755" s="1" t="s">
        <v>5060</v>
      </c>
      <c r="C755" s="1" t="s">
        <v>5061</v>
      </c>
      <c r="D755" s="1">
        <v>2020</v>
      </c>
      <c r="E755" s="1" t="s">
        <v>31</v>
      </c>
      <c r="F755" s="1">
        <v>4</v>
      </c>
      <c r="G755" s="1" t="s">
        <v>32</v>
      </c>
      <c r="H755" s="1" t="s">
        <v>210</v>
      </c>
      <c r="I755" s="1">
        <v>169000</v>
      </c>
      <c r="J755" s="1">
        <v>154000</v>
      </c>
      <c r="K755" s="1">
        <v>15000</v>
      </c>
      <c r="L755" s="1">
        <v>0</v>
      </c>
      <c r="M755" s="1" t="s">
        <v>34</v>
      </c>
      <c r="N755" s="1" t="s">
        <v>70</v>
      </c>
      <c r="O755" s="1" t="s">
        <v>188</v>
      </c>
      <c r="P755" s="1" t="s">
        <v>189</v>
      </c>
      <c r="Q755" s="1" t="s">
        <v>38</v>
      </c>
      <c r="R755" s="1" t="s">
        <v>5062</v>
      </c>
      <c r="S755" s="3">
        <v>918495000000</v>
      </c>
      <c r="T755" s="1" t="s">
        <v>98</v>
      </c>
      <c r="U755" s="1">
        <v>63</v>
      </c>
      <c r="V755" s="1">
        <v>67</v>
      </c>
      <c r="W755" s="1" t="s">
        <v>41</v>
      </c>
      <c r="X755" s="1">
        <v>334378</v>
      </c>
      <c r="Y755" s="2">
        <v>37161</v>
      </c>
      <c r="Z755" s="1">
        <v>-11.8210262828535</v>
      </c>
      <c r="AA755" s="1">
        <v>22</v>
      </c>
      <c r="AB755" s="1">
        <v>676000</v>
      </c>
      <c r="AC755" s="1">
        <f t="shared" si="11"/>
        <v>736000</v>
      </c>
    </row>
    <row r="756" spans="1:29" x14ac:dyDescent="0.25">
      <c r="A756" s="1" t="s">
        <v>5075</v>
      </c>
      <c r="B756" s="1" t="s">
        <v>5076</v>
      </c>
      <c r="C756" s="1" t="s">
        <v>5077</v>
      </c>
      <c r="D756" s="1">
        <v>2020</v>
      </c>
      <c r="E756" s="1" t="s">
        <v>31</v>
      </c>
      <c r="F756" s="1">
        <v>4</v>
      </c>
      <c r="G756" s="1" t="s">
        <v>32</v>
      </c>
      <c r="H756" s="1" t="s">
        <v>62</v>
      </c>
      <c r="I756" s="1">
        <v>169000</v>
      </c>
      <c r="J756" s="1">
        <v>154000</v>
      </c>
      <c r="K756" s="1">
        <v>15000</v>
      </c>
      <c r="L756" s="1">
        <v>0</v>
      </c>
      <c r="M756" s="1" t="s">
        <v>34</v>
      </c>
      <c r="N756" s="1" t="s">
        <v>70</v>
      </c>
      <c r="O756" s="1" t="s">
        <v>57</v>
      </c>
      <c r="P756" s="1" t="s">
        <v>57</v>
      </c>
      <c r="Q756" s="1" t="s">
        <v>38</v>
      </c>
      <c r="R756" s="1" t="s">
        <v>5078</v>
      </c>
      <c r="S756" s="3">
        <v>917959000000</v>
      </c>
      <c r="T756" s="1" t="s">
        <v>98</v>
      </c>
      <c r="U756" s="1">
        <v>63</v>
      </c>
      <c r="V756" s="1">
        <v>63</v>
      </c>
      <c r="W756" s="1" t="s">
        <v>52</v>
      </c>
      <c r="X756" s="1">
        <v>732265</v>
      </c>
      <c r="Y756" s="2">
        <v>38454</v>
      </c>
      <c r="Z756" s="1">
        <v>-11.8210262828535</v>
      </c>
      <c r="AA756" s="1">
        <v>19</v>
      </c>
      <c r="AB756" s="1">
        <v>676000</v>
      </c>
      <c r="AC756" s="1">
        <f t="shared" si="11"/>
        <v>736000</v>
      </c>
    </row>
    <row r="757" spans="1:29" x14ac:dyDescent="0.25">
      <c r="A757" s="1" t="s">
        <v>5087</v>
      </c>
      <c r="B757" s="1" t="s">
        <v>5088</v>
      </c>
      <c r="C757" s="1" t="s">
        <v>5089</v>
      </c>
      <c r="D757" s="1">
        <v>2020</v>
      </c>
      <c r="E757" s="1" t="s">
        <v>31</v>
      </c>
      <c r="F757" s="1">
        <v>4</v>
      </c>
      <c r="G757" s="1" t="s">
        <v>32</v>
      </c>
      <c r="H757" s="1" t="s">
        <v>47</v>
      </c>
      <c r="I757" s="1">
        <v>169000</v>
      </c>
      <c r="J757" s="1">
        <v>154000</v>
      </c>
      <c r="K757" s="1">
        <v>15000</v>
      </c>
      <c r="L757" s="1">
        <v>0</v>
      </c>
      <c r="M757" s="1" t="s">
        <v>34</v>
      </c>
      <c r="N757" s="1" t="s">
        <v>63</v>
      </c>
      <c r="O757" s="1" t="s">
        <v>64</v>
      </c>
      <c r="P757" s="1" t="s">
        <v>65</v>
      </c>
      <c r="Q757" s="1" t="s">
        <v>38</v>
      </c>
      <c r="R757" s="1" t="s">
        <v>5090</v>
      </c>
      <c r="S757" s="3">
        <v>919043000000</v>
      </c>
      <c r="T757" s="1" t="s">
        <v>40</v>
      </c>
      <c r="U757" s="1">
        <v>63</v>
      </c>
      <c r="V757" s="1">
        <v>85</v>
      </c>
      <c r="W757" s="1" t="s">
        <v>52</v>
      </c>
      <c r="X757" s="1">
        <v>606928</v>
      </c>
      <c r="Y757" s="2">
        <v>37844</v>
      </c>
      <c r="Z757" s="1">
        <v>-11.8210262828535</v>
      </c>
      <c r="AA757" s="1">
        <v>20</v>
      </c>
      <c r="AB757" s="1">
        <v>676000</v>
      </c>
      <c r="AC757" s="1">
        <f t="shared" si="11"/>
        <v>736000</v>
      </c>
    </row>
    <row r="758" spans="1:29" x14ac:dyDescent="0.25">
      <c r="A758" s="1" t="s">
        <v>5091</v>
      </c>
      <c r="B758" s="1" t="s">
        <v>5092</v>
      </c>
      <c r="C758" s="1" t="s">
        <v>5093</v>
      </c>
      <c r="D758" s="1">
        <v>2020</v>
      </c>
      <c r="E758" s="1" t="s">
        <v>31</v>
      </c>
      <c r="F758" s="1">
        <v>4</v>
      </c>
      <c r="G758" s="1" t="s">
        <v>32</v>
      </c>
      <c r="H758" s="1" t="s">
        <v>47</v>
      </c>
      <c r="I758" s="1">
        <v>169000</v>
      </c>
      <c r="J758" s="1">
        <v>154000</v>
      </c>
      <c r="K758" s="1">
        <v>15000</v>
      </c>
      <c r="L758" s="1">
        <v>0</v>
      </c>
      <c r="M758" s="1" t="s">
        <v>34</v>
      </c>
      <c r="N758" s="1" t="s">
        <v>35</v>
      </c>
      <c r="O758" s="1" t="s">
        <v>36</v>
      </c>
      <c r="P758" s="1" t="s">
        <v>37</v>
      </c>
      <c r="Q758" s="1" t="s">
        <v>38</v>
      </c>
      <c r="R758" s="1" t="s">
        <v>5094</v>
      </c>
      <c r="S758" s="3">
        <v>917361000000</v>
      </c>
      <c r="T758" s="1" t="s">
        <v>86</v>
      </c>
      <c r="U758" s="1">
        <v>63</v>
      </c>
      <c r="V758" s="1">
        <v>60</v>
      </c>
      <c r="W758" s="1" t="s">
        <v>52</v>
      </c>
      <c r="X758" s="1">
        <v>276248</v>
      </c>
      <c r="Y758" s="2">
        <v>38466</v>
      </c>
      <c r="Z758" s="1">
        <v>-11.8210262828535</v>
      </c>
      <c r="AA758" s="1">
        <v>19</v>
      </c>
      <c r="AB758" s="1">
        <v>676000</v>
      </c>
      <c r="AC758" s="1">
        <f t="shared" si="11"/>
        <v>736000</v>
      </c>
    </row>
    <row r="759" spans="1:29" x14ac:dyDescent="0.25">
      <c r="A759" s="1" t="s">
        <v>5121</v>
      </c>
      <c r="B759" s="1" t="s">
        <v>5122</v>
      </c>
      <c r="C759" s="1" t="s">
        <v>5123</v>
      </c>
      <c r="D759" s="1">
        <v>2020</v>
      </c>
      <c r="E759" s="1" t="s">
        <v>31</v>
      </c>
      <c r="F759" s="1">
        <v>4</v>
      </c>
      <c r="G759" s="1" t="s">
        <v>32</v>
      </c>
      <c r="H759" s="1" t="s">
        <v>47</v>
      </c>
      <c r="I759" s="1">
        <v>169000</v>
      </c>
      <c r="J759" s="1">
        <v>154000</v>
      </c>
      <c r="K759" s="1">
        <v>15000</v>
      </c>
      <c r="L759" s="1">
        <v>0</v>
      </c>
      <c r="M759" s="1" t="s">
        <v>34</v>
      </c>
      <c r="N759" s="1" t="s">
        <v>70</v>
      </c>
      <c r="O759" s="1" t="s">
        <v>36</v>
      </c>
      <c r="P759" s="1" t="s">
        <v>37</v>
      </c>
      <c r="Q759" s="1" t="s">
        <v>38</v>
      </c>
      <c r="R759" s="1" t="s">
        <v>5124</v>
      </c>
      <c r="S759" s="3">
        <v>919490000000</v>
      </c>
      <c r="T759" s="1" t="s">
        <v>40</v>
      </c>
      <c r="U759" s="1">
        <v>63</v>
      </c>
      <c r="V759" s="1">
        <v>60</v>
      </c>
      <c r="W759" s="1" t="s">
        <v>41</v>
      </c>
      <c r="X759" s="1">
        <v>178957</v>
      </c>
      <c r="Y759" s="2">
        <v>37856</v>
      </c>
      <c r="Z759" s="1">
        <v>-11.8210262828535</v>
      </c>
      <c r="AA759" s="1">
        <v>20</v>
      </c>
      <c r="AB759" s="1">
        <v>676000</v>
      </c>
      <c r="AC759" s="1">
        <f t="shared" si="11"/>
        <v>736000</v>
      </c>
    </row>
    <row r="760" spans="1:29" x14ac:dyDescent="0.25">
      <c r="A760" s="1" t="s">
        <v>5125</v>
      </c>
      <c r="B760" s="1" t="s">
        <v>3137</v>
      </c>
      <c r="C760" s="1" t="s">
        <v>3138</v>
      </c>
      <c r="D760" s="1">
        <v>2020</v>
      </c>
      <c r="E760" s="1" t="s">
        <v>31</v>
      </c>
      <c r="F760" s="1">
        <v>4</v>
      </c>
      <c r="G760" s="1" t="s">
        <v>32</v>
      </c>
      <c r="H760" s="1" t="s">
        <v>113</v>
      </c>
      <c r="I760" s="1">
        <v>169000</v>
      </c>
      <c r="J760" s="1">
        <v>154000</v>
      </c>
      <c r="K760" s="1">
        <v>15000</v>
      </c>
      <c r="L760" s="1">
        <v>0</v>
      </c>
      <c r="M760" s="1" t="s">
        <v>34</v>
      </c>
      <c r="N760" s="1" t="s">
        <v>70</v>
      </c>
      <c r="O760" s="1" t="s">
        <v>84</v>
      </c>
      <c r="P760" s="1" t="s">
        <v>65</v>
      </c>
      <c r="Q760" s="1" t="s">
        <v>38</v>
      </c>
      <c r="R760" s="1" t="s">
        <v>5126</v>
      </c>
      <c r="S760" s="3">
        <v>918602000000</v>
      </c>
      <c r="T760" s="1" t="s">
        <v>86</v>
      </c>
      <c r="U760" s="1">
        <v>63</v>
      </c>
      <c r="V760" s="1">
        <v>85</v>
      </c>
      <c r="W760" s="1" t="s">
        <v>41</v>
      </c>
      <c r="X760" s="1">
        <v>501724</v>
      </c>
      <c r="Y760" s="2">
        <v>38544</v>
      </c>
      <c r="Z760" s="1">
        <v>-11.8210262828535</v>
      </c>
      <c r="AA760" s="1">
        <v>18</v>
      </c>
      <c r="AB760" s="1">
        <v>676000</v>
      </c>
      <c r="AC760" s="1">
        <f t="shared" si="11"/>
        <v>736000</v>
      </c>
    </row>
    <row r="761" spans="1:29" x14ac:dyDescent="0.25">
      <c r="A761" s="1" t="s">
        <v>5131</v>
      </c>
      <c r="B761" s="1" t="s">
        <v>5132</v>
      </c>
      <c r="C761" s="1" t="s">
        <v>5133</v>
      </c>
      <c r="D761" s="1">
        <v>2020</v>
      </c>
      <c r="E761" s="1" t="s">
        <v>31</v>
      </c>
      <c r="F761" s="1">
        <v>4</v>
      </c>
      <c r="G761" s="1" t="s">
        <v>32</v>
      </c>
      <c r="H761" s="1" t="s">
        <v>47</v>
      </c>
      <c r="I761" s="1">
        <v>169000</v>
      </c>
      <c r="J761" s="1">
        <v>154000</v>
      </c>
      <c r="K761" s="1">
        <v>15000</v>
      </c>
      <c r="L761" s="1">
        <v>0</v>
      </c>
      <c r="M761" s="1" t="s">
        <v>34</v>
      </c>
      <c r="N761" s="1" t="s">
        <v>35</v>
      </c>
      <c r="O761" s="1" t="s">
        <v>188</v>
      </c>
      <c r="P761" s="1" t="s">
        <v>189</v>
      </c>
      <c r="Q761" s="1" t="s">
        <v>38</v>
      </c>
      <c r="R761" s="1" t="s">
        <v>5134</v>
      </c>
      <c r="S761" s="3">
        <v>918636000000</v>
      </c>
      <c r="T761" s="1" t="s">
        <v>51</v>
      </c>
      <c r="U761" s="1">
        <v>63</v>
      </c>
      <c r="V761" s="1">
        <v>78</v>
      </c>
      <c r="W761" s="1" t="s">
        <v>52</v>
      </c>
      <c r="X761" s="1">
        <v>638050</v>
      </c>
      <c r="Y761" s="2">
        <v>37252</v>
      </c>
      <c r="Z761" s="1">
        <v>-11.8210262828535</v>
      </c>
      <c r="AA761" s="1">
        <v>22</v>
      </c>
      <c r="AB761" s="1">
        <v>676000</v>
      </c>
      <c r="AC761" s="1">
        <f t="shared" si="11"/>
        <v>736000</v>
      </c>
    </row>
    <row r="762" spans="1:29" x14ac:dyDescent="0.25">
      <c r="A762" s="1" t="s">
        <v>5155</v>
      </c>
      <c r="B762" s="1" t="s">
        <v>409</v>
      </c>
      <c r="C762" s="1" t="s">
        <v>410</v>
      </c>
      <c r="D762" s="1">
        <v>2020</v>
      </c>
      <c r="E762" s="1" t="s">
        <v>31</v>
      </c>
      <c r="F762" s="1">
        <v>4</v>
      </c>
      <c r="G762" s="1" t="s">
        <v>32</v>
      </c>
      <c r="H762" s="1" t="s">
        <v>210</v>
      </c>
      <c r="I762" s="1">
        <v>169000</v>
      </c>
      <c r="J762" s="1">
        <v>154000</v>
      </c>
      <c r="K762" s="1">
        <v>15000</v>
      </c>
      <c r="L762" s="1">
        <v>0</v>
      </c>
      <c r="M762" s="1" t="s">
        <v>34</v>
      </c>
      <c r="N762" s="1" t="s">
        <v>63</v>
      </c>
      <c r="O762" s="1" t="s">
        <v>84</v>
      </c>
      <c r="P762" s="1" t="s">
        <v>65</v>
      </c>
      <c r="Q762" s="1" t="s">
        <v>38</v>
      </c>
      <c r="R762" s="1" t="s">
        <v>5156</v>
      </c>
      <c r="S762" s="3">
        <v>919194000000</v>
      </c>
      <c r="T762" s="1" t="s">
        <v>74</v>
      </c>
      <c r="U762" s="1">
        <v>63</v>
      </c>
      <c r="V762" s="1">
        <v>61</v>
      </c>
      <c r="W762" s="1" t="s">
        <v>41</v>
      </c>
      <c r="X762" s="1">
        <v>528685</v>
      </c>
      <c r="Y762" s="2">
        <v>38159</v>
      </c>
      <c r="Z762" s="1">
        <v>-11.8210262828535</v>
      </c>
      <c r="AA762" s="1">
        <v>20</v>
      </c>
      <c r="AB762" s="1">
        <v>676000</v>
      </c>
      <c r="AC762" s="1">
        <f t="shared" si="11"/>
        <v>736000</v>
      </c>
    </row>
    <row r="763" spans="1:29" x14ac:dyDescent="0.25">
      <c r="A763" s="1" t="s">
        <v>5167</v>
      </c>
      <c r="B763" s="1" t="s">
        <v>2625</v>
      </c>
      <c r="C763" s="1" t="s">
        <v>2626</v>
      </c>
      <c r="D763" s="1">
        <v>2020</v>
      </c>
      <c r="E763" s="1" t="s">
        <v>45</v>
      </c>
      <c r="F763" s="1">
        <v>2</v>
      </c>
      <c r="G763" s="1" t="s">
        <v>46</v>
      </c>
      <c r="H763" s="1" t="s">
        <v>102</v>
      </c>
      <c r="I763" s="1">
        <v>92000</v>
      </c>
      <c r="J763" s="1">
        <v>77000</v>
      </c>
      <c r="K763" s="1">
        <v>15000</v>
      </c>
      <c r="L763" s="1">
        <v>0</v>
      </c>
      <c r="M763" s="1" t="s">
        <v>34</v>
      </c>
      <c r="N763" s="1" t="s">
        <v>70</v>
      </c>
      <c r="O763" s="1" t="s">
        <v>78</v>
      </c>
      <c r="P763" s="1" t="s">
        <v>79</v>
      </c>
      <c r="Q763" s="1" t="s">
        <v>38</v>
      </c>
      <c r="R763" s="1" t="s">
        <v>5168</v>
      </c>
      <c r="S763" s="3">
        <v>919401000000</v>
      </c>
      <c r="T763" s="1" t="s">
        <v>51</v>
      </c>
      <c r="U763" s="1">
        <v>62</v>
      </c>
      <c r="V763" s="1">
        <v>69</v>
      </c>
      <c r="W763" s="1" t="s">
        <v>41</v>
      </c>
      <c r="X763" s="1">
        <v>106264</v>
      </c>
      <c r="Y763" s="2">
        <v>35872</v>
      </c>
      <c r="Z763" s="1">
        <v>-12.8210262828535</v>
      </c>
      <c r="AA763" s="1">
        <v>26</v>
      </c>
      <c r="AB763" s="1">
        <v>184000</v>
      </c>
      <c r="AC763" s="1">
        <f t="shared" si="11"/>
        <v>214000</v>
      </c>
    </row>
    <row r="764" spans="1:29" x14ac:dyDescent="0.25">
      <c r="A764" s="1" t="s">
        <v>5171</v>
      </c>
      <c r="B764" s="1" t="s">
        <v>2188</v>
      </c>
      <c r="C764" s="1" t="s">
        <v>2189</v>
      </c>
      <c r="D764" s="1">
        <v>2020</v>
      </c>
      <c r="E764" s="1" t="s">
        <v>31</v>
      </c>
      <c r="F764" s="1">
        <v>4</v>
      </c>
      <c r="G764" s="1" t="s">
        <v>32</v>
      </c>
      <c r="H764" s="1" t="s">
        <v>151</v>
      </c>
      <c r="I764" s="1">
        <v>169000</v>
      </c>
      <c r="J764" s="1">
        <v>154000</v>
      </c>
      <c r="K764" s="1">
        <v>15000</v>
      </c>
      <c r="L764" s="1">
        <v>0</v>
      </c>
      <c r="M764" s="1" t="s">
        <v>34</v>
      </c>
      <c r="N764" s="1" t="s">
        <v>35</v>
      </c>
      <c r="O764" s="1" t="s">
        <v>78</v>
      </c>
      <c r="P764" s="1" t="s">
        <v>79</v>
      </c>
      <c r="Q764" s="1" t="s">
        <v>38</v>
      </c>
      <c r="R764" s="1" t="s">
        <v>5172</v>
      </c>
      <c r="S764" s="3">
        <v>918792000000</v>
      </c>
      <c r="T764" s="1" t="s">
        <v>40</v>
      </c>
      <c r="U764" s="1">
        <v>62</v>
      </c>
      <c r="V764" s="1">
        <v>75</v>
      </c>
      <c r="W764" s="1" t="s">
        <v>52</v>
      </c>
      <c r="X764" s="1">
        <v>103885</v>
      </c>
      <c r="Y764" s="2">
        <v>36802</v>
      </c>
      <c r="Z764" s="1">
        <v>-12.8210262828535</v>
      </c>
      <c r="AA764" s="1">
        <v>23</v>
      </c>
      <c r="AB764" s="1">
        <v>676000</v>
      </c>
      <c r="AC764" s="1">
        <f t="shared" si="11"/>
        <v>736000</v>
      </c>
    </row>
    <row r="765" spans="1:29" x14ac:dyDescent="0.25">
      <c r="A765" s="1" t="s">
        <v>5211</v>
      </c>
      <c r="B765" s="1" t="s">
        <v>5212</v>
      </c>
      <c r="C765" s="1" t="s">
        <v>5213</v>
      </c>
      <c r="D765" s="1">
        <v>2020</v>
      </c>
      <c r="E765" s="1" t="s">
        <v>31</v>
      </c>
      <c r="F765" s="1">
        <v>4</v>
      </c>
      <c r="G765" s="1" t="s">
        <v>32</v>
      </c>
      <c r="H765" s="1" t="s">
        <v>33</v>
      </c>
      <c r="I765" s="1">
        <v>169000</v>
      </c>
      <c r="J765" s="1">
        <v>154000</v>
      </c>
      <c r="K765" s="1">
        <v>15000</v>
      </c>
      <c r="L765" s="1">
        <v>0</v>
      </c>
      <c r="M765" s="1" t="s">
        <v>34</v>
      </c>
      <c r="N765" s="1" t="s">
        <v>63</v>
      </c>
      <c r="O765" s="1" t="s">
        <v>78</v>
      </c>
      <c r="P765" s="1" t="s">
        <v>79</v>
      </c>
      <c r="Q765" s="1" t="s">
        <v>38</v>
      </c>
      <c r="R765" s="1" t="s">
        <v>5214</v>
      </c>
      <c r="S765" s="3">
        <v>919253000000</v>
      </c>
      <c r="T765" s="1" t="s">
        <v>86</v>
      </c>
      <c r="U765" s="1">
        <v>62</v>
      </c>
      <c r="V765" s="1">
        <v>80</v>
      </c>
      <c r="W765" s="1" t="s">
        <v>52</v>
      </c>
      <c r="X765" s="1">
        <v>275549</v>
      </c>
      <c r="Y765" s="2">
        <v>38185</v>
      </c>
      <c r="Z765" s="1">
        <v>-12.8210262828535</v>
      </c>
      <c r="AA765" s="1">
        <v>19</v>
      </c>
      <c r="AB765" s="1">
        <v>676000</v>
      </c>
      <c r="AC765" s="1">
        <f t="shared" si="11"/>
        <v>736000</v>
      </c>
    </row>
    <row r="766" spans="1:29" x14ac:dyDescent="0.25">
      <c r="A766" s="1" t="s">
        <v>5215</v>
      </c>
      <c r="B766" s="1" t="s">
        <v>5216</v>
      </c>
      <c r="C766" s="1" t="s">
        <v>5217</v>
      </c>
      <c r="D766" s="1">
        <v>2020</v>
      </c>
      <c r="E766" s="1" t="s">
        <v>31</v>
      </c>
      <c r="F766" s="1">
        <v>4</v>
      </c>
      <c r="G766" s="1" t="s">
        <v>32</v>
      </c>
      <c r="H766" s="1" t="s">
        <v>90</v>
      </c>
      <c r="I766" s="1">
        <v>169000</v>
      </c>
      <c r="J766" s="1">
        <v>154000</v>
      </c>
      <c r="K766" s="1">
        <v>15000</v>
      </c>
      <c r="L766" s="1">
        <v>0</v>
      </c>
      <c r="M766" s="1" t="s">
        <v>34</v>
      </c>
      <c r="N766" s="1" t="s">
        <v>70</v>
      </c>
      <c r="O766" s="1" t="s">
        <v>84</v>
      </c>
      <c r="P766" s="1" t="s">
        <v>65</v>
      </c>
      <c r="Q766" s="1" t="s">
        <v>38</v>
      </c>
      <c r="R766" s="1" t="s">
        <v>5218</v>
      </c>
      <c r="S766" s="3">
        <v>919271000000</v>
      </c>
      <c r="T766" s="1" t="s">
        <v>98</v>
      </c>
      <c r="U766" s="1">
        <v>62</v>
      </c>
      <c r="V766" s="1">
        <v>67</v>
      </c>
      <c r="W766" s="1" t="s">
        <v>41</v>
      </c>
      <c r="X766" s="1">
        <v>318761</v>
      </c>
      <c r="Y766" s="2">
        <v>37250</v>
      </c>
      <c r="Z766" s="1">
        <v>-12.8210262828535</v>
      </c>
      <c r="AA766" s="1">
        <v>22</v>
      </c>
      <c r="AB766" s="1">
        <v>676000</v>
      </c>
      <c r="AC766" s="1">
        <f t="shared" si="11"/>
        <v>736000</v>
      </c>
    </row>
    <row r="767" spans="1:29" x14ac:dyDescent="0.25">
      <c r="A767" s="1" t="s">
        <v>5223</v>
      </c>
      <c r="B767" s="1" t="s">
        <v>5224</v>
      </c>
      <c r="C767" s="1" t="s">
        <v>5225</v>
      </c>
      <c r="D767" s="1">
        <v>2020</v>
      </c>
      <c r="E767" s="1" t="s">
        <v>31</v>
      </c>
      <c r="F767" s="1">
        <v>4</v>
      </c>
      <c r="G767" s="1" t="s">
        <v>32</v>
      </c>
      <c r="H767" s="1" t="s">
        <v>122</v>
      </c>
      <c r="I767" s="1">
        <v>169000</v>
      </c>
      <c r="J767" s="1">
        <v>154000</v>
      </c>
      <c r="K767" s="1">
        <v>15000</v>
      </c>
      <c r="L767" s="1">
        <v>0</v>
      </c>
      <c r="M767" s="1" t="s">
        <v>34</v>
      </c>
      <c r="N767" s="1" t="s">
        <v>35</v>
      </c>
      <c r="O767" s="1" t="s">
        <v>78</v>
      </c>
      <c r="P767" s="1" t="s">
        <v>79</v>
      </c>
      <c r="Q767" s="1" t="s">
        <v>38</v>
      </c>
      <c r="R767" s="1" t="s">
        <v>5226</v>
      </c>
      <c r="S767" s="3">
        <v>917354000000</v>
      </c>
      <c r="T767" s="1" t="s">
        <v>98</v>
      </c>
      <c r="U767" s="1">
        <v>62</v>
      </c>
      <c r="V767" s="1">
        <v>75</v>
      </c>
      <c r="W767" s="1" t="s">
        <v>41</v>
      </c>
      <c r="X767" s="1">
        <v>480904</v>
      </c>
      <c r="Y767" s="2">
        <v>37120</v>
      </c>
      <c r="Z767" s="1">
        <v>-12.8210262828535</v>
      </c>
      <c r="AA767" s="1">
        <v>22</v>
      </c>
      <c r="AB767" s="1">
        <v>676000</v>
      </c>
      <c r="AC767" s="1">
        <f t="shared" si="11"/>
        <v>736000</v>
      </c>
    </row>
    <row r="768" spans="1:29" x14ac:dyDescent="0.25">
      <c r="A768" s="1" t="s">
        <v>5294</v>
      </c>
      <c r="B768" s="1" t="s">
        <v>5295</v>
      </c>
      <c r="C768" s="1" t="s">
        <v>5296</v>
      </c>
      <c r="D768" s="1">
        <v>2020</v>
      </c>
      <c r="E768" s="1" t="s">
        <v>31</v>
      </c>
      <c r="F768" s="1">
        <v>4</v>
      </c>
      <c r="G768" s="1" t="s">
        <v>32</v>
      </c>
      <c r="H768" s="1" t="s">
        <v>62</v>
      </c>
      <c r="I768" s="1">
        <v>169000</v>
      </c>
      <c r="J768" s="1">
        <v>154000</v>
      </c>
      <c r="K768" s="1">
        <v>15000</v>
      </c>
      <c r="L768" s="1">
        <v>0</v>
      </c>
      <c r="M768" s="1" t="s">
        <v>34</v>
      </c>
      <c r="N768" s="1" t="s">
        <v>63</v>
      </c>
      <c r="O768" s="1" t="s">
        <v>91</v>
      </c>
      <c r="P768" s="1" t="s">
        <v>92</v>
      </c>
      <c r="Q768" s="1" t="s">
        <v>38</v>
      </c>
      <c r="R768" s="1" t="s">
        <v>5297</v>
      </c>
      <c r="S768" s="3">
        <v>917530000000</v>
      </c>
      <c r="T768" s="1" t="s">
        <v>74</v>
      </c>
      <c r="U768" s="1">
        <v>62</v>
      </c>
      <c r="V768" s="1">
        <v>63</v>
      </c>
      <c r="W768" s="1" t="s">
        <v>41</v>
      </c>
      <c r="X768" s="1">
        <v>498768</v>
      </c>
      <c r="Y768" s="2">
        <v>37432</v>
      </c>
      <c r="Z768" s="1">
        <v>-12.8210262828535</v>
      </c>
      <c r="AA768" s="1">
        <v>22</v>
      </c>
      <c r="AB768" s="1">
        <v>676000</v>
      </c>
      <c r="AC768" s="1">
        <f t="shared" si="11"/>
        <v>736000</v>
      </c>
    </row>
    <row r="769" spans="1:29" x14ac:dyDescent="0.25">
      <c r="A769" s="1" t="s">
        <v>5317</v>
      </c>
      <c r="B769" s="1" t="s">
        <v>1133</v>
      </c>
      <c r="C769" s="1" t="s">
        <v>1134</v>
      </c>
      <c r="D769" s="1">
        <v>2020</v>
      </c>
      <c r="E769" s="1" t="s">
        <v>31</v>
      </c>
      <c r="F769" s="1">
        <v>4</v>
      </c>
      <c r="G769" s="1" t="s">
        <v>32</v>
      </c>
      <c r="H769" s="1" t="s">
        <v>122</v>
      </c>
      <c r="I769" s="1">
        <v>169000</v>
      </c>
      <c r="J769" s="1">
        <v>154000</v>
      </c>
      <c r="K769" s="1">
        <v>15000</v>
      </c>
      <c r="L769" s="1">
        <v>0</v>
      </c>
      <c r="M769" s="1" t="s">
        <v>34</v>
      </c>
      <c r="N769" s="1" t="s">
        <v>63</v>
      </c>
      <c r="O769" s="1" t="s">
        <v>36</v>
      </c>
      <c r="P769" s="1" t="s">
        <v>37</v>
      </c>
      <c r="Q769" s="1" t="s">
        <v>38</v>
      </c>
      <c r="R769" s="1" t="s">
        <v>5318</v>
      </c>
      <c r="S769" s="3">
        <v>917597000000</v>
      </c>
      <c r="T769" s="1" t="s">
        <v>86</v>
      </c>
      <c r="U769" s="1">
        <v>62</v>
      </c>
      <c r="V769" s="1">
        <v>88</v>
      </c>
      <c r="W769" s="1" t="s">
        <v>52</v>
      </c>
      <c r="X769" s="1">
        <v>688693</v>
      </c>
      <c r="Y769" s="2">
        <v>38672</v>
      </c>
      <c r="Z769" s="1">
        <v>-12.8210262828535</v>
      </c>
      <c r="AA769" s="1">
        <v>18</v>
      </c>
      <c r="AB769" s="1">
        <v>676000</v>
      </c>
      <c r="AC769" s="1">
        <f t="shared" si="11"/>
        <v>736000</v>
      </c>
    </row>
    <row r="770" spans="1:29" x14ac:dyDescent="0.25">
      <c r="A770" s="1" t="s">
        <v>5323</v>
      </c>
      <c r="B770" s="1" t="s">
        <v>5324</v>
      </c>
      <c r="C770" s="1" t="s">
        <v>5325</v>
      </c>
      <c r="D770" s="1">
        <v>2020</v>
      </c>
      <c r="E770" s="1" t="s">
        <v>31</v>
      </c>
      <c r="F770" s="1">
        <v>4</v>
      </c>
      <c r="G770" s="1" t="s">
        <v>32</v>
      </c>
      <c r="H770" s="1" t="s">
        <v>90</v>
      </c>
      <c r="I770" s="1">
        <v>169000</v>
      </c>
      <c r="J770" s="1">
        <v>154000</v>
      </c>
      <c r="K770" s="1">
        <v>15000</v>
      </c>
      <c r="L770" s="1">
        <v>0</v>
      </c>
      <c r="M770" s="1" t="s">
        <v>34</v>
      </c>
      <c r="N770" s="1" t="s">
        <v>35</v>
      </c>
      <c r="O770" s="1" t="s">
        <v>71</v>
      </c>
      <c r="P770" s="1" t="s">
        <v>72</v>
      </c>
      <c r="Q770" s="1" t="s">
        <v>38</v>
      </c>
      <c r="R770" s="1" t="s">
        <v>5326</v>
      </c>
      <c r="S770" s="3">
        <v>919108000000</v>
      </c>
      <c r="T770" s="1" t="s">
        <v>40</v>
      </c>
      <c r="U770" s="1">
        <v>62</v>
      </c>
      <c r="V770" s="1">
        <v>82</v>
      </c>
      <c r="W770" s="1" t="s">
        <v>41</v>
      </c>
      <c r="X770" s="1">
        <v>168553</v>
      </c>
      <c r="Y770" s="2">
        <v>36851</v>
      </c>
      <c r="Z770" s="1">
        <v>-12.8210262828535</v>
      </c>
      <c r="AA770" s="1">
        <v>23</v>
      </c>
      <c r="AB770" s="1">
        <v>676000</v>
      </c>
      <c r="AC770" s="1">
        <f t="shared" si="11"/>
        <v>736000</v>
      </c>
    </row>
    <row r="771" spans="1:29" x14ac:dyDescent="0.25">
      <c r="A771" s="1" t="s">
        <v>5331</v>
      </c>
      <c r="B771" s="1" t="s">
        <v>5332</v>
      </c>
      <c r="C771" s="1" t="s">
        <v>5333</v>
      </c>
      <c r="D771" s="1">
        <v>2020</v>
      </c>
      <c r="E771" s="1" t="s">
        <v>31</v>
      </c>
      <c r="F771" s="1">
        <v>4</v>
      </c>
      <c r="G771" s="1" t="s">
        <v>32</v>
      </c>
      <c r="H771" s="1" t="s">
        <v>113</v>
      </c>
      <c r="I771" s="1">
        <v>169000</v>
      </c>
      <c r="J771" s="1">
        <v>154000</v>
      </c>
      <c r="K771" s="1">
        <v>15000</v>
      </c>
      <c r="L771" s="1">
        <v>0</v>
      </c>
      <c r="M771" s="1" t="s">
        <v>34</v>
      </c>
      <c r="N771" s="1" t="s">
        <v>35</v>
      </c>
      <c r="O771" s="1" t="s">
        <v>188</v>
      </c>
      <c r="P771" s="1" t="s">
        <v>189</v>
      </c>
      <c r="Q771" s="1" t="s">
        <v>38</v>
      </c>
      <c r="R771" s="1" t="s">
        <v>5334</v>
      </c>
      <c r="S771" s="3">
        <v>918716000000</v>
      </c>
      <c r="T771" s="1" t="s">
        <v>86</v>
      </c>
      <c r="U771" s="1">
        <v>62</v>
      </c>
      <c r="V771" s="1">
        <v>61</v>
      </c>
      <c r="W771" s="1" t="s">
        <v>52</v>
      </c>
      <c r="X771" s="1">
        <v>300922</v>
      </c>
      <c r="Y771" s="2">
        <v>38577</v>
      </c>
      <c r="Z771" s="1">
        <v>-12.8210262828535</v>
      </c>
      <c r="AA771" s="1">
        <v>18</v>
      </c>
      <c r="AB771" s="1">
        <v>676000</v>
      </c>
      <c r="AC771" s="1">
        <f t="shared" si="11"/>
        <v>736000</v>
      </c>
    </row>
    <row r="772" spans="1:29" x14ac:dyDescent="0.25">
      <c r="A772" s="1" t="s">
        <v>5337</v>
      </c>
      <c r="B772" s="1" t="s">
        <v>5338</v>
      </c>
      <c r="C772" s="1" t="s">
        <v>5339</v>
      </c>
      <c r="D772" s="1">
        <v>2020</v>
      </c>
      <c r="E772" s="1" t="s">
        <v>31</v>
      </c>
      <c r="F772" s="1">
        <v>4</v>
      </c>
      <c r="G772" s="1" t="s">
        <v>32</v>
      </c>
      <c r="H772" s="1" t="s">
        <v>102</v>
      </c>
      <c r="I772" s="1">
        <v>169000</v>
      </c>
      <c r="J772" s="1">
        <v>154000</v>
      </c>
      <c r="K772" s="1">
        <v>15000</v>
      </c>
      <c r="L772" s="1">
        <v>0</v>
      </c>
      <c r="M772" s="1" t="s">
        <v>34</v>
      </c>
      <c r="N772" s="1" t="s">
        <v>63</v>
      </c>
      <c r="O772" s="1" t="s">
        <v>57</v>
      </c>
      <c r="P772" s="1" t="s">
        <v>57</v>
      </c>
      <c r="Q772" s="1" t="s">
        <v>38</v>
      </c>
      <c r="R772" s="1" t="s">
        <v>5340</v>
      </c>
      <c r="S772" s="3">
        <v>919190000000</v>
      </c>
      <c r="T772" s="1" t="s">
        <v>74</v>
      </c>
      <c r="U772" s="1">
        <v>62</v>
      </c>
      <c r="V772" s="1">
        <v>72</v>
      </c>
      <c r="W772" s="1" t="s">
        <v>41</v>
      </c>
      <c r="X772" s="1">
        <v>643788</v>
      </c>
      <c r="Y772" s="2">
        <v>38109</v>
      </c>
      <c r="Z772" s="1">
        <v>-12.8210262828535</v>
      </c>
      <c r="AA772" s="1">
        <v>20</v>
      </c>
      <c r="AB772" s="1">
        <v>676000</v>
      </c>
      <c r="AC772" s="1">
        <f t="shared" si="11"/>
        <v>736000</v>
      </c>
    </row>
    <row r="773" spans="1:29" x14ac:dyDescent="0.25">
      <c r="A773" s="1" t="s">
        <v>5341</v>
      </c>
      <c r="B773" s="1" t="s">
        <v>5342</v>
      </c>
      <c r="C773" s="1" t="s">
        <v>5343</v>
      </c>
      <c r="D773" s="1">
        <v>2020</v>
      </c>
      <c r="E773" s="1" t="s">
        <v>31</v>
      </c>
      <c r="F773" s="1">
        <v>4</v>
      </c>
      <c r="G773" s="1" t="s">
        <v>32</v>
      </c>
      <c r="H773" s="1" t="s">
        <v>62</v>
      </c>
      <c r="I773" s="1">
        <v>169000</v>
      </c>
      <c r="J773" s="1">
        <v>154000</v>
      </c>
      <c r="K773" s="1">
        <v>15000</v>
      </c>
      <c r="L773" s="1">
        <v>0</v>
      </c>
      <c r="M773" s="1" t="s">
        <v>34</v>
      </c>
      <c r="N773" s="1" t="s">
        <v>63</v>
      </c>
      <c r="O773" s="1" t="s">
        <v>91</v>
      </c>
      <c r="P773" s="1" t="s">
        <v>92</v>
      </c>
      <c r="Q773" s="1" t="s">
        <v>38</v>
      </c>
      <c r="R773" s="1" t="s">
        <v>5344</v>
      </c>
      <c r="S773" s="3">
        <v>917226000000</v>
      </c>
      <c r="T773" s="1" t="s">
        <v>74</v>
      </c>
      <c r="U773" s="1">
        <v>62</v>
      </c>
      <c r="V773" s="1">
        <v>67</v>
      </c>
      <c r="W773" s="1" t="s">
        <v>41</v>
      </c>
      <c r="X773" s="1">
        <v>327528</v>
      </c>
      <c r="Y773" s="2">
        <v>37095</v>
      </c>
      <c r="Z773" s="1">
        <v>-12.8210262828535</v>
      </c>
      <c r="AA773" s="1">
        <v>22</v>
      </c>
      <c r="AB773" s="1">
        <v>676000</v>
      </c>
      <c r="AC773" s="1">
        <f t="shared" si="11"/>
        <v>736000</v>
      </c>
    </row>
    <row r="774" spans="1:29" x14ac:dyDescent="0.25">
      <c r="A774" s="1" t="s">
        <v>5351</v>
      </c>
      <c r="B774" s="1" t="s">
        <v>5352</v>
      </c>
      <c r="C774" s="1" t="s">
        <v>5353</v>
      </c>
      <c r="D774" s="1">
        <v>2020</v>
      </c>
      <c r="E774" s="1" t="s">
        <v>31</v>
      </c>
      <c r="F774" s="1">
        <v>4</v>
      </c>
      <c r="G774" s="1" t="s">
        <v>32</v>
      </c>
      <c r="H774" s="1" t="s">
        <v>47</v>
      </c>
      <c r="I774" s="1">
        <v>169000</v>
      </c>
      <c r="J774" s="1">
        <v>154000</v>
      </c>
      <c r="K774" s="1">
        <v>15000</v>
      </c>
      <c r="L774" s="1">
        <v>0</v>
      </c>
      <c r="M774" s="1" t="s">
        <v>34</v>
      </c>
      <c r="N774" s="1" t="s">
        <v>70</v>
      </c>
      <c r="O774" s="1" t="s">
        <v>36</v>
      </c>
      <c r="P774" s="1" t="s">
        <v>37</v>
      </c>
      <c r="Q774" s="1" t="s">
        <v>38</v>
      </c>
      <c r="R774" s="1" t="s">
        <v>5354</v>
      </c>
      <c r="S774" s="3">
        <v>919529000000</v>
      </c>
      <c r="T774" s="1" t="s">
        <v>40</v>
      </c>
      <c r="U774" s="1">
        <v>61</v>
      </c>
      <c r="V774" s="1">
        <v>69</v>
      </c>
      <c r="W774" s="1" t="s">
        <v>41</v>
      </c>
      <c r="X774" s="1">
        <v>195501</v>
      </c>
      <c r="Y774" s="2">
        <v>37379</v>
      </c>
      <c r="Z774" s="1">
        <v>-13.8210262828535</v>
      </c>
      <c r="AA774" s="1">
        <v>22</v>
      </c>
      <c r="AB774" s="1">
        <v>676000</v>
      </c>
      <c r="AC774" s="1">
        <f t="shared" ref="AC774:AC837" si="12">IF(F774 = 2, AB774+30000,AB774+60000)</f>
        <v>736000</v>
      </c>
    </row>
    <row r="775" spans="1:29" x14ac:dyDescent="0.25">
      <c r="A775" s="1" t="s">
        <v>5365</v>
      </c>
      <c r="B775" s="1" t="s">
        <v>5366</v>
      </c>
      <c r="C775" s="1" t="s">
        <v>5367</v>
      </c>
      <c r="D775" s="1">
        <v>2020</v>
      </c>
      <c r="E775" s="1" t="s">
        <v>31</v>
      </c>
      <c r="F775" s="1">
        <v>4</v>
      </c>
      <c r="G775" s="1" t="s">
        <v>32</v>
      </c>
      <c r="H775" s="1" t="s">
        <v>151</v>
      </c>
      <c r="I775" s="1">
        <v>169000</v>
      </c>
      <c r="J775" s="1">
        <v>154000</v>
      </c>
      <c r="K775" s="1">
        <v>15000</v>
      </c>
      <c r="L775" s="1">
        <v>0</v>
      </c>
      <c r="M775" s="1" t="s">
        <v>34</v>
      </c>
      <c r="N775" s="1" t="s">
        <v>35</v>
      </c>
      <c r="O775" s="1" t="s">
        <v>48</v>
      </c>
      <c r="P775" s="1" t="s">
        <v>49</v>
      </c>
      <c r="Q775" s="1" t="s">
        <v>38</v>
      </c>
      <c r="R775" s="1" t="s">
        <v>5368</v>
      </c>
      <c r="S775" s="3">
        <v>918630000000</v>
      </c>
      <c r="T775" s="1" t="s">
        <v>74</v>
      </c>
      <c r="U775" s="1">
        <v>61</v>
      </c>
      <c r="V775" s="1">
        <v>74</v>
      </c>
      <c r="W775" s="1" t="s">
        <v>52</v>
      </c>
      <c r="X775" s="1">
        <v>671976</v>
      </c>
      <c r="Y775" s="2">
        <v>38702</v>
      </c>
      <c r="Z775" s="1">
        <v>-13.8210262828535</v>
      </c>
      <c r="AA775" s="1">
        <v>18</v>
      </c>
      <c r="AB775" s="1">
        <v>676000</v>
      </c>
      <c r="AC775" s="1">
        <f t="shared" si="12"/>
        <v>736000</v>
      </c>
    </row>
    <row r="776" spans="1:29" x14ac:dyDescent="0.25">
      <c r="A776" s="1" t="s">
        <v>5389</v>
      </c>
      <c r="B776" s="1" t="s">
        <v>5390</v>
      </c>
      <c r="C776" s="1" t="s">
        <v>5391</v>
      </c>
      <c r="D776" s="1">
        <v>2020</v>
      </c>
      <c r="E776" s="1" t="s">
        <v>31</v>
      </c>
      <c r="F776" s="1">
        <v>4</v>
      </c>
      <c r="G776" s="1" t="s">
        <v>32</v>
      </c>
      <c r="H776" s="1" t="s">
        <v>210</v>
      </c>
      <c r="I776" s="1">
        <v>169000</v>
      </c>
      <c r="J776" s="1">
        <v>154000</v>
      </c>
      <c r="K776" s="1">
        <v>15000</v>
      </c>
      <c r="L776" s="1">
        <v>0</v>
      </c>
      <c r="M776" s="1" t="s">
        <v>34</v>
      </c>
      <c r="N776" s="1" t="s">
        <v>63</v>
      </c>
      <c r="O776" s="1" t="s">
        <v>84</v>
      </c>
      <c r="P776" s="1" t="s">
        <v>65</v>
      </c>
      <c r="Q776" s="1" t="s">
        <v>38</v>
      </c>
      <c r="R776" s="1" t="s">
        <v>5392</v>
      </c>
      <c r="S776" s="3">
        <v>919460000000</v>
      </c>
      <c r="T776" s="1" t="s">
        <v>98</v>
      </c>
      <c r="U776" s="1">
        <v>61</v>
      </c>
      <c r="V776" s="1">
        <v>77</v>
      </c>
      <c r="W776" s="1" t="s">
        <v>41</v>
      </c>
      <c r="X776" s="1">
        <v>782029</v>
      </c>
      <c r="Y776" s="2">
        <v>38705</v>
      </c>
      <c r="Z776" s="1">
        <v>-13.8210262828535</v>
      </c>
      <c r="AA776" s="1">
        <v>18</v>
      </c>
      <c r="AB776" s="1">
        <v>676000</v>
      </c>
      <c r="AC776" s="1">
        <f t="shared" si="12"/>
        <v>736000</v>
      </c>
    </row>
    <row r="777" spans="1:29" x14ac:dyDescent="0.25">
      <c r="A777" s="1" t="s">
        <v>5401</v>
      </c>
      <c r="B777" s="1" t="s">
        <v>5402</v>
      </c>
      <c r="C777" s="1" t="s">
        <v>5403</v>
      </c>
      <c r="D777" s="1">
        <v>2020</v>
      </c>
      <c r="E777" s="1" t="s">
        <v>31</v>
      </c>
      <c r="F777" s="1">
        <v>4</v>
      </c>
      <c r="G777" s="1" t="s">
        <v>32</v>
      </c>
      <c r="H777" s="1" t="s">
        <v>122</v>
      </c>
      <c r="I777" s="1">
        <v>169000</v>
      </c>
      <c r="J777" s="1">
        <v>154000</v>
      </c>
      <c r="K777" s="1">
        <v>15000</v>
      </c>
      <c r="L777" s="1">
        <v>0</v>
      </c>
      <c r="M777" s="1" t="s">
        <v>34</v>
      </c>
      <c r="N777" s="1" t="s">
        <v>63</v>
      </c>
      <c r="O777" s="1" t="s">
        <v>57</v>
      </c>
      <c r="P777" s="1" t="s">
        <v>57</v>
      </c>
      <c r="Q777" s="1" t="s">
        <v>38</v>
      </c>
      <c r="R777" s="1" t="s">
        <v>5404</v>
      </c>
      <c r="S777" s="3">
        <v>918109000000</v>
      </c>
      <c r="T777" s="1" t="s">
        <v>40</v>
      </c>
      <c r="U777" s="1">
        <v>61</v>
      </c>
      <c r="V777" s="1">
        <v>87</v>
      </c>
      <c r="W777" s="1" t="s">
        <v>41</v>
      </c>
      <c r="X777" s="1">
        <v>756417</v>
      </c>
      <c r="Y777" s="2">
        <v>36778</v>
      </c>
      <c r="Z777" s="1">
        <v>-13.8210262828535</v>
      </c>
      <c r="AA777" s="1">
        <v>23</v>
      </c>
      <c r="AB777" s="1">
        <v>676000</v>
      </c>
      <c r="AC777" s="1">
        <f t="shared" si="12"/>
        <v>736000</v>
      </c>
    </row>
    <row r="778" spans="1:29" x14ac:dyDescent="0.25">
      <c r="A778" s="1" t="s">
        <v>5405</v>
      </c>
      <c r="B778" s="1" t="s">
        <v>1509</v>
      </c>
      <c r="C778" s="1" t="s">
        <v>1510</v>
      </c>
      <c r="D778" s="1">
        <v>2020</v>
      </c>
      <c r="E778" s="1" t="s">
        <v>45</v>
      </c>
      <c r="F778" s="1">
        <v>2</v>
      </c>
      <c r="G778" s="1" t="s">
        <v>46</v>
      </c>
      <c r="H778" s="1" t="s">
        <v>90</v>
      </c>
      <c r="I778" s="1">
        <v>92000</v>
      </c>
      <c r="J778" s="1">
        <v>77000</v>
      </c>
      <c r="K778" s="1">
        <v>15000</v>
      </c>
      <c r="L778" s="1">
        <v>0</v>
      </c>
      <c r="M778" s="1" t="s">
        <v>34</v>
      </c>
      <c r="N778" s="1" t="s">
        <v>35</v>
      </c>
      <c r="O778" s="1" t="s">
        <v>48</v>
      </c>
      <c r="P778" s="1" t="s">
        <v>49</v>
      </c>
      <c r="Q778" s="1" t="s">
        <v>38</v>
      </c>
      <c r="R778" s="1" t="s">
        <v>5406</v>
      </c>
      <c r="S778" s="3">
        <v>918996000000</v>
      </c>
      <c r="T778" s="1" t="s">
        <v>40</v>
      </c>
      <c r="U778" s="1">
        <v>61</v>
      </c>
      <c r="V778" s="1">
        <v>90</v>
      </c>
      <c r="W778" s="1" t="s">
        <v>52</v>
      </c>
      <c r="X778" s="1">
        <v>114422</v>
      </c>
      <c r="Y778" s="2">
        <v>36104</v>
      </c>
      <c r="Z778" s="1">
        <v>-13.8210262828535</v>
      </c>
      <c r="AA778" s="1">
        <v>25</v>
      </c>
      <c r="AB778" s="1">
        <v>184000</v>
      </c>
      <c r="AC778" s="1">
        <f t="shared" si="12"/>
        <v>214000</v>
      </c>
    </row>
    <row r="779" spans="1:29" x14ac:dyDescent="0.25">
      <c r="A779" s="1" t="s">
        <v>5417</v>
      </c>
      <c r="B779" s="1" t="s">
        <v>4081</v>
      </c>
      <c r="C779" s="1" t="s">
        <v>4082</v>
      </c>
      <c r="D779" s="1">
        <v>2020</v>
      </c>
      <c r="E779" s="1" t="s">
        <v>45</v>
      </c>
      <c r="F779" s="1">
        <v>2</v>
      </c>
      <c r="G779" s="1" t="s">
        <v>46</v>
      </c>
      <c r="H779" s="1" t="s">
        <v>47</v>
      </c>
      <c r="I779" s="1">
        <v>92000</v>
      </c>
      <c r="J779" s="1">
        <v>77000</v>
      </c>
      <c r="K779" s="1">
        <v>15000</v>
      </c>
      <c r="L779" s="1">
        <v>0</v>
      </c>
      <c r="M779" s="1" t="s">
        <v>34</v>
      </c>
      <c r="N779" s="1" t="s">
        <v>35</v>
      </c>
      <c r="O779" s="1" t="s">
        <v>57</v>
      </c>
      <c r="P779" s="1" t="s">
        <v>57</v>
      </c>
      <c r="Q779" s="1" t="s">
        <v>38</v>
      </c>
      <c r="R779" s="1" t="s">
        <v>5418</v>
      </c>
      <c r="S779" s="3">
        <v>918692000000</v>
      </c>
      <c r="T779" s="1" t="s">
        <v>40</v>
      </c>
      <c r="U779" s="1">
        <v>61</v>
      </c>
      <c r="V779" s="1">
        <v>87</v>
      </c>
      <c r="W779" s="1" t="s">
        <v>52</v>
      </c>
      <c r="X779" s="1">
        <v>760607</v>
      </c>
      <c r="Y779" s="2">
        <v>36177</v>
      </c>
      <c r="Z779" s="1">
        <v>-13.8210262828535</v>
      </c>
      <c r="AA779" s="1">
        <v>25</v>
      </c>
      <c r="AB779" s="1">
        <v>184000</v>
      </c>
      <c r="AC779" s="1">
        <f t="shared" si="12"/>
        <v>214000</v>
      </c>
    </row>
    <row r="780" spans="1:29" x14ac:dyDescent="0.25">
      <c r="A780" s="1" t="s">
        <v>5431</v>
      </c>
      <c r="B780" s="1" t="s">
        <v>5432</v>
      </c>
      <c r="C780" s="1" t="s">
        <v>5433</v>
      </c>
      <c r="D780" s="1">
        <v>2020</v>
      </c>
      <c r="E780" s="1" t="s">
        <v>31</v>
      </c>
      <c r="F780" s="1">
        <v>4</v>
      </c>
      <c r="G780" s="1" t="s">
        <v>32</v>
      </c>
      <c r="H780" s="1" t="s">
        <v>56</v>
      </c>
      <c r="I780" s="1">
        <v>169000</v>
      </c>
      <c r="J780" s="1">
        <v>154000</v>
      </c>
      <c r="K780" s="1">
        <v>15000</v>
      </c>
      <c r="L780" s="1">
        <v>0</v>
      </c>
      <c r="M780" s="1" t="s">
        <v>34</v>
      </c>
      <c r="N780" s="1" t="s">
        <v>35</v>
      </c>
      <c r="O780" s="1" t="s">
        <v>36</v>
      </c>
      <c r="P780" s="1" t="s">
        <v>37</v>
      </c>
      <c r="Q780" s="1" t="s">
        <v>38</v>
      </c>
      <c r="R780" s="1" t="s">
        <v>5434</v>
      </c>
      <c r="S780" s="3">
        <v>917457000000</v>
      </c>
      <c r="T780" s="1" t="s">
        <v>98</v>
      </c>
      <c r="U780" s="1">
        <v>61</v>
      </c>
      <c r="V780" s="1">
        <v>65</v>
      </c>
      <c r="W780" s="1" t="s">
        <v>52</v>
      </c>
      <c r="X780" s="1">
        <v>674000</v>
      </c>
      <c r="Y780" s="2">
        <v>36914</v>
      </c>
      <c r="Z780" s="1">
        <v>-13.8210262828535</v>
      </c>
      <c r="AA780" s="1">
        <v>23</v>
      </c>
      <c r="AB780" s="1">
        <v>676000</v>
      </c>
      <c r="AC780" s="1">
        <f t="shared" si="12"/>
        <v>736000</v>
      </c>
    </row>
    <row r="781" spans="1:29" x14ac:dyDescent="0.25">
      <c r="A781" s="1" t="s">
        <v>5469</v>
      </c>
      <c r="B781" s="1" t="s">
        <v>5470</v>
      </c>
      <c r="C781" s="1" t="s">
        <v>5471</v>
      </c>
      <c r="D781" s="1">
        <v>2020</v>
      </c>
      <c r="E781" s="1" t="s">
        <v>31</v>
      </c>
      <c r="F781" s="1">
        <v>4</v>
      </c>
      <c r="G781" s="1" t="s">
        <v>32</v>
      </c>
      <c r="H781" s="1" t="s">
        <v>47</v>
      </c>
      <c r="I781" s="1">
        <v>169000</v>
      </c>
      <c r="J781" s="1">
        <v>154000</v>
      </c>
      <c r="K781" s="1">
        <v>15000</v>
      </c>
      <c r="L781" s="1">
        <v>0</v>
      </c>
      <c r="M781" s="1" t="s">
        <v>34</v>
      </c>
      <c r="N781" s="1" t="s">
        <v>70</v>
      </c>
      <c r="O781" s="1" t="s">
        <v>78</v>
      </c>
      <c r="P781" s="1" t="s">
        <v>79</v>
      </c>
      <c r="Q781" s="1" t="s">
        <v>38</v>
      </c>
      <c r="R781" s="1" t="s">
        <v>5472</v>
      </c>
      <c r="S781" s="3">
        <v>919773000000</v>
      </c>
      <c r="T781" s="1" t="s">
        <v>40</v>
      </c>
      <c r="U781" s="1">
        <v>61</v>
      </c>
      <c r="V781" s="1">
        <v>74</v>
      </c>
      <c r="W781" s="1" t="s">
        <v>52</v>
      </c>
      <c r="X781" s="1">
        <v>238959</v>
      </c>
      <c r="Y781" s="2">
        <v>38425</v>
      </c>
      <c r="Z781" s="1">
        <v>-13.8210262828535</v>
      </c>
      <c r="AA781" s="1">
        <v>19</v>
      </c>
      <c r="AB781" s="1">
        <v>676000</v>
      </c>
      <c r="AC781" s="1">
        <f t="shared" si="12"/>
        <v>736000</v>
      </c>
    </row>
    <row r="782" spans="1:29" x14ac:dyDescent="0.25">
      <c r="A782" s="1" t="s">
        <v>5485</v>
      </c>
      <c r="B782" s="1" t="s">
        <v>4244</v>
      </c>
      <c r="C782" s="1" t="s">
        <v>4245</v>
      </c>
      <c r="D782" s="1">
        <v>2020</v>
      </c>
      <c r="E782" s="1" t="s">
        <v>45</v>
      </c>
      <c r="F782" s="1">
        <v>2</v>
      </c>
      <c r="G782" s="1" t="s">
        <v>46</v>
      </c>
      <c r="H782" s="1" t="s">
        <v>90</v>
      </c>
      <c r="I782" s="1">
        <v>92000</v>
      </c>
      <c r="J782" s="1">
        <v>77000</v>
      </c>
      <c r="K782" s="1">
        <v>15000</v>
      </c>
      <c r="L782" s="1">
        <v>0</v>
      </c>
      <c r="M782" s="1" t="s">
        <v>34</v>
      </c>
      <c r="N782" s="1" t="s">
        <v>63</v>
      </c>
      <c r="O782" s="1" t="s">
        <v>91</v>
      </c>
      <c r="P782" s="1" t="s">
        <v>92</v>
      </c>
      <c r="Q782" s="1" t="s">
        <v>38</v>
      </c>
      <c r="R782" s="1" t="s">
        <v>5486</v>
      </c>
      <c r="S782" s="3">
        <v>919705000000</v>
      </c>
      <c r="T782" s="1" t="s">
        <v>40</v>
      </c>
      <c r="U782" s="1">
        <v>61</v>
      </c>
      <c r="V782" s="1">
        <v>65</v>
      </c>
      <c r="W782" s="1" t="s">
        <v>52</v>
      </c>
      <c r="X782" s="1">
        <v>583760</v>
      </c>
      <c r="Y782" s="2">
        <v>36478</v>
      </c>
      <c r="Z782" s="1">
        <v>-13.8210262828535</v>
      </c>
      <c r="AA782" s="1">
        <v>24</v>
      </c>
      <c r="AB782" s="1">
        <v>184000</v>
      </c>
      <c r="AC782" s="1">
        <f t="shared" si="12"/>
        <v>214000</v>
      </c>
    </row>
    <row r="783" spans="1:29" x14ac:dyDescent="0.25">
      <c r="A783" s="1" t="s">
        <v>5519</v>
      </c>
      <c r="B783" s="1" t="s">
        <v>5520</v>
      </c>
      <c r="C783" s="1" t="s">
        <v>5521</v>
      </c>
      <c r="D783" s="1">
        <v>2020</v>
      </c>
      <c r="E783" s="1" t="s">
        <v>31</v>
      </c>
      <c r="F783" s="1">
        <v>4</v>
      </c>
      <c r="G783" s="1" t="s">
        <v>32</v>
      </c>
      <c r="H783" s="1" t="s">
        <v>90</v>
      </c>
      <c r="I783" s="1">
        <v>169000</v>
      </c>
      <c r="J783" s="1">
        <v>154000</v>
      </c>
      <c r="K783" s="1">
        <v>15000</v>
      </c>
      <c r="L783" s="1">
        <v>0</v>
      </c>
      <c r="M783" s="1" t="s">
        <v>34</v>
      </c>
      <c r="N783" s="1" t="s">
        <v>63</v>
      </c>
      <c r="O783" s="1" t="s">
        <v>78</v>
      </c>
      <c r="P783" s="1" t="s">
        <v>79</v>
      </c>
      <c r="Q783" s="1" t="s">
        <v>38</v>
      </c>
      <c r="R783" s="1" t="s">
        <v>5522</v>
      </c>
      <c r="S783" s="3">
        <v>917739000000</v>
      </c>
      <c r="T783" s="1" t="s">
        <v>86</v>
      </c>
      <c r="U783" s="1">
        <v>60</v>
      </c>
      <c r="V783" s="1">
        <v>68</v>
      </c>
      <c r="W783" s="1" t="s">
        <v>41</v>
      </c>
      <c r="X783" s="1">
        <v>173018</v>
      </c>
      <c r="Y783" s="2">
        <v>36910</v>
      </c>
      <c r="Z783" s="1">
        <v>-14.8210262828535</v>
      </c>
      <c r="AA783" s="1">
        <v>23</v>
      </c>
      <c r="AB783" s="1">
        <v>676000</v>
      </c>
      <c r="AC783" s="1">
        <f t="shared" si="12"/>
        <v>736000</v>
      </c>
    </row>
    <row r="784" spans="1:29" x14ac:dyDescent="0.25">
      <c r="A784" s="1" t="s">
        <v>5553</v>
      </c>
      <c r="B784" s="1" t="s">
        <v>5492</v>
      </c>
      <c r="C784" s="1" t="s">
        <v>5493</v>
      </c>
      <c r="D784" s="1">
        <v>2020</v>
      </c>
      <c r="E784" s="1" t="s">
        <v>45</v>
      </c>
      <c r="F784" s="1">
        <v>2</v>
      </c>
      <c r="G784" s="1" t="s">
        <v>46</v>
      </c>
      <c r="H784" s="1" t="s">
        <v>90</v>
      </c>
      <c r="I784" s="1">
        <v>92000</v>
      </c>
      <c r="J784" s="1">
        <v>77000</v>
      </c>
      <c r="K784" s="1">
        <v>15000</v>
      </c>
      <c r="L784" s="1">
        <v>0</v>
      </c>
      <c r="M784" s="1" t="s">
        <v>34</v>
      </c>
      <c r="N784" s="1" t="s">
        <v>35</v>
      </c>
      <c r="O784" s="1" t="s">
        <v>57</v>
      </c>
      <c r="P784" s="1" t="s">
        <v>57</v>
      </c>
      <c r="Q784" s="1" t="s">
        <v>38</v>
      </c>
      <c r="R784" s="1" t="s">
        <v>5554</v>
      </c>
      <c r="S784" s="3">
        <v>917793000000</v>
      </c>
      <c r="T784" s="1" t="s">
        <v>74</v>
      </c>
      <c r="U784" s="1">
        <v>60</v>
      </c>
      <c r="V784" s="1">
        <v>65</v>
      </c>
      <c r="W784" s="1" t="s">
        <v>52</v>
      </c>
      <c r="X784" s="1">
        <v>788947</v>
      </c>
      <c r="Y784" s="2">
        <v>36522</v>
      </c>
      <c r="Z784" s="1">
        <v>-14.8210262828535</v>
      </c>
      <c r="AA784" s="1">
        <v>24</v>
      </c>
      <c r="AB784" s="1">
        <v>184000</v>
      </c>
      <c r="AC784" s="1">
        <f t="shared" si="12"/>
        <v>214000</v>
      </c>
    </row>
    <row r="785" spans="1:29" x14ac:dyDescent="0.25">
      <c r="A785" s="1" t="s">
        <v>5557</v>
      </c>
      <c r="B785" s="1" t="s">
        <v>2773</v>
      </c>
      <c r="C785" s="1" t="s">
        <v>2774</v>
      </c>
      <c r="D785" s="1">
        <v>2020</v>
      </c>
      <c r="E785" s="1" t="s">
        <v>31</v>
      </c>
      <c r="F785" s="1">
        <v>4</v>
      </c>
      <c r="G785" s="1" t="s">
        <v>32</v>
      </c>
      <c r="H785" s="1" t="s">
        <v>122</v>
      </c>
      <c r="I785" s="1">
        <v>169000</v>
      </c>
      <c r="J785" s="1">
        <v>154000</v>
      </c>
      <c r="K785" s="1">
        <v>15000</v>
      </c>
      <c r="L785" s="1">
        <v>0</v>
      </c>
      <c r="M785" s="1" t="s">
        <v>34</v>
      </c>
      <c r="N785" s="1" t="s">
        <v>70</v>
      </c>
      <c r="O785" s="1" t="s">
        <v>71</v>
      </c>
      <c r="P785" s="1" t="s">
        <v>72</v>
      </c>
      <c r="Q785" s="1" t="s">
        <v>38</v>
      </c>
      <c r="R785" s="1" t="s">
        <v>5558</v>
      </c>
      <c r="S785" s="3">
        <v>919355000000</v>
      </c>
      <c r="T785" s="1" t="s">
        <v>98</v>
      </c>
      <c r="U785" s="1">
        <v>60</v>
      </c>
      <c r="V785" s="1">
        <v>62</v>
      </c>
      <c r="W785" s="1" t="s">
        <v>52</v>
      </c>
      <c r="X785" s="1">
        <v>444105</v>
      </c>
      <c r="Y785" s="2">
        <v>37959</v>
      </c>
      <c r="Z785" s="1">
        <v>-14.8210262828535</v>
      </c>
      <c r="AA785" s="1">
        <v>20</v>
      </c>
      <c r="AB785" s="1">
        <v>676000</v>
      </c>
      <c r="AC785" s="1">
        <f t="shared" si="12"/>
        <v>736000</v>
      </c>
    </row>
    <row r="786" spans="1:29" x14ac:dyDescent="0.25">
      <c r="A786" s="1" t="s">
        <v>5563</v>
      </c>
      <c r="B786" s="1" t="s">
        <v>3416</v>
      </c>
      <c r="C786" s="1" t="s">
        <v>3417</v>
      </c>
      <c r="D786" s="1">
        <v>2020</v>
      </c>
      <c r="E786" s="1" t="s">
        <v>31</v>
      </c>
      <c r="F786" s="1">
        <v>4</v>
      </c>
      <c r="G786" s="1" t="s">
        <v>32</v>
      </c>
      <c r="H786" s="1" t="s">
        <v>102</v>
      </c>
      <c r="I786" s="1">
        <v>169000</v>
      </c>
      <c r="J786" s="1">
        <v>154000</v>
      </c>
      <c r="K786" s="1">
        <v>15000</v>
      </c>
      <c r="L786" s="1">
        <v>0</v>
      </c>
      <c r="M786" s="1" t="s">
        <v>34</v>
      </c>
      <c r="N786" s="1" t="s">
        <v>70</v>
      </c>
      <c r="O786" s="1" t="s">
        <v>91</v>
      </c>
      <c r="P786" s="1" t="s">
        <v>92</v>
      </c>
      <c r="Q786" s="1" t="s">
        <v>38</v>
      </c>
      <c r="R786" s="1" t="s">
        <v>5564</v>
      </c>
      <c r="S786" s="3">
        <v>917358000000</v>
      </c>
      <c r="T786" s="1" t="s">
        <v>98</v>
      </c>
      <c r="U786" s="1">
        <v>60</v>
      </c>
      <c r="V786" s="1">
        <v>61</v>
      </c>
      <c r="W786" s="1" t="s">
        <v>41</v>
      </c>
      <c r="X786" s="1">
        <v>435793</v>
      </c>
      <c r="Y786" s="2">
        <v>37242</v>
      </c>
      <c r="Z786" s="1">
        <v>-14.8210262828535</v>
      </c>
      <c r="AA786" s="1">
        <v>22</v>
      </c>
      <c r="AB786" s="1">
        <v>676000</v>
      </c>
      <c r="AC786" s="1">
        <f t="shared" si="12"/>
        <v>736000</v>
      </c>
    </row>
    <row r="787" spans="1:29" x14ac:dyDescent="0.25">
      <c r="A787" s="1" t="s">
        <v>5571</v>
      </c>
      <c r="B787" s="1" t="s">
        <v>213</v>
      </c>
      <c r="C787" s="1" t="s">
        <v>214</v>
      </c>
      <c r="D787" s="1">
        <v>2020</v>
      </c>
      <c r="E787" s="1" t="s">
        <v>31</v>
      </c>
      <c r="F787" s="1">
        <v>4</v>
      </c>
      <c r="G787" s="1" t="s">
        <v>32</v>
      </c>
      <c r="H787" s="1" t="s">
        <v>56</v>
      </c>
      <c r="I787" s="1">
        <v>169000</v>
      </c>
      <c r="J787" s="1">
        <v>154000</v>
      </c>
      <c r="K787" s="1">
        <v>15000</v>
      </c>
      <c r="L787" s="1">
        <v>0</v>
      </c>
      <c r="M787" s="1" t="s">
        <v>34</v>
      </c>
      <c r="N787" s="1" t="s">
        <v>70</v>
      </c>
      <c r="O787" s="1" t="s">
        <v>64</v>
      </c>
      <c r="P787" s="1" t="s">
        <v>65</v>
      </c>
      <c r="Q787" s="1" t="s">
        <v>38</v>
      </c>
      <c r="R787" s="1" t="s">
        <v>5572</v>
      </c>
      <c r="S787" s="3">
        <v>919900000000</v>
      </c>
      <c r="T787" s="1" t="s">
        <v>98</v>
      </c>
      <c r="U787" s="1">
        <v>60</v>
      </c>
      <c r="V787" s="1">
        <v>68</v>
      </c>
      <c r="W787" s="1" t="s">
        <v>41</v>
      </c>
      <c r="X787" s="1">
        <v>611264</v>
      </c>
      <c r="Y787" s="2">
        <v>37249</v>
      </c>
      <c r="Z787" s="1">
        <v>-14.8210262828535</v>
      </c>
      <c r="AA787" s="1">
        <v>22</v>
      </c>
      <c r="AB787" s="1">
        <v>676000</v>
      </c>
      <c r="AC787" s="1">
        <f t="shared" si="12"/>
        <v>736000</v>
      </c>
    </row>
    <row r="788" spans="1:29" x14ac:dyDescent="0.25">
      <c r="A788" s="1" t="s">
        <v>5575</v>
      </c>
      <c r="B788" s="1" t="s">
        <v>5576</v>
      </c>
      <c r="C788" s="1" t="s">
        <v>5577</v>
      </c>
      <c r="D788" s="1">
        <v>2020</v>
      </c>
      <c r="E788" s="1" t="s">
        <v>31</v>
      </c>
      <c r="F788" s="1">
        <v>4</v>
      </c>
      <c r="G788" s="1" t="s">
        <v>32</v>
      </c>
      <c r="H788" s="1" t="s">
        <v>33</v>
      </c>
      <c r="I788" s="1">
        <v>169000</v>
      </c>
      <c r="J788" s="1">
        <v>154000</v>
      </c>
      <c r="K788" s="1">
        <v>15000</v>
      </c>
      <c r="L788" s="1">
        <v>0</v>
      </c>
      <c r="M788" s="1" t="s">
        <v>34</v>
      </c>
      <c r="N788" s="1" t="s">
        <v>70</v>
      </c>
      <c r="O788" s="1" t="s">
        <v>78</v>
      </c>
      <c r="P788" s="1" t="s">
        <v>79</v>
      </c>
      <c r="Q788" s="1" t="s">
        <v>38</v>
      </c>
      <c r="R788" s="1" t="s">
        <v>5578</v>
      </c>
      <c r="S788" s="3">
        <v>919897000000</v>
      </c>
      <c r="T788" s="1" t="s">
        <v>40</v>
      </c>
      <c r="U788" s="1">
        <v>60</v>
      </c>
      <c r="V788" s="1">
        <v>61</v>
      </c>
      <c r="W788" s="1" t="s">
        <v>41</v>
      </c>
      <c r="X788" s="1">
        <v>375332</v>
      </c>
      <c r="Y788" s="2">
        <v>36984</v>
      </c>
      <c r="Z788" s="1">
        <v>-14.8210262828535</v>
      </c>
      <c r="AA788" s="1">
        <v>23</v>
      </c>
      <c r="AB788" s="1">
        <v>676000</v>
      </c>
      <c r="AC788" s="1">
        <f t="shared" si="12"/>
        <v>736000</v>
      </c>
    </row>
    <row r="789" spans="1:29" x14ac:dyDescent="0.25">
      <c r="A789" s="1" t="s">
        <v>5587</v>
      </c>
      <c r="B789" s="1" t="s">
        <v>5588</v>
      </c>
      <c r="C789" s="1" t="s">
        <v>5589</v>
      </c>
      <c r="D789" s="1">
        <v>2020</v>
      </c>
      <c r="E789" s="1" t="s">
        <v>31</v>
      </c>
      <c r="F789" s="1">
        <v>4</v>
      </c>
      <c r="G789" s="1" t="s">
        <v>32</v>
      </c>
      <c r="H789" s="1" t="s">
        <v>56</v>
      </c>
      <c r="I789" s="1">
        <v>169000</v>
      </c>
      <c r="J789" s="1">
        <v>154000</v>
      </c>
      <c r="K789" s="1">
        <v>15000</v>
      </c>
      <c r="L789" s="1">
        <v>0</v>
      </c>
      <c r="M789" s="1" t="s">
        <v>34</v>
      </c>
      <c r="N789" s="1" t="s">
        <v>35</v>
      </c>
      <c r="O789" s="1" t="s">
        <v>78</v>
      </c>
      <c r="P789" s="1" t="s">
        <v>79</v>
      </c>
      <c r="Q789" s="1" t="s">
        <v>38</v>
      </c>
      <c r="R789" s="1" t="s">
        <v>5590</v>
      </c>
      <c r="S789" s="3">
        <v>918059000000</v>
      </c>
      <c r="T789" s="1" t="s">
        <v>40</v>
      </c>
      <c r="U789" s="1">
        <v>60</v>
      </c>
      <c r="V789" s="1">
        <v>83</v>
      </c>
      <c r="W789" s="1" t="s">
        <v>52</v>
      </c>
      <c r="X789" s="1">
        <v>450188</v>
      </c>
      <c r="Y789" s="2">
        <v>37291</v>
      </c>
      <c r="Z789" s="1">
        <v>-14.8210262828535</v>
      </c>
      <c r="AA789" s="1">
        <v>22</v>
      </c>
      <c r="AB789" s="1">
        <v>676000</v>
      </c>
      <c r="AC789" s="1">
        <f t="shared" si="12"/>
        <v>736000</v>
      </c>
    </row>
    <row r="790" spans="1:29" x14ac:dyDescent="0.25">
      <c r="A790" s="1" t="s">
        <v>5611</v>
      </c>
      <c r="B790" s="1" t="s">
        <v>5612</v>
      </c>
      <c r="C790" s="1" t="s">
        <v>5613</v>
      </c>
      <c r="D790" s="1">
        <v>2020</v>
      </c>
      <c r="E790" s="1" t="s">
        <v>31</v>
      </c>
      <c r="F790" s="1">
        <v>4</v>
      </c>
      <c r="G790" s="1" t="s">
        <v>32</v>
      </c>
      <c r="H790" s="1" t="s">
        <v>90</v>
      </c>
      <c r="I790" s="1">
        <v>169000</v>
      </c>
      <c r="J790" s="1">
        <v>154000</v>
      </c>
      <c r="K790" s="1">
        <v>15000</v>
      </c>
      <c r="L790" s="1">
        <v>0</v>
      </c>
      <c r="M790" s="1" t="s">
        <v>34</v>
      </c>
      <c r="N790" s="1" t="s">
        <v>35</v>
      </c>
      <c r="O790" s="1" t="s">
        <v>71</v>
      </c>
      <c r="P790" s="1" t="s">
        <v>72</v>
      </c>
      <c r="Q790" s="1" t="s">
        <v>38</v>
      </c>
      <c r="R790" s="1" t="s">
        <v>5614</v>
      </c>
      <c r="S790" s="3">
        <v>918646000000</v>
      </c>
      <c r="T790" s="1" t="s">
        <v>51</v>
      </c>
      <c r="U790" s="1">
        <v>60</v>
      </c>
      <c r="V790" s="1">
        <v>80</v>
      </c>
      <c r="W790" s="1" t="s">
        <v>41</v>
      </c>
      <c r="X790" s="1">
        <v>253480</v>
      </c>
      <c r="Y790" s="2">
        <v>37734</v>
      </c>
      <c r="Z790" s="1">
        <v>-14.8210262828535</v>
      </c>
      <c r="AA790" s="1">
        <v>21</v>
      </c>
      <c r="AB790" s="1">
        <v>676000</v>
      </c>
      <c r="AC790" s="1">
        <f t="shared" si="12"/>
        <v>736000</v>
      </c>
    </row>
    <row r="791" spans="1:29" x14ac:dyDescent="0.25">
      <c r="A791" s="1" t="s">
        <v>5621</v>
      </c>
      <c r="B791" s="1" t="s">
        <v>1561</v>
      </c>
      <c r="C791" s="1" t="s">
        <v>1562</v>
      </c>
      <c r="D791" s="1">
        <v>2020</v>
      </c>
      <c r="E791" s="1" t="s">
        <v>31</v>
      </c>
      <c r="F791" s="1">
        <v>4</v>
      </c>
      <c r="G791" s="1" t="s">
        <v>32</v>
      </c>
      <c r="H791" s="1" t="s">
        <v>33</v>
      </c>
      <c r="I791" s="1">
        <v>169000</v>
      </c>
      <c r="J791" s="1">
        <v>154000</v>
      </c>
      <c r="K791" s="1">
        <v>15000</v>
      </c>
      <c r="L791" s="1">
        <v>0</v>
      </c>
      <c r="M791" s="1" t="s">
        <v>34</v>
      </c>
      <c r="N791" s="1" t="s">
        <v>70</v>
      </c>
      <c r="O791" s="1" t="s">
        <v>57</v>
      </c>
      <c r="P791" s="1" t="s">
        <v>57</v>
      </c>
      <c r="Q791" s="1" t="s">
        <v>38</v>
      </c>
      <c r="R791" s="1" t="s">
        <v>5622</v>
      </c>
      <c r="S791" s="3">
        <v>918859000000</v>
      </c>
      <c r="T791" s="1" t="s">
        <v>40</v>
      </c>
      <c r="U791" s="1">
        <v>60</v>
      </c>
      <c r="V791" s="1">
        <v>60</v>
      </c>
      <c r="W791" s="1" t="s">
        <v>41</v>
      </c>
      <c r="X791" s="1">
        <v>337788</v>
      </c>
      <c r="Y791" s="2">
        <v>38620</v>
      </c>
      <c r="Z791" s="1">
        <v>-14.8210262828535</v>
      </c>
      <c r="AA791" s="1">
        <v>18</v>
      </c>
      <c r="AB791" s="1">
        <v>676000</v>
      </c>
      <c r="AC791" s="1">
        <f t="shared" si="12"/>
        <v>736000</v>
      </c>
    </row>
    <row r="792" spans="1:29" x14ac:dyDescent="0.25">
      <c r="A792" s="1" t="s">
        <v>5625</v>
      </c>
      <c r="B792" s="1" t="s">
        <v>3045</v>
      </c>
      <c r="C792" s="1" t="s">
        <v>3046</v>
      </c>
      <c r="D792" s="1">
        <v>2020</v>
      </c>
      <c r="E792" s="1" t="s">
        <v>45</v>
      </c>
      <c r="F792" s="1">
        <v>2</v>
      </c>
      <c r="G792" s="1" t="s">
        <v>46</v>
      </c>
      <c r="H792" s="1" t="s">
        <v>62</v>
      </c>
      <c r="I792" s="1">
        <v>92000</v>
      </c>
      <c r="J792" s="1">
        <v>77000</v>
      </c>
      <c r="K792" s="1">
        <v>15000</v>
      </c>
      <c r="L792" s="1">
        <v>0</v>
      </c>
      <c r="M792" s="1" t="s">
        <v>34</v>
      </c>
      <c r="N792" s="1" t="s">
        <v>70</v>
      </c>
      <c r="O792" s="1" t="s">
        <v>103</v>
      </c>
      <c r="P792" s="1" t="s">
        <v>104</v>
      </c>
      <c r="Q792" s="1" t="s">
        <v>38</v>
      </c>
      <c r="R792" s="1" t="s">
        <v>5626</v>
      </c>
      <c r="S792" s="3">
        <v>919625000000</v>
      </c>
      <c r="T792" s="1" t="s">
        <v>40</v>
      </c>
      <c r="U792" s="1">
        <v>60</v>
      </c>
      <c r="V792" s="1">
        <v>80</v>
      </c>
      <c r="W792" s="1" t="s">
        <v>41</v>
      </c>
      <c r="X792" s="1">
        <v>678444</v>
      </c>
      <c r="Y792" s="2">
        <v>35886</v>
      </c>
      <c r="Z792" s="1">
        <v>-14.8210262828535</v>
      </c>
      <c r="AA792" s="1">
        <v>26</v>
      </c>
      <c r="AB792" s="1">
        <v>184000</v>
      </c>
      <c r="AC792" s="1">
        <f t="shared" si="12"/>
        <v>214000</v>
      </c>
    </row>
    <row r="793" spans="1:29" x14ac:dyDescent="0.25">
      <c r="A793" s="1" t="s">
        <v>5635</v>
      </c>
      <c r="B793" s="1" t="s">
        <v>5636</v>
      </c>
      <c r="C793" s="1" t="s">
        <v>5637</v>
      </c>
      <c r="D793" s="1">
        <v>2020</v>
      </c>
      <c r="E793" s="1" t="s">
        <v>31</v>
      </c>
      <c r="F793" s="1">
        <v>4</v>
      </c>
      <c r="G793" s="1" t="s">
        <v>32</v>
      </c>
      <c r="H793" s="1" t="s">
        <v>122</v>
      </c>
      <c r="I793" s="1">
        <v>169000</v>
      </c>
      <c r="J793" s="1">
        <v>154000</v>
      </c>
      <c r="K793" s="1">
        <v>15000</v>
      </c>
      <c r="L793" s="1">
        <v>0</v>
      </c>
      <c r="M793" s="1" t="s">
        <v>34</v>
      </c>
      <c r="N793" s="1" t="s">
        <v>63</v>
      </c>
      <c r="O793" s="1" t="s">
        <v>64</v>
      </c>
      <c r="P793" s="1" t="s">
        <v>65</v>
      </c>
      <c r="Q793" s="1" t="s">
        <v>38</v>
      </c>
      <c r="R793" s="1" t="s">
        <v>5638</v>
      </c>
      <c r="S793" s="3">
        <v>918865000000</v>
      </c>
      <c r="T793" s="1" t="s">
        <v>86</v>
      </c>
      <c r="U793" s="1">
        <v>60</v>
      </c>
      <c r="V793" s="1">
        <v>88</v>
      </c>
      <c r="W793" s="1" t="s">
        <v>52</v>
      </c>
      <c r="X793" s="1">
        <v>599382</v>
      </c>
      <c r="Y793" s="2">
        <v>37200</v>
      </c>
      <c r="Z793" s="1">
        <v>-14.8210262828535</v>
      </c>
      <c r="AA793" s="1">
        <v>22</v>
      </c>
      <c r="AB793" s="1">
        <v>676000</v>
      </c>
      <c r="AC793" s="1">
        <f t="shared" si="12"/>
        <v>736000</v>
      </c>
    </row>
    <row r="794" spans="1:29" x14ac:dyDescent="0.25">
      <c r="A794" s="1" t="s">
        <v>59</v>
      </c>
      <c r="B794" s="1" t="s">
        <v>60</v>
      </c>
      <c r="C794" s="1" t="s">
        <v>61</v>
      </c>
      <c r="D794" s="1">
        <v>2021</v>
      </c>
      <c r="E794" s="1" t="s">
        <v>31</v>
      </c>
      <c r="F794" s="1">
        <v>4</v>
      </c>
      <c r="G794" s="1" t="s">
        <v>32</v>
      </c>
      <c r="H794" s="1" t="s">
        <v>62</v>
      </c>
      <c r="I794" s="1">
        <v>169000</v>
      </c>
      <c r="J794" s="1">
        <v>154000</v>
      </c>
      <c r="K794" s="1">
        <v>15000</v>
      </c>
      <c r="L794" s="1">
        <v>0</v>
      </c>
      <c r="M794" s="1" t="s">
        <v>34</v>
      </c>
      <c r="N794" s="1" t="s">
        <v>63</v>
      </c>
      <c r="O794" s="1" t="s">
        <v>64</v>
      </c>
      <c r="P794" s="1" t="s">
        <v>65</v>
      </c>
      <c r="Q794" s="1" t="s">
        <v>38</v>
      </c>
      <c r="R794" s="1" t="s">
        <v>66</v>
      </c>
      <c r="S794" s="3">
        <v>917743000000</v>
      </c>
      <c r="T794" s="1" t="s">
        <v>40</v>
      </c>
      <c r="U794" s="1">
        <v>90</v>
      </c>
      <c r="V794" s="1">
        <v>89</v>
      </c>
      <c r="W794" s="1" t="s">
        <v>41</v>
      </c>
      <c r="X794" s="1">
        <v>688362</v>
      </c>
      <c r="Y794" s="2">
        <v>37667</v>
      </c>
      <c r="Z794" s="1">
        <v>15.1789737171464</v>
      </c>
      <c r="AA794" s="1">
        <v>21</v>
      </c>
      <c r="AB794" s="1">
        <v>676000</v>
      </c>
      <c r="AC794" s="1">
        <f t="shared" si="12"/>
        <v>736000</v>
      </c>
    </row>
    <row r="795" spans="1:29" x14ac:dyDescent="0.25">
      <c r="A795" s="1" t="s">
        <v>115</v>
      </c>
      <c r="B795" s="1" t="s">
        <v>116</v>
      </c>
      <c r="C795" s="1" t="s">
        <v>117</v>
      </c>
      <c r="D795" s="1">
        <v>2021</v>
      </c>
      <c r="E795" s="1" t="s">
        <v>31</v>
      </c>
      <c r="F795" s="1">
        <v>4</v>
      </c>
      <c r="G795" s="1" t="s">
        <v>32</v>
      </c>
      <c r="H795" s="1" t="s">
        <v>90</v>
      </c>
      <c r="I795" s="1">
        <v>169000</v>
      </c>
      <c r="J795" s="1">
        <v>154000</v>
      </c>
      <c r="K795" s="1">
        <v>15000</v>
      </c>
      <c r="L795" s="1">
        <v>0</v>
      </c>
      <c r="M795" s="1" t="s">
        <v>5649</v>
      </c>
      <c r="N795" s="1" t="s">
        <v>35</v>
      </c>
      <c r="O795" s="1" t="s">
        <v>78</v>
      </c>
      <c r="P795" s="1" t="s">
        <v>79</v>
      </c>
      <c r="Q795" s="1" t="s">
        <v>38</v>
      </c>
      <c r="R795" s="1" t="s">
        <v>118</v>
      </c>
      <c r="S795" s="3">
        <v>918406000000</v>
      </c>
      <c r="T795" s="1" t="s">
        <v>51</v>
      </c>
      <c r="U795" s="1">
        <v>90</v>
      </c>
      <c r="V795" s="1">
        <v>76</v>
      </c>
      <c r="W795" s="1" t="s">
        <v>41</v>
      </c>
      <c r="X795" s="1">
        <v>447665</v>
      </c>
      <c r="Y795" s="2">
        <v>36804</v>
      </c>
      <c r="Z795" s="1">
        <v>15.1789737171464</v>
      </c>
      <c r="AA795" s="1">
        <v>23</v>
      </c>
      <c r="AB795" s="1">
        <v>676000</v>
      </c>
      <c r="AC795" s="1">
        <f t="shared" si="12"/>
        <v>736000</v>
      </c>
    </row>
    <row r="796" spans="1:29" x14ac:dyDescent="0.25">
      <c r="A796" s="1" t="s">
        <v>157</v>
      </c>
      <c r="B796" s="1" t="s">
        <v>158</v>
      </c>
      <c r="C796" s="1" t="s">
        <v>159</v>
      </c>
      <c r="D796" s="1">
        <v>2021</v>
      </c>
      <c r="E796" s="1" t="s">
        <v>45</v>
      </c>
      <c r="F796" s="1">
        <v>2</v>
      </c>
      <c r="G796" s="1" t="s">
        <v>46</v>
      </c>
      <c r="H796" s="1" t="s">
        <v>90</v>
      </c>
      <c r="I796" s="1">
        <v>92000</v>
      </c>
      <c r="J796" s="1">
        <v>77000</v>
      </c>
      <c r="K796" s="1">
        <v>15000</v>
      </c>
      <c r="L796" s="1">
        <v>0</v>
      </c>
      <c r="M796" s="1" t="s">
        <v>34</v>
      </c>
      <c r="N796" s="1" t="s">
        <v>63</v>
      </c>
      <c r="O796" s="1" t="s">
        <v>48</v>
      </c>
      <c r="P796" s="1" t="s">
        <v>49</v>
      </c>
      <c r="Q796" s="1" t="s">
        <v>38</v>
      </c>
      <c r="R796" s="1" t="s">
        <v>160</v>
      </c>
      <c r="S796" s="3">
        <v>917562000000</v>
      </c>
      <c r="T796" s="1" t="s">
        <v>98</v>
      </c>
      <c r="U796" s="1">
        <v>90</v>
      </c>
      <c r="V796" s="1">
        <v>67</v>
      </c>
      <c r="W796" s="1" t="s">
        <v>41</v>
      </c>
      <c r="X796" s="1">
        <v>181510</v>
      </c>
      <c r="Y796" s="2">
        <v>35849</v>
      </c>
      <c r="Z796" s="1">
        <v>15.1789737171464</v>
      </c>
      <c r="AA796" s="1">
        <v>26</v>
      </c>
      <c r="AB796" s="1">
        <v>184000</v>
      </c>
      <c r="AC796" s="1">
        <f t="shared" si="12"/>
        <v>214000</v>
      </c>
    </row>
    <row r="797" spans="1:29" x14ac:dyDescent="0.25">
      <c r="A797" s="1" t="s">
        <v>165</v>
      </c>
      <c r="B797" s="1" t="s">
        <v>166</v>
      </c>
      <c r="C797" s="1" t="s">
        <v>167</v>
      </c>
      <c r="D797" s="1">
        <v>2021</v>
      </c>
      <c r="E797" s="1" t="s">
        <v>31</v>
      </c>
      <c r="F797" s="1">
        <v>4</v>
      </c>
      <c r="G797" s="1" t="s">
        <v>32</v>
      </c>
      <c r="H797" s="1" t="s">
        <v>113</v>
      </c>
      <c r="I797" s="1">
        <v>169000</v>
      </c>
      <c r="J797" s="1">
        <v>154000</v>
      </c>
      <c r="K797" s="1">
        <v>15000</v>
      </c>
      <c r="L797" s="1">
        <v>0</v>
      </c>
      <c r="M797" s="1" t="s">
        <v>34</v>
      </c>
      <c r="N797" s="1" t="s">
        <v>63</v>
      </c>
      <c r="O797" s="1" t="s">
        <v>57</v>
      </c>
      <c r="P797" s="1" t="s">
        <v>57</v>
      </c>
      <c r="Q797" s="1" t="s">
        <v>38</v>
      </c>
      <c r="R797" s="1" t="s">
        <v>168</v>
      </c>
      <c r="S797" s="3">
        <v>917190000000</v>
      </c>
      <c r="T797" s="1" t="s">
        <v>86</v>
      </c>
      <c r="U797" s="1">
        <v>90</v>
      </c>
      <c r="V797" s="1">
        <v>69</v>
      </c>
      <c r="W797" s="1" t="s">
        <v>41</v>
      </c>
      <c r="X797" s="1">
        <v>671798</v>
      </c>
      <c r="Y797" s="2">
        <v>38733</v>
      </c>
      <c r="Z797" s="1">
        <v>15.1789737171464</v>
      </c>
      <c r="AA797" s="1">
        <v>18</v>
      </c>
      <c r="AB797" s="1">
        <v>676000</v>
      </c>
      <c r="AC797" s="1">
        <f t="shared" si="12"/>
        <v>736000</v>
      </c>
    </row>
    <row r="798" spans="1:29" x14ac:dyDescent="0.25">
      <c r="A798" s="1" t="s">
        <v>177</v>
      </c>
      <c r="B798" s="1" t="s">
        <v>178</v>
      </c>
      <c r="C798" s="1" t="s">
        <v>179</v>
      </c>
      <c r="D798" s="1">
        <v>2021</v>
      </c>
      <c r="E798" s="1" t="s">
        <v>31</v>
      </c>
      <c r="F798" s="1">
        <v>4</v>
      </c>
      <c r="G798" s="1" t="s">
        <v>32</v>
      </c>
      <c r="H798" s="1" t="s">
        <v>33</v>
      </c>
      <c r="I798" s="1">
        <v>169000</v>
      </c>
      <c r="J798" s="1">
        <v>154000</v>
      </c>
      <c r="K798" s="1">
        <v>15000</v>
      </c>
      <c r="L798" s="1">
        <v>0</v>
      </c>
      <c r="M798" s="1" t="s">
        <v>34</v>
      </c>
      <c r="N798" s="1" t="s">
        <v>70</v>
      </c>
      <c r="O798" s="1" t="s">
        <v>57</v>
      </c>
      <c r="P798" s="1" t="s">
        <v>57</v>
      </c>
      <c r="Q798" s="1" t="s">
        <v>38</v>
      </c>
      <c r="R798" s="1" t="s">
        <v>180</v>
      </c>
      <c r="S798" s="3">
        <v>918085000000</v>
      </c>
      <c r="T798" s="1" t="s">
        <v>86</v>
      </c>
      <c r="U798" s="1">
        <v>90</v>
      </c>
      <c r="V798" s="1">
        <v>78</v>
      </c>
      <c r="W798" s="1" t="s">
        <v>52</v>
      </c>
      <c r="X798" s="1">
        <v>720434</v>
      </c>
      <c r="Y798" s="2">
        <v>37117</v>
      </c>
      <c r="Z798" s="1">
        <v>15.1789737171464</v>
      </c>
      <c r="AA798" s="1">
        <v>22</v>
      </c>
      <c r="AB798" s="1">
        <v>676000</v>
      </c>
      <c r="AC798" s="1">
        <f t="shared" si="12"/>
        <v>736000</v>
      </c>
    </row>
    <row r="799" spans="1:29" x14ac:dyDescent="0.25">
      <c r="A799" s="1" t="s">
        <v>260</v>
      </c>
      <c r="B799" s="1" t="s">
        <v>261</v>
      </c>
      <c r="C799" s="1" t="s">
        <v>262</v>
      </c>
      <c r="D799" s="1">
        <v>2021</v>
      </c>
      <c r="E799" s="1" t="s">
        <v>31</v>
      </c>
      <c r="F799" s="1">
        <v>4</v>
      </c>
      <c r="G799" s="1" t="s">
        <v>32</v>
      </c>
      <c r="H799" s="1" t="s">
        <v>62</v>
      </c>
      <c r="I799" s="1">
        <v>169000</v>
      </c>
      <c r="J799" s="1">
        <v>154000</v>
      </c>
      <c r="K799" s="1">
        <v>15000</v>
      </c>
      <c r="L799" s="1">
        <v>0</v>
      </c>
      <c r="M799" s="1" t="s">
        <v>34</v>
      </c>
      <c r="N799" s="1" t="s">
        <v>70</v>
      </c>
      <c r="O799" s="1" t="s">
        <v>64</v>
      </c>
      <c r="P799" s="1" t="s">
        <v>65</v>
      </c>
      <c r="Q799" s="1" t="s">
        <v>38</v>
      </c>
      <c r="R799" s="1" t="s">
        <v>263</v>
      </c>
      <c r="S799" s="3">
        <v>918609000000</v>
      </c>
      <c r="T799" s="1" t="s">
        <v>40</v>
      </c>
      <c r="U799" s="1">
        <v>90</v>
      </c>
      <c r="V799" s="1">
        <v>64</v>
      </c>
      <c r="W799" s="1" t="s">
        <v>52</v>
      </c>
      <c r="X799" s="1">
        <v>782585</v>
      </c>
      <c r="Y799" s="2">
        <v>38190</v>
      </c>
      <c r="Z799" s="1">
        <v>15.1789737171464</v>
      </c>
      <c r="AA799" s="1">
        <v>19</v>
      </c>
      <c r="AB799" s="1">
        <v>676000</v>
      </c>
      <c r="AC799" s="1">
        <f t="shared" si="12"/>
        <v>736000</v>
      </c>
    </row>
    <row r="800" spans="1:29" x14ac:dyDescent="0.25">
      <c r="A800" s="1" t="s">
        <v>268</v>
      </c>
      <c r="B800" s="1" t="s">
        <v>269</v>
      </c>
      <c r="C800" s="1" t="s">
        <v>270</v>
      </c>
      <c r="D800" s="1">
        <v>2021</v>
      </c>
      <c r="E800" s="1" t="s">
        <v>31</v>
      </c>
      <c r="F800" s="1">
        <v>4</v>
      </c>
      <c r="G800" s="1" t="s">
        <v>32</v>
      </c>
      <c r="H800" s="1" t="s">
        <v>47</v>
      </c>
      <c r="I800" s="1">
        <v>169000</v>
      </c>
      <c r="J800" s="1">
        <v>154000</v>
      </c>
      <c r="K800" s="1">
        <v>15000</v>
      </c>
      <c r="L800" s="1">
        <v>0</v>
      </c>
      <c r="M800" s="1" t="s">
        <v>34</v>
      </c>
      <c r="N800" s="1" t="s">
        <v>35</v>
      </c>
      <c r="O800" s="1" t="s">
        <v>188</v>
      </c>
      <c r="P800" s="1" t="s">
        <v>189</v>
      </c>
      <c r="Q800" s="1" t="s">
        <v>38</v>
      </c>
      <c r="R800" s="1" t="s">
        <v>271</v>
      </c>
      <c r="S800" s="3">
        <v>918710000000</v>
      </c>
      <c r="T800" s="1" t="s">
        <v>74</v>
      </c>
      <c r="U800" s="1">
        <v>90</v>
      </c>
      <c r="V800" s="1">
        <v>60</v>
      </c>
      <c r="W800" s="1" t="s">
        <v>52</v>
      </c>
      <c r="X800" s="1">
        <v>251167</v>
      </c>
      <c r="Y800" s="2">
        <v>37870</v>
      </c>
      <c r="Z800" s="1">
        <v>15.1789737171464</v>
      </c>
      <c r="AA800" s="1">
        <v>20</v>
      </c>
      <c r="AB800" s="1">
        <v>676000</v>
      </c>
      <c r="AC800" s="1">
        <f t="shared" si="12"/>
        <v>736000</v>
      </c>
    </row>
    <row r="801" spans="1:29" x14ac:dyDescent="0.25">
      <c r="A801" s="1" t="s">
        <v>272</v>
      </c>
      <c r="B801" s="1" t="s">
        <v>273</v>
      </c>
      <c r="C801" s="1" t="s">
        <v>274</v>
      </c>
      <c r="D801" s="1">
        <v>2021</v>
      </c>
      <c r="E801" s="1" t="s">
        <v>31</v>
      </c>
      <c r="F801" s="1">
        <v>4</v>
      </c>
      <c r="G801" s="1" t="s">
        <v>32</v>
      </c>
      <c r="H801" s="1" t="s">
        <v>33</v>
      </c>
      <c r="I801" s="1">
        <v>169000</v>
      </c>
      <c r="J801" s="1">
        <v>154000</v>
      </c>
      <c r="K801" s="1">
        <v>15000</v>
      </c>
      <c r="L801" s="1">
        <v>0</v>
      </c>
      <c r="M801" s="1" t="s">
        <v>34</v>
      </c>
      <c r="N801" s="1" t="s">
        <v>63</v>
      </c>
      <c r="O801" s="1" t="s">
        <v>91</v>
      </c>
      <c r="P801" s="1" t="s">
        <v>92</v>
      </c>
      <c r="Q801" s="1" t="s">
        <v>38</v>
      </c>
      <c r="R801" s="1" t="s">
        <v>275</v>
      </c>
      <c r="S801" s="3">
        <v>917206000000</v>
      </c>
      <c r="T801" s="1" t="s">
        <v>86</v>
      </c>
      <c r="U801" s="1">
        <v>90</v>
      </c>
      <c r="V801" s="1">
        <v>68</v>
      </c>
      <c r="W801" s="1" t="s">
        <v>41</v>
      </c>
      <c r="X801" s="1">
        <v>404544</v>
      </c>
      <c r="Y801" s="2">
        <v>38589</v>
      </c>
      <c r="Z801" s="1">
        <v>15.1789737171464</v>
      </c>
      <c r="AA801" s="1">
        <v>18</v>
      </c>
      <c r="AB801" s="1">
        <v>676000</v>
      </c>
      <c r="AC801" s="1">
        <f t="shared" si="12"/>
        <v>736000</v>
      </c>
    </row>
    <row r="802" spans="1:29" x14ac:dyDescent="0.25">
      <c r="A802" s="1" t="s">
        <v>296</v>
      </c>
      <c r="B802" s="1" t="s">
        <v>297</v>
      </c>
      <c r="C802" s="1" t="s">
        <v>298</v>
      </c>
      <c r="D802" s="1">
        <v>2021</v>
      </c>
      <c r="E802" s="1" t="s">
        <v>31</v>
      </c>
      <c r="F802" s="1">
        <v>4</v>
      </c>
      <c r="G802" s="1" t="s">
        <v>32</v>
      </c>
      <c r="H802" s="1" t="s">
        <v>56</v>
      </c>
      <c r="I802" s="1">
        <v>169000</v>
      </c>
      <c r="J802" s="1">
        <v>154000</v>
      </c>
      <c r="K802" s="1">
        <v>15000</v>
      </c>
      <c r="L802" s="1">
        <v>0</v>
      </c>
      <c r="M802" s="1" t="s">
        <v>34</v>
      </c>
      <c r="N802" s="1" t="s">
        <v>70</v>
      </c>
      <c r="O802" s="1" t="s">
        <v>64</v>
      </c>
      <c r="P802" s="1" t="s">
        <v>65</v>
      </c>
      <c r="Q802" s="1" t="s">
        <v>38</v>
      </c>
      <c r="R802" s="1" t="s">
        <v>299</v>
      </c>
      <c r="S802" s="3">
        <v>918429000000</v>
      </c>
      <c r="T802" s="1" t="s">
        <v>98</v>
      </c>
      <c r="U802" s="1">
        <v>89</v>
      </c>
      <c r="V802" s="1">
        <v>81</v>
      </c>
      <c r="W802" s="1" t="s">
        <v>41</v>
      </c>
      <c r="X802" s="1">
        <v>305837</v>
      </c>
      <c r="Y802" s="2">
        <v>37147</v>
      </c>
      <c r="Z802" s="1">
        <v>14.1789737171464</v>
      </c>
      <c r="AA802" s="1">
        <v>22</v>
      </c>
      <c r="AB802" s="1">
        <v>676000</v>
      </c>
      <c r="AC802" s="1">
        <f t="shared" si="12"/>
        <v>736000</v>
      </c>
    </row>
    <row r="803" spans="1:29" x14ac:dyDescent="0.25">
      <c r="A803" s="1" t="s">
        <v>304</v>
      </c>
      <c r="B803" s="1" t="s">
        <v>305</v>
      </c>
      <c r="C803" s="1" t="s">
        <v>306</v>
      </c>
      <c r="D803" s="1">
        <v>2021</v>
      </c>
      <c r="E803" s="1" t="s">
        <v>45</v>
      </c>
      <c r="F803" s="1">
        <v>2</v>
      </c>
      <c r="G803" s="1" t="s">
        <v>46</v>
      </c>
      <c r="H803" s="1" t="s">
        <v>113</v>
      </c>
      <c r="I803" s="1">
        <v>92000</v>
      </c>
      <c r="J803" s="1">
        <v>77000</v>
      </c>
      <c r="K803" s="1">
        <v>15000</v>
      </c>
      <c r="L803" s="1">
        <v>0</v>
      </c>
      <c r="M803" s="1" t="s">
        <v>34</v>
      </c>
      <c r="N803" s="1" t="s">
        <v>35</v>
      </c>
      <c r="O803" s="1" t="s">
        <v>188</v>
      </c>
      <c r="P803" s="1" t="s">
        <v>189</v>
      </c>
      <c r="Q803" s="1" t="s">
        <v>38</v>
      </c>
      <c r="R803" s="1" t="s">
        <v>307</v>
      </c>
      <c r="S803" s="3">
        <v>919752000000</v>
      </c>
      <c r="T803" s="1" t="s">
        <v>86</v>
      </c>
      <c r="U803" s="1">
        <v>89</v>
      </c>
      <c r="V803" s="1">
        <v>83</v>
      </c>
      <c r="W803" s="1" t="s">
        <v>41</v>
      </c>
      <c r="X803" s="1">
        <v>573253</v>
      </c>
      <c r="Y803" s="2">
        <v>35777</v>
      </c>
      <c r="Z803" s="1">
        <v>14.1789737171464</v>
      </c>
      <c r="AA803" s="1">
        <v>26</v>
      </c>
      <c r="AB803" s="1">
        <v>184000</v>
      </c>
      <c r="AC803" s="1">
        <f t="shared" si="12"/>
        <v>214000</v>
      </c>
    </row>
    <row r="804" spans="1:29" x14ac:dyDescent="0.25">
      <c r="A804" s="1" t="s">
        <v>324</v>
      </c>
      <c r="B804" s="1" t="s">
        <v>325</v>
      </c>
      <c r="C804" s="1" t="s">
        <v>326</v>
      </c>
      <c r="D804" s="1">
        <v>2021</v>
      </c>
      <c r="E804" s="1" t="s">
        <v>45</v>
      </c>
      <c r="F804" s="1">
        <v>2</v>
      </c>
      <c r="G804" s="1" t="s">
        <v>46</v>
      </c>
      <c r="H804" s="1" t="s">
        <v>62</v>
      </c>
      <c r="I804" s="1">
        <v>92000</v>
      </c>
      <c r="J804" s="1">
        <v>77000</v>
      </c>
      <c r="K804" s="1">
        <v>15000</v>
      </c>
      <c r="L804" s="1">
        <v>0</v>
      </c>
      <c r="M804" s="1" t="s">
        <v>34</v>
      </c>
      <c r="N804" s="1" t="s">
        <v>63</v>
      </c>
      <c r="O804" s="1" t="s">
        <v>48</v>
      </c>
      <c r="P804" s="1" t="s">
        <v>49</v>
      </c>
      <c r="Q804" s="1" t="s">
        <v>38</v>
      </c>
      <c r="R804" s="1" t="s">
        <v>327</v>
      </c>
      <c r="S804" s="3">
        <v>917263000000</v>
      </c>
      <c r="T804" s="1" t="s">
        <v>51</v>
      </c>
      <c r="U804" s="1">
        <v>89</v>
      </c>
      <c r="V804" s="1">
        <v>73</v>
      </c>
      <c r="W804" s="1" t="s">
        <v>41</v>
      </c>
      <c r="X804" s="1">
        <v>476812</v>
      </c>
      <c r="Y804" s="2">
        <v>36948</v>
      </c>
      <c r="Z804" s="1">
        <v>14.1789737171464</v>
      </c>
      <c r="AA804" s="1">
        <v>23</v>
      </c>
      <c r="AB804" s="1">
        <v>184000</v>
      </c>
      <c r="AC804" s="1">
        <f t="shared" si="12"/>
        <v>214000</v>
      </c>
    </row>
    <row r="805" spans="1:29" x14ac:dyDescent="0.25">
      <c r="A805" s="1" t="s">
        <v>392</v>
      </c>
      <c r="B805" s="1" t="s">
        <v>393</v>
      </c>
      <c r="C805" s="1" t="s">
        <v>394</v>
      </c>
      <c r="D805" s="1">
        <v>2021</v>
      </c>
      <c r="E805" s="1" t="s">
        <v>31</v>
      </c>
      <c r="F805" s="1">
        <v>4</v>
      </c>
      <c r="G805" s="1" t="s">
        <v>32</v>
      </c>
      <c r="H805" s="1" t="s">
        <v>47</v>
      </c>
      <c r="I805" s="1">
        <v>169000</v>
      </c>
      <c r="J805" s="1">
        <v>154000</v>
      </c>
      <c r="K805" s="1">
        <v>15000</v>
      </c>
      <c r="L805" s="1">
        <v>0</v>
      </c>
      <c r="M805" s="1" t="s">
        <v>34</v>
      </c>
      <c r="N805" s="1" t="s">
        <v>35</v>
      </c>
      <c r="O805" s="1" t="s">
        <v>71</v>
      </c>
      <c r="P805" s="1" t="s">
        <v>72</v>
      </c>
      <c r="Q805" s="1" t="s">
        <v>38</v>
      </c>
      <c r="R805" s="1" t="s">
        <v>395</v>
      </c>
      <c r="S805" s="3">
        <v>918792000000</v>
      </c>
      <c r="T805" s="1" t="s">
        <v>40</v>
      </c>
      <c r="U805" s="1">
        <v>89</v>
      </c>
      <c r="V805" s="1">
        <v>64</v>
      </c>
      <c r="W805" s="1" t="s">
        <v>41</v>
      </c>
      <c r="X805" s="1">
        <v>157064</v>
      </c>
      <c r="Y805" s="2">
        <v>37045</v>
      </c>
      <c r="Z805" s="1">
        <v>14.1789737171464</v>
      </c>
      <c r="AA805" s="1">
        <v>23</v>
      </c>
      <c r="AB805" s="1">
        <v>676000</v>
      </c>
      <c r="AC805" s="1">
        <f t="shared" si="12"/>
        <v>736000</v>
      </c>
    </row>
    <row r="806" spans="1:29" x14ac:dyDescent="0.25">
      <c r="A806" s="1" t="s">
        <v>416</v>
      </c>
      <c r="B806" s="1" t="s">
        <v>417</v>
      </c>
      <c r="C806" s="1" t="s">
        <v>418</v>
      </c>
      <c r="D806" s="1">
        <v>2021</v>
      </c>
      <c r="E806" s="1" t="s">
        <v>31</v>
      </c>
      <c r="F806" s="1">
        <v>4</v>
      </c>
      <c r="G806" s="1" t="s">
        <v>32</v>
      </c>
      <c r="H806" s="1" t="s">
        <v>47</v>
      </c>
      <c r="I806" s="1">
        <v>169000</v>
      </c>
      <c r="J806" s="1">
        <v>154000</v>
      </c>
      <c r="K806" s="1">
        <v>15000</v>
      </c>
      <c r="L806" s="1">
        <v>0</v>
      </c>
      <c r="M806" s="1" t="s">
        <v>34</v>
      </c>
      <c r="N806" s="1" t="s">
        <v>70</v>
      </c>
      <c r="O806" s="1" t="s">
        <v>57</v>
      </c>
      <c r="P806" s="1" t="s">
        <v>57</v>
      </c>
      <c r="Q806" s="1" t="s">
        <v>38</v>
      </c>
      <c r="R806" s="1" t="s">
        <v>419</v>
      </c>
      <c r="S806" s="3">
        <v>917979000000</v>
      </c>
      <c r="T806" s="1" t="s">
        <v>98</v>
      </c>
      <c r="U806" s="1">
        <v>89</v>
      </c>
      <c r="V806" s="1">
        <v>85</v>
      </c>
      <c r="W806" s="1" t="s">
        <v>41</v>
      </c>
      <c r="X806" s="1">
        <v>248770</v>
      </c>
      <c r="Y806" s="2">
        <v>37962</v>
      </c>
      <c r="Z806" s="1">
        <v>14.1789737171464</v>
      </c>
      <c r="AA806" s="1">
        <v>20</v>
      </c>
      <c r="AB806" s="1">
        <v>676000</v>
      </c>
      <c r="AC806" s="1">
        <f t="shared" si="12"/>
        <v>736000</v>
      </c>
    </row>
    <row r="807" spans="1:29" x14ac:dyDescent="0.25">
      <c r="A807" s="1" t="s">
        <v>460</v>
      </c>
      <c r="B807" s="1" t="s">
        <v>461</v>
      </c>
      <c r="C807" s="1" t="s">
        <v>462</v>
      </c>
      <c r="D807" s="1">
        <v>2021</v>
      </c>
      <c r="E807" s="1" t="s">
        <v>31</v>
      </c>
      <c r="F807" s="1">
        <v>4</v>
      </c>
      <c r="G807" s="1" t="s">
        <v>32</v>
      </c>
      <c r="H807" s="1" t="s">
        <v>47</v>
      </c>
      <c r="I807" s="1">
        <v>169000</v>
      </c>
      <c r="J807" s="1">
        <v>154000</v>
      </c>
      <c r="K807" s="1">
        <v>15000</v>
      </c>
      <c r="L807" s="1">
        <v>0</v>
      </c>
      <c r="M807" s="1" t="s">
        <v>5649</v>
      </c>
      <c r="N807" s="1" t="s">
        <v>70</v>
      </c>
      <c r="O807" s="1" t="s">
        <v>57</v>
      </c>
      <c r="P807" s="1" t="s">
        <v>57</v>
      </c>
      <c r="Q807" s="1" t="s">
        <v>38</v>
      </c>
      <c r="R807" s="1" t="s">
        <v>463</v>
      </c>
      <c r="S807" s="3">
        <v>919054000000</v>
      </c>
      <c r="T807" s="1" t="s">
        <v>86</v>
      </c>
      <c r="U807" s="1">
        <v>89</v>
      </c>
      <c r="V807" s="1">
        <v>80</v>
      </c>
      <c r="W807" s="1" t="s">
        <v>41</v>
      </c>
      <c r="X807" s="1">
        <v>757560</v>
      </c>
      <c r="Y807" s="2">
        <v>37652</v>
      </c>
      <c r="Z807" s="1">
        <v>14.1789737171464</v>
      </c>
      <c r="AA807" s="1">
        <v>21</v>
      </c>
      <c r="AB807" s="1">
        <v>676000</v>
      </c>
      <c r="AC807" s="1">
        <f t="shared" si="12"/>
        <v>736000</v>
      </c>
    </row>
    <row r="808" spans="1:29" x14ac:dyDescent="0.25">
      <c r="A808" s="1" t="s">
        <v>496</v>
      </c>
      <c r="B808" s="1" t="s">
        <v>497</v>
      </c>
      <c r="C808" s="1" t="s">
        <v>498</v>
      </c>
      <c r="D808" s="1">
        <v>2021</v>
      </c>
      <c r="E808" s="1" t="s">
        <v>45</v>
      </c>
      <c r="F808" s="1">
        <v>2</v>
      </c>
      <c r="G808" s="1" t="s">
        <v>46</v>
      </c>
      <c r="H808" s="1" t="s">
        <v>90</v>
      </c>
      <c r="I808" s="1">
        <v>92000</v>
      </c>
      <c r="J808" s="1">
        <v>77000</v>
      </c>
      <c r="K808" s="1">
        <v>15000</v>
      </c>
      <c r="L808" s="1">
        <v>0</v>
      </c>
      <c r="M808" s="1" t="s">
        <v>34</v>
      </c>
      <c r="N808" s="1" t="s">
        <v>70</v>
      </c>
      <c r="O808" s="1" t="s">
        <v>188</v>
      </c>
      <c r="P808" s="1" t="s">
        <v>189</v>
      </c>
      <c r="Q808" s="1" t="s">
        <v>38</v>
      </c>
      <c r="R808" s="1" t="s">
        <v>499</v>
      </c>
      <c r="S808" s="3">
        <v>917083000000</v>
      </c>
      <c r="T808" s="1" t="s">
        <v>40</v>
      </c>
      <c r="U808" s="1">
        <v>88</v>
      </c>
      <c r="V808" s="1">
        <v>88</v>
      </c>
      <c r="W808" s="1" t="s">
        <v>41</v>
      </c>
      <c r="X808" s="1">
        <v>126464</v>
      </c>
      <c r="Y808" s="2">
        <v>35762</v>
      </c>
      <c r="Z808" s="1">
        <v>13.1789737171464</v>
      </c>
      <c r="AA808" s="1">
        <v>26</v>
      </c>
      <c r="AB808" s="1">
        <v>184000</v>
      </c>
      <c r="AC808" s="1">
        <f t="shared" si="12"/>
        <v>214000</v>
      </c>
    </row>
    <row r="809" spans="1:29" x14ac:dyDescent="0.25">
      <c r="A809" s="1" t="s">
        <v>518</v>
      </c>
      <c r="B809" s="1" t="s">
        <v>519</v>
      </c>
      <c r="C809" s="1" t="s">
        <v>520</v>
      </c>
      <c r="D809" s="1">
        <v>2021</v>
      </c>
      <c r="E809" s="1" t="s">
        <v>45</v>
      </c>
      <c r="F809" s="1">
        <v>2</v>
      </c>
      <c r="G809" s="1" t="s">
        <v>46</v>
      </c>
      <c r="H809" s="1" t="s">
        <v>47</v>
      </c>
      <c r="I809" s="1">
        <v>92000</v>
      </c>
      <c r="J809" s="1">
        <v>77000</v>
      </c>
      <c r="K809" s="1">
        <v>15000</v>
      </c>
      <c r="L809" s="1">
        <v>0</v>
      </c>
      <c r="M809" s="1" t="s">
        <v>34</v>
      </c>
      <c r="N809" s="1" t="s">
        <v>35</v>
      </c>
      <c r="O809" s="1" t="s">
        <v>64</v>
      </c>
      <c r="P809" s="1" t="s">
        <v>65</v>
      </c>
      <c r="Q809" s="1" t="s">
        <v>38</v>
      </c>
      <c r="R809" s="1" t="s">
        <v>521</v>
      </c>
      <c r="S809" s="3">
        <v>917030000000</v>
      </c>
      <c r="T809" s="1" t="s">
        <v>40</v>
      </c>
      <c r="U809" s="1">
        <v>88</v>
      </c>
      <c r="V809" s="1">
        <v>76</v>
      </c>
      <c r="W809" s="1" t="s">
        <v>52</v>
      </c>
      <c r="X809" s="1">
        <v>104272</v>
      </c>
      <c r="Y809" s="2">
        <v>36772</v>
      </c>
      <c r="Z809" s="1">
        <v>13.1789737171464</v>
      </c>
      <c r="AA809" s="1">
        <v>23</v>
      </c>
      <c r="AB809" s="1">
        <v>184000</v>
      </c>
      <c r="AC809" s="1">
        <f t="shared" si="12"/>
        <v>214000</v>
      </c>
    </row>
    <row r="810" spans="1:29" x14ac:dyDescent="0.25">
      <c r="A810" s="1" t="s">
        <v>542</v>
      </c>
      <c r="B810" s="1" t="s">
        <v>543</v>
      </c>
      <c r="C810" s="1" t="s">
        <v>544</v>
      </c>
      <c r="D810" s="1">
        <v>2021</v>
      </c>
      <c r="E810" s="1" t="s">
        <v>31</v>
      </c>
      <c r="F810" s="1">
        <v>4</v>
      </c>
      <c r="G810" s="1" t="s">
        <v>32</v>
      </c>
      <c r="H810" s="1" t="s">
        <v>210</v>
      </c>
      <c r="I810" s="1">
        <v>169000</v>
      </c>
      <c r="J810" s="1">
        <v>154000</v>
      </c>
      <c r="K810" s="1">
        <v>15000</v>
      </c>
      <c r="L810" s="1">
        <v>0</v>
      </c>
      <c r="M810" s="1" t="s">
        <v>34</v>
      </c>
      <c r="N810" s="1" t="s">
        <v>70</v>
      </c>
      <c r="O810" s="1" t="s">
        <v>48</v>
      </c>
      <c r="P810" s="1" t="s">
        <v>49</v>
      </c>
      <c r="Q810" s="1" t="s">
        <v>38</v>
      </c>
      <c r="R810" s="1" t="s">
        <v>545</v>
      </c>
      <c r="S810" s="3">
        <v>917535000000</v>
      </c>
      <c r="T810" s="1" t="s">
        <v>98</v>
      </c>
      <c r="U810" s="1">
        <v>88</v>
      </c>
      <c r="V810" s="1">
        <v>89</v>
      </c>
      <c r="W810" s="1" t="s">
        <v>52</v>
      </c>
      <c r="X810" s="1">
        <v>417192</v>
      </c>
      <c r="Y810" s="2">
        <v>38054</v>
      </c>
      <c r="Z810" s="1">
        <v>13.1789737171464</v>
      </c>
      <c r="AA810" s="1">
        <v>20</v>
      </c>
      <c r="AB810" s="1">
        <v>676000</v>
      </c>
      <c r="AC810" s="1">
        <f t="shared" si="12"/>
        <v>736000</v>
      </c>
    </row>
    <row r="811" spans="1:29" x14ac:dyDescent="0.25">
      <c r="A811" s="1" t="s">
        <v>606</v>
      </c>
      <c r="B811" s="1" t="s">
        <v>607</v>
      </c>
      <c r="C811" s="1" t="s">
        <v>608</v>
      </c>
      <c r="D811" s="1">
        <v>2021</v>
      </c>
      <c r="E811" s="1" t="s">
        <v>31</v>
      </c>
      <c r="F811" s="1">
        <v>4</v>
      </c>
      <c r="G811" s="1" t="s">
        <v>32</v>
      </c>
      <c r="H811" s="1" t="s">
        <v>56</v>
      </c>
      <c r="I811" s="1">
        <v>169000</v>
      </c>
      <c r="J811" s="1">
        <v>154000</v>
      </c>
      <c r="K811" s="1">
        <v>15000</v>
      </c>
      <c r="L811" s="1">
        <v>0</v>
      </c>
      <c r="M811" s="1" t="s">
        <v>34</v>
      </c>
      <c r="N811" s="1" t="s">
        <v>35</v>
      </c>
      <c r="O811" s="1" t="s">
        <v>188</v>
      </c>
      <c r="P811" s="1" t="s">
        <v>189</v>
      </c>
      <c r="Q811" s="1" t="s">
        <v>38</v>
      </c>
      <c r="R811" s="1" t="s">
        <v>609</v>
      </c>
      <c r="S811" s="3">
        <v>919847000000</v>
      </c>
      <c r="T811" s="1" t="s">
        <v>98</v>
      </c>
      <c r="U811" s="1">
        <v>88</v>
      </c>
      <c r="V811" s="1">
        <v>63</v>
      </c>
      <c r="W811" s="1" t="s">
        <v>41</v>
      </c>
      <c r="X811" s="1">
        <v>397458</v>
      </c>
      <c r="Y811" s="2">
        <v>37246</v>
      </c>
      <c r="Z811" s="1">
        <v>13.1789737171464</v>
      </c>
      <c r="AA811" s="1">
        <v>22</v>
      </c>
      <c r="AB811" s="1">
        <v>676000</v>
      </c>
      <c r="AC811" s="1">
        <f t="shared" si="12"/>
        <v>736000</v>
      </c>
    </row>
    <row r="812" spans="1:29" x14ac:dyDescent="0.25">
      <c r="A812" s="1" t="s">
        <v>656</v>
      </c>
      <c r="B812" s="1" t="s">
        <v>657</v>
      </c>
      <c r="C812" s="1" t="s">
        <v>658</v>
      </c>
      <c r="D812" s="1">
        <v>2021</v>
      </c>
      <c r="E812" s="1" t="s">
        <v>45</v>
      </c>
      <c r="F812" s="1">
        <v>2</v>
      </c>
      <c r="G812" s="1" t="s">
        <v>46</v>
      </c>
      <c r="H812" s="1" t="s">
        <v>47</v>
      </c>
      <c r="I812" s="1">
        <v>92000</v>
      </c>
      <c r="J812" s="1">
        <v>77000</v>
      </c>
      <c r="K812" s="1">
        <v>15000</v>
      </c>
      <c r="L812" s="1">
        <v>0</v>
      </c>
      <c r="M812" s="1" t="s">
        <v>34</v>
      </c>
      <c r="N812" s="1" t="s">
        <v>63</v>
      </c>
      <c r="O812" s="1" t="s">
        <v>103</v>
      </c>
      <c r="P812" s="1" t="s">
        <v>104</v>
      </c>
      <c r="Q812" s="1" t="s">
        <v>38</v>
      </c>
      <c r="R812" s="1" t="s">
        <v>659</v>
      </c>
      <c r="S812" s="3">
        <v>918055000000</v>
      </c>
      <c r="T812" s="1" t="s">
        <v>51</v>
      </c>
      <c r="U812" s="1">
        <v>87</v>
      </c>
      <c r="V812" s="1">
        <v>67</v>
      </c>
      <c r="W812" s="1" t="s">
        <v>41</v>
      </c>
      <c r="X812" s="1">
        <v>128646</v>
      </c>
      <c r="Y812" s="2">
        <v>35689</v>
      </c>
      <c r="Z812" s="1">
        <v>12.1789737171464</v>
      </c>
      <c r="AA812" s="1">
        <v>26</v>
      </c>
      <c r="AB812" s="1">
        <v>184000</v>
      </c>
      <c r="AC812" s="1">
        <f t="shared" si="12"/>
        <v>214000</v>
      </c>
    </row>
    <row r="813" spans="1:29" x14ac:dyDescent="0.25">
      <c r="A813" s="1" t="s">
        <v>672</v>
      </c>
      <c r="B813" s="1" t="s">
        <v>673</v>
      </c>
      <c r="C813" s="1" t="s">
        <v>674</v>
      </c>
      <c r="D813" s="1">
        <v>2021</v>
      </c>
      <c r="E813" s="1" t="s">
        <v>31</v>
      </c>
      <c r="F813" s="1">
        <v>4</v>
      </c>
      <c r="G813" s="1" t="s">
        <v>32</v>
      </c>
      <c r="H813" s="1" t="s">
        <v>56</v>
      </c>
      <c r="I813" s="1">
        <v>169000</v>
      </c>
      <c r="J813" s="1">
        <v>154000</v>
      </c>
      <c r="K813" s="1">
        <v>15000</v>
      </c>
      <c r="L813" s="1">
        <v>0</v>
      </c>
      <c r="M813" s="1" t="s">
        <v>34</v>
      </c>
      <c r="N813" s="1" t="s">
        <v>35</v>
      </c>
      <c r="O813" s="1" t="s">
        <v>91</v>
      </c>
      <c r="P813" s="1" t="s">
        <v>92</v>
      </c>
      <c r="Q813" s="1" t="s">
        <v>38</v>
      </c>
      <c r="R813" s="1" t="s">
        <v>675</v>
      </c>
      <c r="S813" s="3">
        <v>918164000000</v>
      </c>
      <c r="T813" s="1" t="s">
        <v>86</v>
      </c>
      <c r="U813" s="1">
        <v>87</v>
      </c>
      <c r="V813" s="1">
        <v>77</v>
      </c>
      <c r="W813" s="1" t="s">
        <v>52</v>
      </c>
      <c r="X813" s="1">
        <v>479604</v>
      </c>
      <c r="Y813" s="2">
        <v>37347</v>
      </c>
      <c r="Z813" s="1">
        <v>12.1789737171464</v>
      </c>
      <c r="AA813" s="1">
        <v>22</v>
      </c>
      <c r="AB813" s="1">
        <v>676000</v>
      </c>
      <c r="AC813" s="1">
        <f t="shared" si="12"/>
        <v>736000</v>
      </c>
    </row>
    <row r="814" spans="1:29" x14ac:dyDescent="0.25">
      <c r="A814" s="1" t="s">
        <v>684</v>
      </c>
      <c r="B814" s="1" t="s">
        <v>685</v>
      </c>
      <c r="C814" s="1" t="s">
        <v>686</v>
      </c>
      <c r="D814" s="1">
        <v>2021</v>
      </c>
      <c r="E814" s="1" t="s">
        <v>31</v>
      </c>
      <c r="F814" s="1">
        <v>4</v>
      </c>
      <c r="G814" s="1" t="s">
        <v>32</v>
      </c>
      <c r="H814" s="1" t="s">
        <v>47</v>
      </c>
      <c r="I814" s="1">
        <v>169000</v>
      </c>
      <c r="J814" s="1">
        <v>154000</v>
      </c>
      <c r="K814" s="1">
        <v>15000</v>
      </c>
      <c r="L814" s="1">
        <v>0</v>
      </c>
      <c r="M814" s="1" t="s">
        <v>34</v>
      </c>
      <c r="N814" s="1" t="s">
        <v>70</v>
      </c>
      <c r="O814" s="1" t="s">
        <v>48</v>
      </c>
      <c r="P814" s="1" t="s">
        <v>49</v>
      </c>
      <c r="Q814" s="1" t="s">
        <v>38</v>
      </c>
      <c r="R814" s="1" t="s">
        <v>687</v>
      </c>
      <c r="S814" s="3">
        <v>919578000000</v>
      </c>
      <c r="T814" s="1" t="s">
        <v>86</v>
      </c>
      <c r="U814" s="1">
        <v>87</v>
      </c>
      <c r="V814" s="1">
        <v>82</v>
      </c>
      <c r="W814" s="1" t="s">
        <v>41</v>
      </c>
      <c r="X814" s="1">
        <v>184845</v>
      </c>
      <c r="Y814" s="2">
        <v>38790</v>
      </c>
      <c r="Z814" s="1">
        <v>12.1789737171464</v>
      </c>
      <c r="AA814" s="1">
        <v>18</v>
      </c>
      <c r="AB814" s="1">
        <v>676000</v>
      </c>
      <c r="AC814" s="1">
        <f t="shared" si="12"/>
        <v>736000</v>
      </c>
    </row>
    <row r="815" spans="1:29" x14ac:dyDescent="0.25">
      <c r="A815" s="1" t="s">
        <v>688</v>
      </c>
      <c r="B815" s="1" t="s">
        <v>689</v>
      </c>
      <c r="C815" s="1" t="s">
        <v>690</v>
      </c>
      <c r="D815" s="1">
        <v>2021</v>
      </c>
      <c r="E815" s="1" t="s">
        <v>45</v>
      </c>
      <c r="F815" s="1">
        <v>2</v>
      </c>
      <c r="G815" s="1" t="s">
        <v>46</v>
      </c>
      <c r="H815" s="1" t="s">
        <v>47</v>
      </c>
      <c r="I815" s="1">
        <v>92000</v>
      </c>
      <c r="J815" s="1">
        <v>77000</v>
      </c>
      <c r="K815" s="1">
        <v>15000</v>
      </c>
      <c r="L815" s="1">
        <v>0</v>
      </c>
      <c r="M815" s="1" t="s">
        <v>34</v>
      </c>
      <c r="N815" s="1" t="s">
        <v>70</v>
      </c>
      <c r="O815" s="1" t="s">
        <v>71</v>
      </c>
      <c r="P815" s="1" t="s">
        <v>72</v>
      </c>
      <c r="Q815" s="1" t="s">
        <v>38</v>
      </c>
      <c r="R815" s="1" t="s">
        <v>691</v>
      </c>
      <c r="S815" s="3">
        <v>917310000000</v>
      </c>
      <c r="T815" s="1" t="s">
        <v>74</v>
      </c>
      <c r="U815" s="1">
        <v>87</v>
      </c>
      <c r="V815" s="1">
        <v>73</v>
      </c>
      <c r="W815" s="1" t="s">
        <v>41</v>
      </c>
      <c r="X815" s="1">
        <v>690789</v>
      </c>
      <c r="Y815" s="2">
        <v>36120</v>
      </c>
      <c r="Z815" s="1">
        <v>12.1789737171464</v>
      </c>
      <c r="AA815" s="1">
        <v>25</v>
      </c>
      <c r="AB815" s="1">
        <v>184000</v>
      </c>
      <c r="AC815" s="1">
        <f t="shared" si="12"/>
        <v>214000</v>
      </c>
    </row>
    <row r="816" spans="1:29" x14ac:dyDescent="0.25">
      <c r="A816" s="1" t="s">
        <v>726</v>
      </c>
      <c r="B816" s="1" t="s">
        <v>727</v>
      </c>
      <c r="C816" s="1" t="s">
        <v>728</v>
      </c>
      <c r="D816" s="1">
        <v>2021</v>
      </c>
      <c r="E816" s="1" t="s">
        <v>31</v>
      </c>
      <c r="F816" s="1">
        <v>4</v>
      </c>
      <c r="G816" s="1" t="s">
        <v>32</v>
      </c>
      <c r="H816" s="1" t="s">
        <v>210</v>
      </c>
      <c r="I816" s="1">
        <v>169000</v>
      </c>
      <c r="J816" s="1">
        <v>154000</v>
      </c>
      <c r="K816" s="1">
        <v>15000</v>
      </c>
      <c r="L816" s="1">
        <v>0</v>
      </c>
      <c r="M816" s="1" t="s">
        <v>34</v>
      </c>
      <c r="N816" s="1" t="s">
        <v>70</v>
      </c>
      <c r="O816" s="1" t="s">
        <v>36</v>
      </c>
      <c r="P816" s="1" t="s">
        <v>37</v>
      </c>
      <c r="Q816" s="1" t="s">
        <v>38</v>
      </c>
      <c r="R816" s="1" t="s">
        <v>729</v>
      </c>
      <c r="S816" s="3">
        <v>917215000000</v>
      </c>
      <c r="T816" s="1" t="s">
        <v>51</v>
      </c>
      <c r="U816" s="1">
        <v>87</v>
      </c>
      <c r="V816" s="1">
        <v>68</v>
      </c>
      <c r="W816" s="1" t="s">
        <v>52</v>
      </c>
      <c r="X816" s="1">
        <v>199168</v>
      </c>
      <c r="Y816" s="2">
        <v>38543</v>
      </c>
      <c r="Z816" s="1">
        <v>12.1789737171464</v>
      </c>
      <c r="AA816" s="1">
        <v>18</v>
      </c>
      <c r="AB816" s="1">
        <v>676000</v>
      </c>
      <c r="AC816" s="1">
        <f t="shared" si="12"/>
        <v>736000</v>
      </c>
    </row>
    <row r="817" spans="1:29" x14ac:dyDescent="0.25">
      <c r="A817" s="1" t="s">
        <v>742</v>
      </c>
      <c r="B817" s="1" t="s">
        <v>743</v>
      </c>
      <c r="C817" s="1" t="s">
        <v>744</v>
      </c>
      <c r="D817" s="1">
        <v>2021</v>
      </c>
      <c r="E817" s="1" t="s">
        <v>31</v>
      </c>
      <c r="F817" s="1">
        <v>4</v>
      </c>
      <c r="G817" s="1" t="s">
        <v>32</v>
      </c>
      <c r="H817" s="1" t="s">
        <v>62</v>
      </c>
      <c r="I817" s="1">
        <v>169000</v>
      </c>
      <c r="J817" s="1">
        <v>154000</v>
      </c>
      <c r="K817" s="1">
        <v>15000</v>
      </c>
      <c r="L817" s="1">
        <v>0</v>
      </c>
      <c r="M817" s="1" t="s">
        <v>34</v>
      </c>
      <c r="N817" s="1" t="s">
        <v>70</v>
      </c>
      <c r="O817" s="1" t="s">
        <v>57</v>
      </c>
      <c r="P817" s="1" t="s">
        <v>57</v>
      </c>
      <c r="Q817" s="1" t="s">
        <v>38</v>
      </c>
      <c r="R817" s="1" t="s">
        <v>745</v>
      </c>
      <c r="S817" s="3">
        <v>919372000000</v>
      </c>
      <c r="T817" s="1" t="s">
        <v>98</v>
      </c>
      <c r="U817" s="1">
        <v>87</v>
      </c>
      <c r="V817" s="1">
        <v>75</v>
      </c>
      <c r="W817" s="1" t="s">
        <v>52</v>
      </c>
      <c r="X817" s="1">
        <v>246676</v>
      </c>
      <c r="Y817" s="2">
        <v>36908</v>
      </c>
      <c r="Z817" s="1">
        <v>12.1789737171464</v>
      </c>
      <c r="AA817" s="1">
        <v>23</v>
      </c>
      <c r="AB817" s="1">
        <v>676000</v>
      </c>
      <c r="AC817" s="1">
        <f t="shared" si="12"/>
        <v>736000</v>
      </c>
    </row>
    <row r="818" spans="1:29" x14ac:dyDescent="0.25">
      <c r="A818" s="1" t="s">
        <v>782</v>
      </c>
      <c r="B818" s="1" t="s">
        <v>783</v>
      </c>
      <c r="C818" s="1" t="s">
        <v>784</v>
      </c>
      <c r="D818" s="1">
        <v>2021</v>
      </c>
      <c r="E818" s="1" t="s">
        <v>31</v>
      </c>
      <c r="F818" s="1">
        <v>4</v>
      </c>
      <c r="G818" s="1" t="s">
        <v>32</v>
      </c>
      <c r="H818" s="1" t="s">
        <v>113</v>
      </c>
      <c r="I818" s="1">
        <v>169000</v>
      </c>
      <c r="J818" s="1">
        <v>154000</v>
      </c>
      <c r="K818" s="1">
        <v>15000</v>
      </c>
      <c r="L818" s="1">
        <v>0</v>
      </c>
      <c r="M818" s="1" t="s">
        <v>5649</v>
      </c>
      <c r="N818" s="1" t="s">
        <v>63</v>
      </c>
      <c r="O818" s="1" t="s">
        <v>91</v>
      </c>
      <c r="P818" s="1" t="s">
        <v>92</v>
      </c>
      <c r="Q818" s="1" t="s">
        <v>38</v>
      </c>
      <c r="R818" s="1" t="s">
        <v>785</v>
      </c>
      <c r="S818" s="3">
        <v>917421000000</v>
      </c>
      <c r="T818" s="1" t="s">
        <v>98</v>
      </c>
      <c r="U818" s="1">
        <v>87</v>
      </c>
      <c r="V818" s="1">
        <v>72</v>
      </c>
      <c r="W818" s="1" t="s">
        <v>41</v>
      </c>
      <c r="X818" s="1">
        <v>759895</v>
      </c>
      <c r="Y818" s="2">
        <v>37139</v>
      </c>
      <c r="Z818" s="1">
        <v>12.1789737171464</v>
      </c>
      <c r="AA818" s="1">
        <v>22</v>
      </c>
      <c r="AB818" s="1">
        <v>676000</v>
      </c>
      <c r="AC818" s="1">
        <f t="shared" si="12"/>
        <v>736000</v>
      </c>
    </row>
    <row r="819" spans="1:29" x14ac:dyDescent="0.25">
      <c r="A819" s="1" t="s">
        <v>806</v>
      </c>
      <c r="B819" s="1" t="s">
        <v>807</v>
      </c>
      <c r="C819" s="1" t="s">
        <v>808</v>
      </c>
      <c r="D819" s="1">
        <v>2021</v>
      </c>
      <c r="E819" s="1" t="s">
        <v>45</v>
      </c>
      <c r="F819" s="1">
        <v>2</v>
      </c>
      <c r="G819" s="1" t="s">
        <v>46</v>
      </c>
      <c r="H819" s="1" t="s">
        <v>33</v>
      </c>
      <c r="I819" s="1">
        <v>92000</v>
      </c>
      <c r="J819" s="1">
        <v>77000</v>
      </c>
      <c r="K819" s="1">
        <v>15000</v>
      </c>
      <c r="L819" s="1">
        <v>0</v>
      </c>
      <c r="M819" s="1" t="s">
        <v>34</v>
      </c>
      <c r="N819" s="1" t="s">
        <v>63</v>
      </c>
      <c r="O819" s="1" t="s">
        <v>36</v>
      </c>
      <c r="P819" s="1" t="s">
        <v>37</v>
      </c>
      <c r="Q819" s="1" t="s">
        <v>38</v>
      </c>
      <c r="R819" s="1" t="s">
        <v>809</v>
      </c>
      <c r="S819" s="3">
        <v>918653000000</v>
      </c>
      <c r="T819" s="1" t="s">
        <v>74</v>
      </c>
      <c r="U819" s="1">
        <v>87</v>
      </c>
      <c r="V819" s="1">
        <v>73</v>
      </c>
      <c r="W819" s="1" t="s">
        <v>52</v>
      </c>
      <c r="X819" s="1">
        <v>682430</v>
      </c>
      <c r="Y819" s="2">
        <v>37114</v>
      </c>
      <c r="Z819" s="1">
        <v>12.1789737171464</v>
      </c>
      <c r="AA819" s="1">
        <v>22</v>
      </c>
      <c r="AB819" s="1">
        <v>184000</v>
      </c>
      <c r="AC819" s="1">
        <f t="shared" si="12"/>
        <v>214000</v>
      </c>
    </row>
    <row r="820" spans="1:29" x14ac:dyDescent="0.25">
      <c r="A820" s="1" t="s">
        <v>822</v>
      </c>
      <c r="B820" s="1" t="s">
        <v>823</v>
      </c>
      <c r="C820" s="1" t="s">
        <v>824</v>
      </c>
      <c r="D820" s="1">
        <v>2021</v>
      </c>
      <c r="E820" s="1" t="s">
        <v>45</v>
      </c>
      <c r="F820" s="1">
        <v>2</v>
      </c>
      <c r="G820" s="1" t="s">
        <v>46</v>
      </c>
      <c r="H820" s="1" t="s">
        <v>102</v>
      </c>
      <c r="I820" s="1">
        <v>92000</v>
      </c>
      <c r="J820" s="1">
        <v>77000</v>
      </c>
      <c r="K820" s="1">
        <v>15000</v>
      </c>
      <c r="L820" s="1">
        <v>0</v>
      </c>
      <c r="M820" s="1" t="s">
        <v>34</v>
      </c>
      <c r="N820" s="1" t="s">
        <v>35</v>
      </c>
      <c r="O820" s="1" t="s">
        <v>91</v>
      </c>
      <c r="P820" s="1" t="s">
        <v>92</v>
      </c>
      <c r="Q820" s="1" t="s">
        <v>38</v>
      </c>
      <c r="R820" s="1" t="s">
        <v>825</v>
      </c>
      <c r="S820" s="3">
        <v>917185000000</v>
      </c>
      <c r="T820" s="1" t="s">
        <v>98</v>
      </c>
      <c r="U820" s="1">
        <v>87</v>
      </c>
      <c r="V820" s="1">
        <v>62</v>
      </c>
      <c r="W820" s="1" t="s">
        <v>41</v>
      </c>
      <c r="X820" s="1">
        <v>459211</v>
      </c>
      <c r="Y820" s="2">
        <v>35994</v>
      </c>
      <c r="Z820" s="1">
        <v>12.1789737171464</v>
      </c>
      <c r="AA820" s="1">
        <v>25</v>
      </c>
      <c r="AB820" s="1">
        <v>184000</v>
      </c>
      <c r="AC820" s="1">
        <f t="shared" si="12"/>
        <v>214000</v>
      </c>
    </row>
    <row r="821" spans="1:29" x14ac:dyDescent="0.25">
      <c r="A821" s="1" t="s">
        <v>826</v>
      </c>
      <c r="B821" s="1" t="s">
        <v>827</v>
      </c>
      <c r="C821" s="1" t="s">
        <v>828</v>
      </c>
      <c r="D821" s="1">
        <v>2021</v>
      </c>
      <c r="E821" s="1" t="s">
        <v>31</v>
      </c>
      <c r="F821" s="1">
        <v>4</v>
      </c>
      <c r="G821" s="1" t="s">
        <v>32</v>
      </c>
      <c r="H821" s="1" t="s">
        <v>113</v>
      </c>
      <c r="I821" s="1">
        <v>169000</v>
      </c>
      <c r="J821" s="1">
        <v>154000</v>
      </c>
      <c r="K821" s="1">
        <v>15000</v>
      </c>
      <c r="L821" s="1">
        <v>0</v>
      </c>
      <c r="M821" s="1" t="s">
        <v>34</v>
      </c>
      <c r="N821" s="1" t="s">
        <v>35</v>
      </c>
      <c r="O821" s="1" t="s">
        <v>64</v>
      </c>
      <c r="P821" s="1" t="s">
        <v>65</v>
      </c>
      <c r="Q821" s="1" t="s">
        <v>38</v>
      </c>
      <c r="R821" s="1" t="s">
        <v>829</v>
      </c>
      <c r="S821" s="3">
        <v>918065000000</v>
      </c>
      <c r="T821" s="1" t="s">
        <v>40</v>
      </c>
      <c r="U821" s="1">
        <v>87</v>
      </c>
      <c r="V821" s="1">
        <v>87</v>
      </c>
      <c r="W821" s="1" t="s">
        <v>41</v>
      </c>
      <c r="X821" s="1">
        <v>722691</v>
      </c>
      <c r="Y821" s="2">
        <v>37636</v>
      </c>
      <c r="Z821" s="1">
        <v>12.1789737171464</v>
      </c>
      <c r="AA821" s="1">
        <v>21</v>
      </c>
      <c r="AB821" s="1">
        <v>676000</v>
      </c>
      <c r="AC821" s="1">
        <f t="shared" si="12"/>
        <v>736000</v>
      </c>
    </row>
    <row r="822" spans="1:29" x14ac:dyDescent="0.25">
      <c r="A822" s="1" t="s">
        <v>838</v>
      </c>
      <c r="B822" s="1" t="s">
        <v>839</v>
      </c>
      <c r="C822" s="1" t="s">
        <v>840</v>
      </c>
      <c r="D822" s="1">
        <v>2021</v>
      </c>
      <c r="E822" s="1" t="s">
        <v>45</v>
      </c>
      <c r="F822" s="1">
        <v>2</v>
      </c>
      <c r="G822" s="1" t="s">
        <v>46</v>
      </c>
      <c r="H822" s="1" t="s">
        <v>33</v>
      </c>
      <c r="I822" s="1">
        <v>92000</v>
      </c>
      <c r="J822" s="1">
        <v>77000</v>
      </c>
      <c r="K822" s="1">
        <v>15000</v>
      </c>
      <c r="L822" s="1">
        <v>0</v>
      </c>
      <c r="M822" s="1" t="s">
        <v>34</v>
      </c>
      <c r="N822" s="1" t="s">
        <v>70</v>
      </c>
      <c r="O822" s="1" t="s">
        <v>57</v>
      </c>
      <c r="P822" s="1" t="s">
        <v>57</v>
      </c>
      <c r="Q822" s="1" t="s">
        <v>38</v>
      </c>
      <c r="R822" s="1" t="s">
        <v>841</v>
      </c>
      <c r="S822" s="3">
        <v>918546000000</v>
      </c>
      <c r="T822" s="1" t="s">
        <v>51</v>
      </c>
      <c r="U822" s="1">
        <v>86</v>
      </c>
      <c r="V822" s="1">
        <v>81</v>
      </c>
      <c r="W822" s="1" t="s">
        <v>52</v>
      </c>
      <c r="X822" s="1">
        <v>711523</v>
      </c>
      <c r="Y822" s="2">
        <v>36786</v>
      </c>
      <c r="Z822" s="1">
        <v>11.1789737171464</v>
      </c>
      <c r="AA822" s="1">
        <v>23</v>
      </c>
      <c r="AB822" s="1">
        <v>184000</v>
      </c>
      <c r="AC822" s="1">
        <f t="shared" si="12"/>
        <v>214000</v>
      </c>
    </row>
    <row r="823" spans="1:29" x14ac:dyDescent="0.25">
      <c r="A823" s="1" t="s">
        <v>850</v>
      </c>
      <c r="B823" s="1" t="s">
        <v>851</v>
      </c>
      <c r="C823" s="1" t="s">
        <v>852</v>
      </c>
      <c r="D823" s="1">
        <v>2021</v>
      </c>
      <c r="E823" s="1" t="s">
        <v>31</v>
      </c>
      <c r="F823" s="1">
        <v>4</v>
      </c>
      <c r="G823" s="1" t="s">
        <v>32</v>
      </c>
      <c r="H823" s="1" t="s">
        <v>56</v>
      </c>
      <c r="I823" s="1">
        <v>169000</v>
      </c>
      <c r="J823" s="1">
        <v>154000</v>
      </c>
      <c r="K823" s="1">
        <v>15000</v>
      </c>
      <c r="L823" s="1">
        <v>0</v>
      </c>
      <c r="M823" s="1" t="s">
        <v>34</v>
      </c>
      <c r="N823" s="1" t="s">
        <v>70</v>
      </c>
      <c r="O823" s="1" t="s">
        <v>188</v>
      </c>
      <c r="P823" s="1" t="s">
        <v>189</v>
      </c>
      <c r="Q823" s="1" t="s">
        <v>38</v>
      </c>
      <c r="R823" s="1" t="s">
        <v>853</v>
      </c>
      <c r="S823" s="3">
        <v>917260000000</v>
      </c>
      <c r="T823" s="1" t="s">
        <v>86</v>
      </c>
      <c r="U823" s="1">
        <v>86</v>
      </c>
      <c r="V823" s="1">
        <v>86</v>
      </c>
      <c r="W823" s="1" t="s">
        <v>52</v>
      </c>
      <c r="X823" s="1">
        <v>248189</v>
      </c>
      <c r="Y823" s="2">
        <v>37802</v>
      </c>
      <c r="Z823" s="1">
        <v>11.1789737171464</v>
      </c>
      <c r="AA823" s="1">
        <v>21</v>
      </c>
      <c r="AB823" s="1">
        <v>676000</v>
      </c>
      <c r="AC823" s="1">
        <f t="shared" si="12"/>
        <v>736000</v>
      </c>
    </row>
    <row r="824" spans="1:29" x14ac:dyDescent="0.25">
      <c r="A824" s="1" t="s">
        <v>862</v>
      </c>
      <c r="B824" s="1" t="s">
        <v>863</v>
      </c>
      <c r="C824" s="1" t="s">
        <v>864</v>
      </c>
      <c r="D824" s="1">
        <v>2021</v>
      </c>
      <c r="E824" s="1" t="s">
        <v>31</v>
      </c>
      <c r="F824" s="1">
        <v>4</v>
      </c>
      <c r="G824" s="1" t="s">
        <v>32</v>
      </c>
      <c r="H824" s="1" t="s">
        <v>33</v>
      </c>
      <c r="I824" s="1">
        <v>169000</v>
      </c>
      <c r="J824" s="1">
        <v>154000</v>
      </c>
      <c r="K824" s="1">
        <v>15000</v>
      </c>
      <c r="L824" s="1">
        <v>0</v>
      </c>
      <c r="M824" s="1" t="s">
        <v>34</v>
      </c>
      <c r="N824" s="1" t="s">
        <v>70</v>
      </c>
      <c r="O824" s="1" t="s">
        <v>64</v>
      </c>
      <c r="P824" s="1" t="s">
        <v>65</v>
      </c>
      <c r="Q824" s="1" t="s">
        <v>38</v>
      </c>
      <c r="R824" s="1" t="s">
        <v>865</v>
      </c>
      <c r="S824" s="3">
        <v>919237000000</v>
      </c>
      <c r="T824" s="1" t="s">
        <v>51</v>
      </c>
      <c r="U824" s="1">
        <v>86</v>
      </c>
      <c r="V824" s="1">
        <v>74</v>
      </c>
      <c r="W824" s="1" t="s">
        <v>41</v>
      </c>
      <c r="X824" s="1">
        <v>250173</v>
      </c>
      <c r="Y824" s="2">
        <v>37288</v>
      </c>
      <c r="Z824" s="1">
        <v>11.1789737171464</v>
      </c>
      <c r="AA824" s="1">
        <v>22</v>
      </c>
      <c r="AB824" s="1">
        <v>676000</v>
      </c>
      <c r="AC824" s="1">
        <f t="shared" si="12"/>
        <v>736000</v>
      </c>
    </row>
    <row r="825" spans="1:29" x14ac:dyDescent="0.25">
      <c r="A825" s="1" t="s">
        <v>890</v>
      </c>
      <c r="B825" s="1" t="s">
        <v>891</v>
      </c>
      <c r="C825" s="1" t="s">
        <v>892</v>
      </c>
      <c r="D825" s="1">
        <v>2021</v>
      </c>
      <c r="E825" s="1" t="s">
        <v>45</v>
      </c>
      <c r="F825" s="1">
        <v>2</v>
      </c>
      <c r="G825" s="1" t="s">
        <v>46</v>
      </c>
      <c r="H825" s="1" t="s">
        <v>102</v>
      </c>
      <c r="I825" s="1">
        <v>92000</v>
      </c>
      <c r="J825" s="1">
        <v>77000</v>
      </c>
      <c r="K825" s="1">
        <v>15000</v>
      </c>
      <c r="L825" s="1">
        <v>0</v>
      </c>
      <c r="M825" s="1" t="s">
        <v>34</v>
      </c>
      <c r="N825" s="1" t="s">
        <v>70</v>
      </c>
      <c r="O825" s="1" t="s">
        <v>36</v>
      </c>
      <c r="P825" s="1" t="s">
        <v>37</v>
      </c>
      <c r="Q825" s="1" t="s">
        <v>38</v>
      </c>
      <c r="R825" s="1" t="s">
        <v>893</v>
      </c>
      <c r="S825" s="3">
        <v>917020000000</v>
      </c>
      <c r="T825" s="1" t="s">
        <v>40</v>
      </c>
      <c r="U825" s="1">
        <v>86</v>
      </c>
      <c r="V825" s="1">
        <v>87</v>
      </c>
      <c r="W825" s="1" t="s">
        <v>41</v>
      </c>
      <c r="X825" s="1">
        <v>758626</v>
      </c>
      <c r="Y825" s="2">
        <v>37323</v>
      </c>
      <c r="Z825" s="1">
        <v>11.1789737171464</v>
      </c>
      <c r="AA825" s="1">
        <v>22</v>
      </c>
      <c r="AB825" s="1">
        <v>184000</v>
      </c>
      <c r="AC825" s="1">
        <f t="shared" si="12"/>
        <v>214000</v>
      </c>
    </row>
    <row r="826" spans="1:29" x14ac:dyDescent="0.25">
      <c r="A826" s="1" t="s">
        <v>910</v>
      </c>
      <c r="B826" s="1" t="s">
        <v>911</v>
      </c>
      <c r="C826" s="1" t="s">
        <v>912</v>
      </c>
      <c r="D826" s="1">
        <v>2021</v>
      </c>
      <c r="E826" s="1" t="s">
        <v>31</v>
      </c>
      <c r="F826" s="1">
        <v>4</v>
      </c>
      <c r="G826" s="1" t="s">
        <v>32</v>
      </c>
      <c r="H826" s="1" t="s">
        <v>62</v>
      </c>
      <c r="I826" s="1">
        <v>169000</v>
      </c>
      <c r="J826" s="1">
        <v>154000</v>
      </c>
      <c r="K826" s="1">
        <v>15000</v>
      </c>
      <c r="L826" s="1">
        <v>0</v>
      </c>
      <c r="M826" s="1" t="s">
        <v>34</v>
      </c>
      <c r="N826" s="1" t="s">
        <v>70</v>
      </c>
      <c r="O826" s="1" t="s">
        <v>78</v>
      </c>
      <c r="P826" s="1" t="s">
        <v>79</v>
      </c>
      <c r="Q826" s="1" t="s">
        <v>38</v>
      </c>
      <c r="R826" s="1" t="s">
        <v>913</v>
      </c>
      <c r="S826" s="3">
        <v>919044000000</v>
      </c>
      <c r="T826" s="1" t="s">
        <v>98</v>
      </c>
      <c r="U826" s="1">
        <v>86</v>
      </c>
      <c r="V826" s="1">
        <v>78</v>
      </c>
      <c r="W826" s="1" t="s">
        <v>41</v>
      </c>
      <c r="X826" s="1">
        <v>473045</v>
      </c>
      <c r="Y826" s="2">
        <v>37455</v>
      </c>
      <c r="Z826" s="1">
        <v>11.1789737171464</v>
      </c>
      <c r="AA826" s="1">
        <v>21</v>
      </c>
      <c r="AB826" s="1">
        <v>676000</v>
      </c>
      <c r="AC826" s="1">
        <f t="shared" si="12"/>
        <v>736000</v>
      </c>
    </row>
    <row r="827" spans="1:29" x14ac:dyDescent="0.25">
      <c r="A827" s="1" t="s">
        <v>958</v>
      </c>
      <c r="B827" s="1" t="s">
        <v>959</v>
      </c>
      <c r="C827" s="1" t="s">
        <v>960</v>
      </c>
      <c r="D827" s="1">
        <v>2021</v>
      </c>
      <c r="E827" s="1" t="s">
        <v>31</v>
      </c>
      <c r="F827" s="1">
        <v>4</v>
      </c>
      <c r="G827" s="1" t="s">
        <v>32</v>
      </c>
      <c r="H827" s="1" t="s">
        <v>33</v>
      </c>
      <c r="I827" s="1">
        <v>169000</v>
      </c>
      <c r="J827" s="1">
        <v>154000</v>
      </c>
      <c r="K827" s="1">
        <v>15000</v>
      </c>
      <c r="L827" s="1">
        <v>0</v>
      </c>
      <c r="M827" s="1" t="s">
        <v>34</v>
      </c>
      <c r="N827" s="1" t="s">
        <v>63</v>
      </c>
      <c r="O827" s="1" t="s">
        <v>64</v>
      </c>
      <c r="P827" s="1" t="s">
        <v>65</v>
      </c>
      <c r="Q827" s="1" t="s">
        <v>38</v>
      </c>
      <c r="R827" s="1" t="s">
        <v>961</v>
      </c>
      <c r="S827" s="3">
        <v>917970000000</v>
      </c>
      <c r="T827" s="1" t="s">
        <v>86</v>
      </c>
      <c r="U827" s="1">
        <v>86</v>
      </c>
      <c r="V827" s="1">
        <v>62</v>
      </c>
      <c r="W827" s="1" t="s">
        <v>52</v>
      </c>
      <c r="X827" s="1">
        <v>738438</v>
      </c>
      <c r="Y827" s="2">
        <v>37319</v>
      </c>
      <c r="Z827" s="1">
        <v>11.1789737171464</v>
      </c>
      <c r="AA827" s="1">
        <v>22</v>
      </c>
      <c r="AB827" s="1">
        <v>676000</v>
      </c>
      <c r="AC827" s="1">
        <f t="shared" si="12"/>
        <v>736000</v>
      </c>
    </row>
    <row r="828" spans="1:29" x14ac:dyDescent="0.25">
      <c r="A828" s="1" t="s">
        <v>970</v>
      </c>
      <c r="B828" s="1" t="s">
        <v>971</v>
      </c>
      <c r="C828" s="1" t="s">
        <v>972</v>
      </c>
      <c r="D828" s="1">
        <v>2021</v>
      </c>
      <c r="E828" s="1" t="s">
        <v>31</v>
      </c>
      <c r="F828" s="1">
        <v>4</v>
      </c>
      <c r="G828" s="1" t="s">
        <v>32</v>
      </c>
      <c r="H828" s="1" t="s">
        <v>33</v>
      </c>
      <c r="I828" s="1">
        <v>169000</v>
      </c>
      <c r="J828" s="1">
        <v>154000</v>
      </c>
      <c r="K828" s="1">
        <v>15000</v>
      </c>
      <c r="L828" s="1">
        <v>0</v>
      </c>
      <c r="M828" s="1" t="s">
        <v>34</v>
      </c>
      <c r="N828" s="1" t="s">
        <v>70</v>
      </c>
      <c r="O828" s="1" t="s">
        <v>84</v>
      </c>
      <c r="P828" s="1" t="s">
        <v>65</v>
      </c>
      <c r="Q828" s="1" t="s">
        <v>38</v>
      </c>
      <c r="R828" s="1" t="s">
        <v>973</v>
      </c>
      <c r="S828" s="3">
        <v>917260000000</v>
      </c>
      <c r="T828" s="1" t="s">
        <v>51</v>
      </c>
      <c r="U828" s="1">
        <v>86</v>
      </c>
      <c r="V828" s="1">
        <v>86</v>
      </c>
      <c r="W828" s="1" t="s">
        <v>52</v>
      </c>
      <c r="X828" s="1">
        <v>749349</v>
      </c>
      <c r="Y828" s="2">
        <v>38711</v>
      </c>
      <c r="Z828" s="1">
        <v>11.1789737171464</v>
      </c>
      <c r="AA828" s="1">
        <v>18</v>
      </c>
      <c r="AB828" s="1">
        <v>676000</v>
      </c>
      <c r="AC828" s="1">
        <f t="shared" si="12"/>
        <v>736000</v>
      </c>
    </row>
    <row r="829" spans="1:29" x14ac:dyDescent="0.25">
      <c r="A829" s="1" t="s">
        <v>990</v>
      </c>
      <c r="B829" s="1" t="s">
        <v>991</v>
      </c>
      <c r="C829" s="1" t="s">
        <v>992</v>
      </c>
      <c r="D829" s="1">
        <v>2021</v>
      </c>
      <c r="E829" s="1" t="s">
        <v>45</v>
      </c>
      <c r="F829" s="1">
        <v>2</v>
      </c>
      <c r="G829" s="1" t="s">
        <v>46</v>
      </c>
      <c r="H829" s="1" t="s">
        <v>113</v>
      </c>
      <c r="I829" s="1">
        <v>92000</v>
      </c>
      <c r="J829" s="1">
        <v>77000</v>
      </c>
      <c r="K829" s="1">
        <v>15000</v>
      </c>
      <c r="L829" s="1">
        <v>0</v>
      </c>
      <c r="M829" s="1" t="s">
        <v>34</v>
      </c>
      <c r="N829" s="1" t="s">
        <v>35</v>
      </c>
      <c r="O829" s="1" t="s">
        <v>48</v>
      </c>
      <c r="P829" s="1" t="s">
        <v>49</v>
      </c>
      <c r="Q829" s="1" t="s">
        <v>38</v>
      </c>
      <c r="R829" s="1" t="s">
        <v>993</v>
      </c>
      <c r="S829" s="3">
        <v>919154000000</v>
      </c>
      <c r="T829" s="1" t="s">
        <v>51</v>
      </c>
      <c r="U829" s="1">
        <v>86</v>
      </c>
      <c r="V829" s="1">
        <v>63</v>
      </c>
      <c r="W829" s="1" t="s">
        <v>41</v>
      </c>
      <c r="X829" s="1">
        <v>619356</v>
      </c>
      <c r="Y829" s="2">
        <v>37402</v>
      </c>
      <c r="Z829" s="1">
        <v>11.1789737171464</v>
      </c>
      <c r="AA829" s="1">
        <v>22</v>
      </c>
      <c r="AB829" s="1">
        <v>184000</v>
      </c>
      <c r="AC829" s="1">
        <f t="shared" si="12"/>
        <v>214000</v>
      </c>
    </row>
    <row r="830" spans="1:29" x14ac:dyDescent="0.25">
      <c r="A830" s="1" t="s">
        <v>1128</v>
      </c>
      <c r="B830" s="1" t="s">
        <v>1129</v>
      </c>
      <c r="C830" s="1" t="s">
        <v>1130</v>
      </c>
      <c r="D830" s="1">
        <v>2021</v>
      </c>
      <c r="E830" s="1" t="s">
        <v>31</v>
      </c>
      <c r="F830" s="1">
        <v>4</v>
      </c>
      <c r="G830" s="1" t="s">
        <v>32</v>
      </c>
      <c r="H830" s="1" t="s">
        <v>210</v>
      </c>
      <c r="I830" s="1">
        <v>169000</v>
      </c>
      <c r="J830" s="1">
        <v>154000</v>
      </c>
      <c r="K830" s="1">
        <v>15000</v>
      </c>
      <c r="L830" s="1">
        <v>0</v>
      </c>
      <c r="M830" s="1" t="s">
        <v>34</v>
      </c>
      <c r="N830" s="1" t="s">
        <v>35</v>
      </c>
      <c r="O830" s="1" t="s">
        <v>91</v>
      </c>
      <c r="P830" s="1" t="s">
        <v>92</v>
      </c>
      <c r="Q830" s="1" t="s">
        <v>38</v>
      </c>
      <c r="R830" s="1" t="s">
        <v>1131</v>
      </c>
      <c r="S830" s="3">
        <v>919147000000</v>
      </c>
      <c r="T830" s="1" t="s">
        <v>98</v>
      </c>
      <c r="U830" s="1">
        <v>85</v>
      </c>
      <c r="V830" s="1">
        <v>78</v>
      </c>
      <c r="W830" s="1" t="s">
        <v>52</v>
      </c>
      <c r="X830" s="1">
        <v>285724</v>
      </c>
      <c r="Y830" s="2">
        <v>38675</v>
      </c>
      <c r="Z830" s="1">
        <v>10.1789737171464</v>
      </c>
      <c r="AA830" s="1">
        <v>18</v>
      </c>
      <c r="AB830" s="1">
        <v>676000</v>
      </c>
      <c r="AC830" s="1">
        <f t="shared" si="12"/>
        <v>736000</v>
      </c>
    </row>
    <row r="831" spans="1:29" x14ac:dyDescent="0.25">
      <c r="A831" s="1" t="s">
        <v>1132</v>
      </c>
      <c r="B831" s="1" t="s">
        <v>1133</v>
      </c>
      <c r="C831" s="1" t="s">
        <v>1134</v>
      </c>
      <c r="D831" s="1">
        <v>2021</v>
      </c>
      <c r="E831" s="1" t="s">
        <v>45</v>
      </c>
      <c r="F831" s="1">
        <v>2</v>
      </c>
      <c r="G831" s="1" t="s">
        <v>46</v>
      </c>
      <c r="H831" s="1" t="s">
        <v>33</v>
      </c>
      <c r="I831" s="1">
        <v>92000</v>
      </c>
      <c r="J831" s="1">
        <v>77000</v>
      </c>
      <c r="K831" s="1">
        <v>15000</v>
      </c>
      <c r="L831" s="1">
        <v>0</v>
      </c>
      <c r="M831" s="1" t="s">
        <v>34</v>
      </c>
      <c r="N831" s="1" t="s">
        <v>70</v>
      </c>
      <c r="O831" s="1" t="s">
        <v>78</v>
      </c>
      <c r="P831" s="1" t="s">
        <v>79</v>
      </c>
      <c r="Q831" s="1" t="s">
        <v>38</v>
      </c>
      <c r="R831" s="1" t="s">
        <v>1135</v>
      </c>
      <c r="S831" s="3">
        <v>917919000000</v>
      </c>
      <c r="T831" s="1" t="s">
        <v>40</v>
      </c>
      <c r="U831" s="1">
        <v>85</v>
      </c>
      <c r="V831" s="1">
        <v>68</v>
      </c>
      <c r="W831" s="1" t="s">
        <v>52</v>
      </c>
      <c r="X831" s="1">
        <v>183226</v>
      </c>
      <c r="Y831" s="2">
        <v>35337</v>
      </c>
      <c r="Z831" s="1">
        <v>10.1789737171464</v>
      </c>
      <c r="AA831" s="1">
        <v>27</v>
      </c>
      <c r="AB831" s="1">
        <v>184000</v>
      </c>
      <c r="AC831" s="1">
        <f t="shared" si="12"/>
        <v>214000</v>
      </c>
    </row>
    <row r="832" spans="1:29" x14ac:dyDescent="0.25">
      <c r="A832" s="1" t="s">
        <v>1148</v>
      </c>
      <c r="B832" s="1" t="s">
        <v>1149</v>
      </c>
      <c r="C832" s="1" t="s">
        <v>1150</v>
      </c>
      <c r="D832" s="1">
        <v>2021</v>
      </c>
      <c r="E832" s="1" t="s">
        <v>31</v>
      </c>
      <c r="F832" s="1">
        <v>4</v>
      </c>
      <c r="G832" s="1" t="s">
        <v>32</v>
      </c>
      <c r="H832" s="1" t="s">
        <v>113</v>
      </c>
      <c r="I832" s="1">
        <v>169000</v>
      </c>
      <c r="J832" s="1">
        <v>154000</v>
      </c>
      <c r="K832" s="1">
        <v>15000</v>
      </c>
      <c r="L832" s="1">
        <v>0</v>
      </c>
      <c r="M832" s="1" t="s">
        <v>34</v>
      </c>
      <c r="N832" s="1" t="s">
        <v>35</v>
      </c>
      <c r="O832" s="1" t="s">
        <v>57</v>
      </c>
      <c r="P832" s="1" t="s">
        <v>57</v>
      </c>
      <c r="Q832" s="1" t="s">
        <v>38</v>
      </c>
      <c r="R832" s="1" t="s">
        <v>1151</v>
      </c>
      <c r="S832" s="3">
        <v>919632000000</v>
      </c>
      <c r="T832" s="1" t="s">
        <v>98</v>
      </c>
      <c r="U832" s="1">
        <v>85</v>
      </c>
      <c r="V832" s="1">
        <v>65</v>
      </c>
      <c r="W832" s="1" t="s">
        <v>41</v>
      </c>
      <c r="X832" s="1">
        <v>307071</v>
      </c>
      <c r="Y832" s="2">
        <v>36949</v>
      </c>
      <c r="Z832" s="1">
        <v>10.1789737171464</v>
      </c>
      <c r="AA832" s="1">
        <v>23</v>
      </c>
      <c r="AB832" s="1">
        <v>676000</v>
      </c>
      <c r="AC832" s="1">
        <f t="shared" si="12"/>
        <v>736000</v>
      </c>
    </row>
    <row r="833" spans="1:29" x14ac:dyDescent="0.25">
      <c r="A833" s="1" t="s">
        <v>1160</v>
      </c>
      <c r="B833" s="1" t="s">
        <v>1039</v>
      </c>
      <c r="C833" s="1" t="s">
        <v>1040</v>
      </c>
      <c r="D833" s="1">
        <v>2021</v>
      </c>
      <c r="E833" s="1" t="s">
        <v>31</v>
      </c>
      <c r="F833" s="1">
        <v>4</v>
      </c>
      <c r="G833" s="1" t="s">
        <v>32</v>
      </c>
      <c r="H833" s="1" t="s">
        <v>113</v>
      </c>
      <c r="I833" s="1">
        <v>169000</v>
      </c>
      <c r="J833" s="1">
        <v>154000</v>
      </c>
      <c r="K833" s="1">
        <v>15000</v>
      </c>
      <c r="L833" s="1">
        <v>0</v>
      </c>
      <c r="M833" s="1" t="s">
        <v>34</v>
      </c>
      <c r="N833" s="1" t="s">
        <v>63</v>
      </c>
      <c r="O833" s="1" t="s">
        <v>103</v>
      </c>
      <c r="P833" s="1" t="s">
        <v>104</v>
      </c>
      <c r="Q833" s="1" t="s">
        <v>38</v>
      </c>
      <c r="R833" s="1" t="s">
        <v>1161</v>
      </c>
      <c r="S833" s="3">
        <v>919345000000</v>
      </c>
      <c r="T833" s="1" t="s">
        <v>86</v>
      </c>
      <c r="U833" s="1">
        <v>85</v>
      </c>
      <c r="V833" s="1">
        <v>85</v>
      </c>
      <c r="W833" s="1" t="s">
        <v>52</v>
      </c>
      <c r="X833" s="1">
        <v>205523</v>
      </c>
      <c r="Y833" s="2">
        <v>37896</v>
      </c>
      <c r="Z833" s="1">
        <v>10.1789737171464</v>
      </c>
      <c r="AA833" s="1">
        <v>20</v>
      </c>
      <c r="AB833" s="1">
        <v>676000</v>
      </c>
      <c r="AC833" s="1">
        <f t="shared" si="12"/>
        <v>736000</v>
      </c>
    </row>
    <row r="834" spans="1:29" x14ac:dyDescent="0.25">
      <c r="A834" s="1" t="s">
        <v>1170</v>
      </c>
      <c r="B834" s="1" t="s">
        <v>1171</v>
      </c>
      <c r="C834" s="1" t="s">
        <v>1172</v>
      </c>
      <c r="D834" s="1">
        <v>2021</v>
      </c>
      <c r="E834" s="1" t="s">
        <v>31</v>
      </c>
      <c r="F834" s="1">
        <v>4</v>
      </c>
      <c r="G834" s="1" t="s">
        <v>32</v>
      </c>
      <c r="H834" s="1" t="s">
        <v>102</v>
      </c>
      <c r="I834" s="1">
        <v>169000</v>
      </c>
      <c r="J834" s="1">
        <v>154000</v>
      </c>
      <c r="K834" s="1">
        <v>15000</v>
      </c>
      <c r="L834" s="1">
        <v>0</v>
      </c>
      <c r="M834" s="1" t="s">
        <v>34</v>
      </c>
      <c r="N834" s="1" t="s">
        <v>63</v>
      </c>
      <c r="O834" s="1" t="s">
        <v>188</v>
      </c>
      <c r="P834" s="1" t="s">
        <v>189</v>
      </c>
      <c r="Q834" s="1" t="s">
        <v>38</v>
      </c>
      <c r="R834" s="1" t="s">
        <v>1173</v>
      </c>
      <c r="S834" s="3">
        <v>917837000000</v>
      </c>
      <c r="T834" s="1" t="s">
        <v>86</v>
      </c>
      <c r="U834" s="1">
        <v>85</v>
      </c>
      <c r="V834" s="1">
        <v>63</v>
      </c>
      <c r="W834" s="1" t="s">
        <v>41</v>
      </c>
      <c r="X834" s="1">
        <v>498755</v>
      </c>
      <c r="Y834" s="2">
        <v>37798</v>
      </c>
      <c r="Z834" s="1">
        <v>10.1789737171464</v>
      </c>
      <c r="AA834" s="1">
        <v>21</v>
      </c>
      <c r="AB834" s="1">
        <v>676000</v>
      </c>
      <c r="AC834" s="1">
        <f t="shared" si="12"/>
        <v>736000</v>
      </c>
    </row>
    <row r="835" spans="1:29" x14ac:dyDescent="0.25">
      <c r="A835" s="1" t="s">
        <v>1184</v>
      </c>
      <c r="B835" s="1" t="s">
        <v>1185</v>
      </c>
      <c r="C835" s="1" t="s">
        <v>1186</v>
      </c>
      <c r="D835" s="1">
        <v>2021</v>
      </c>
      <c r="E835" s="1" t="s">
        <v>45</v>
      </c>
      <c r="F835" s="1">
        <v>2</v>
      </c>
      <c r="G835" s="1" t="s">
        <v>46</v>
      </c>
      <c r="H835" s="1" t="s">
        <v>90</v>
      </c>
      <c r="I835" s="1">
        <v>92000</v>
      </c>
      <c r="J835" s="1">
        <v>77000</v>
      </c>
      <c r="K835" s="1">
        <v>15000</v>
      </c>
      <c r="L835" s="1">
        <v>0</v>
      </c>
      <c r="M835" s="1" t="s">
        <v>34</v>
      </c>
      <c r="N835" s="1" t="s">
        <v>35</v>
      </c>
      <c r="O835" s="1" t="s">
        <v>188</v>
      </c>
      <c r="P835" s="1" t="s">
        <v>189</v>
      </c>
      <c r="Q835" s="1" t="s">
        <v>38</v>
      </c>
      <c r="R835" s="1" t="s">
        <v>1187</v>
      </c>
      <c r="S835" s="3">
        <v>917419000000</v>
      </c>
      <c r="T835" s="1" t="s">
        <v>51</v>
      </c>
      <c r="U835" s="1">
        <v>85</v>
      </c>
      <c r="V835" s="1">
        <v>82</v>
      </c>
      <c r="W835" s="1" t="s">
        <v>52</v>
      </c>
      <c r="X835" s="1">
        <v>233185</v>
      </c>
      <c r="Y835" s="2">
        <v>36158</v>
      </c>
      <c r="Z835" s="1">
        <v>10.1789737171464</v>
      </c>
      <c r="AA835" s="1">
        <v>25</v>
      </c>
      <c r="AB835" s="1">
        <v>184000</v>
      </c>
      <c r="AC835" s="1">
        <f t="shared" si="12"/>
        <v>214000</v>
      </c>
    </row>
    <row r="836" spans="1:29" x14ac:dyDescent="0.25">
      <c r="A836" s="1" t="s">
        <v>1192</v>
      </c>
      <c r="B836" s="1" t="s">
        <v>1193</v>
      </c>
      <c r="C836" s="1" t="s">
        <v>1194</v>
      </c>
      <c r="D836" s="1">
        <v>2021</v>
      </c>
      <c r="E836" s="1" t="s">
        <v>45</v>
      </c>
      <c r="F836" s="1">
        <v>2</v>
      </c>
      <c r="G836" s="1" t="s">
        <v>46</v>
      </c>
      <c r="H836" s="1" t="s">
        <v>33</v>
      </c>
      <c r="I836" s="1">
        <v>92000</v>
      </c>
      <c r="J836" s="1">
        <v>77000</v>
      </c>
      <c r="K836" s="1">
        <v>15000</v>
      </c>
      <c r="L836" s="1">
        <v>0</v>
      </c>
      <c r="M836" s="1" t="s">
        <v>34</v>
      </c>
      <c r="N836" s="1" t="s">
        <v>63</v>
      </c>
      <c r="O836" s="1" t="s">
        <v>36</v>
      </c>
      <c r="P836" s="1" t="s">
        <v>37</v>
      </c>
      <c r="Q836" s="1" t="s">
        <v>38</v>
      </c>
      <c r="R836" s="1" t="s">
        <v>1195</v>
      </c>
      <c r="S836" s="3">
        <v>919549000000</v>
      </c>
      <c r="T836" s="1" t="s">
        <v>51</v>
      </c>
      <c r="U836" s="1">
        <v>85</v>
      </c>
      <c r="V836" s="1">
        <v>90</v>
      </c>
      <c r="W836" s="1" t="s">
        <v>41</v>
      </c>
      <c r="X836" s="1">
        <v>150795</v>
      </c>
      <c r="Y836" s="2">
        <v>36545</v>
      </c>
      <c r="Z836" s="1">
        <v>10.1789737171464</v>
      </c>
      <c r="AA836" s="1">
        <v>24</v>
      </c>
      <c r="AB836" s="1">
        <v>184000</v>
      </c>
      <c r="AC836" s="1">
        <f t="shared" si="12"/>
        <v>214000</v>
      </c>
    </row>
    <row r="837" spans="1:29" x14ac:dyDescent="0.25">
      <c r="A837" s="1" t="s">
        <v>1202</v>
      </c>
      <c r="B837" s="1" t="s">
        <v>1203</v>
      </c>
      <c r="C837" s="1" t="s">
        <v>1204</v>
      </c>
      <c r="D837" s="1">
        <v>2021</v>
      </c>
      <c r="E837" s="1" t="s">
        <v>31</v>
      </c>
      <c r="F837" s="1">
        <v>4</v>
      </c>
      <c r="G837" s="1" t="s">
        <v>32</v>
      </c>
      <c r="H837" s="1" t="s">
        <v>102</v>
      </c>
      <c r="I837" s="1">
        <v>169000</v>
      </c>
      <c r="J837" s="1">
        <v>154000</v>
      </c>
      <c r="K837" s="1">
        <v>15000</v>
      </c>
      <c r="L837" s="1">
        <v>0</v>
      </c>
      <c r="M837" s="1" t="s">
        <v>34</v>
      </c>
      <c r="N837" s="1" t="s">
        <v>70</v>
      </c>
      <c r="O837" s="1" t="s">
        <v>48</v>
      </c>
      <c r="P837" s="1" t="s">
        <v>49</v>
      </c>
      <c r="Q837" s="1" t="s">
        <v>38</v>
      </c>
      <c r="R837" s="1" t="s">
        <v>1205</v>
      </c>
      <c r="S837" s="3">
        <v>919437000000</v>
      </c>
      <c r="T837" s="1" t="s">
        <v>98</v>
      </c>
      <c r="U837" s="1">
        <v>85</v>
      </c>
      <c r="V837" s="1">
        <v>64</v>
      </c>
      <c r="W837" s="1" t="s">
        <v>41</v>
      </c>
      <c r="X837" s="1">
        <v>610675</v>
      </c>
      <c r="Y837" s="2">
        <v>37553</v>
      </c>
      <c r="Z837" s="1">
        <v>10.1789737171464</v>
      </c>
      <c r="AA837" s="1">
        <v>21</v>
      </c>
      <c r="AB837" s="1">
        <v>676000</v>
      </c>
      <c r="AC837" s="1">
        <f t="shared" si="12"/>
        <v>736000</v>
      </c>
    </row>
    <row r="838" spans="1:29" x14ac:dyDescent="0.25">
      <c r="A838" s="1" t="s">
        <v>1206</v>
      </c>
      <c r="B838" s="1" t="s">
        <v>1207</v>
      </c>
      <c r="C838" s="1" t="s">
        <v>1208</v>
      </c>
      <c r="D838" s="1">
        <v>2021</v>
      </c>
      <c r="E838" s="1" t="s">
        <v>31</v>
      </c>
      <c r="F838" s="1">
        <v>4</v>
      </c>
      <c r="G838" s="1" t="s">
        <v>32</v>
      </c>
      <c r="H838" s="1" t="s">
        <v>56</v>
      </c>
      <c r="I838" s="1">
        <v>169000</v>
      </c>
      <c r="J838" s="1">
        <v>154000</v>
      </c>
      <c r="K838" s="1">
        <v>15000</v>
      </c>
      <c r="L838" s="1">
        <v>0</v>
      </c>
      <c r="M838" s="1" t="s">
        <v>34</v>
      </c>
      <c r="N838" s="1" t="s">
        <v>63</v>
      </c>
      <c r="O838" s="1" t="s">
        <v>78</v>
      </c>
      <c r="P838" s="1" t="s">
        <v>79</v>
      </c>
      <c r="Q838" s="1" t="s">
        <v>38</v>
      </c>
      <c r="R838" s="1" t="s">
        <v>1209</v>
      </c>
      <c r="S838" s="3">
        <v>918494000000</v>
      </c>
      <c r="T838" s="1" t="s">
        <v>74</v>
      </c>
      <c r="U838" s="1">
        <v>85</v>
      </c>
      <c r="V838" s="1">
        <v>78</v>
      </c>
      <c r="W838" s="1" t="s">
        <v>41</v>
      </c>
      <c r="X838" s="1">
        <v>605403</v>
      </c>
      <c r="Y838" s="2">
        <v>37956</v>
      </c>
      <c r="Z838" s="1">
        <v>10.1789737171464</v>
      </c>
      <c r="AA838" s="1">
        <v>20</v>
      </c>
      <c r="AB838" s="1">
        <v>676000</v>
      </c>
      <c r="AC838" s="1">
        <f t="shared" ref="AC838:AC901" si="13">IF(F838 = 2, AB838+30000,AB838+60000)</f>
        <v>736000</v>
      </c>
    </row>
    <row r="839" spans="1:29" x14ac:dyDescent="0.25">
      <c r="A839" s="1" t="s">
        <v>1246</v>
      </c>
      <c r="B839" s="1" t="s">
        <v>449</v>
      </c>
      <c r="C839" s="1" t="s">
        <v>450</v>
      </c>
      <c r="D839" s="1">
        <v>2021</v>
      </c>
      <c r="E839" s="1" t="s">
        <v>45</v>
      </c>
      <c r="F839" s="1">
        <v>2</v>
      </c>
      <c r="G839" s="1" t="s">
        <v>46</v>
      </c>
      <c r="H839" s="1" t="s">
        <v>47</v>
      </c>
      <c r="I839" s="1">
        <v>92000</v>
      </c>
      <c r="J839" s="1">
        <v>77000</v>
      </c>
      <c r="K839" s="1">
        <v>15000</v>
      </c>
      <c r="L839" s="1">
        <v>0</v>
      </c>
      <c r="M839" s="1" t="s">
        <v>34</v>
      </c>
      <c r="N839" s="1" t="s">
        <v>70</v>
      </c>
      <c r="O839" s="1" t="s">
        <v>188</v>
      </c>
      <c r="P839" s="1" t="s">
        <v>189</v>
      </c>
      <c r="Q839" s="1" t="s">
        <v>38</v>
      </c>
      <c r="R839" s="1" t="s">
        <v>1247</v>
      </c>
      <c r="S839" s="3">
        <v>918988000000</v>
      </c>
      <c r="T839" s="1" t="s">
        <v>98</v>
      </c>
      <c r="U839" s="1">
        <v>85</v>
      </c>
      <c r="V839" s="1">
        <v>62</v>
      </c>
      <c r="W839" s="1" t="s">
        <v>52</v>
      </c>
      <c r="X839" s="1">
        <v>191238</v>
      </c>
      <c r="Y839" s="2">
        <v>36886</v>
      </c>
      <c r="Z839" s="1">
        <v>10.1789737171464</v>
      </c>
      <c r="AA839" s="1">
        <v>23</v>
      </c>
      <c r="AB839" s="1">
        <v>184000</v>
      </c>
      <c r="AC839" s="1">
        <f t="shared" si="13"/>
        <v>214000</v>
      </c>
    </row>
    <row r="840" spans="1:29" x14ac:dyDescent="0.25">
      <c r="A840" s="1" t="s">
        <v>1272</v>
      </c>
      <c r="B840" s="1" t="s">
        <v>145</v>
      </c>
      <c r="C840" s="1" t="s">
        <v>146</v>
      </c>
      <c r="D840" s="1">
        <v>2021</v>
      </c>
      <c r="E840" s="1" t="s">
        <v>45</v>
      </c>
      <c r="F840" s="1">
        <v>2</v>
      </c>
      <c r="G840" s="1" t="s">
        <v>46</v>
      </c>
      <c r="H840" s="1" t="s">
        <v>90</v>
      </c>
      <c r="I840" s="1">
        <v>92000</v>
      </c>
      <c r="J840" s="1">
        <v>77000</v>
      </c>
      <c r="K840" s="1">
        <v>15000</v>
      </c>
      <c r="L840" s="1">
        <v>0</v>
      </c>
      <c r="M840" s="1" t="s">
        <v>34</v>
      </c>
      <c r="N840" s="1" t="s">
        <v>35</v>
      </c>
      <c r="O840" s="1" t="s">
        <v>188</v>
      </c>
      <c r="P840" s="1" t="s">
        <v>189</v>
      </c>
      <c r="Q840" s="1" t="s">
        <v>38</v>
      </c>
      <c r="R840" s="1" t="s">
        <v>1273</v>
      </c>
      <c r="S840" s="3">
        <v>917920000000</v>
      </c>
      <c r="T840" s="1" t="s">
        <v>40</v>
      </c>
      <c r="U840" s="1">
        <v>85</v>
      </c>
      <c r="V840" s="1">
        <v>85</v>
      </c>
      <c r="W840" s="1" t="s">
        <v>52</v>
      </c>
      <c r="X840" s="1">
        <v>187768</v>
      </c>
      <c r="Y840" s="2">
        <v>36316</v>
      </c>
      <c r="Z840" s="1">
        <v>10.1789737171464</v>
      </c>
      <c r="AA840" s="1">
        <v>25</v>
      </c>
      <c r="AB840" s="1">
        <v>184000</v>
      </c>
      <c r="AC840" s="1">
        <f t="shared" si="13"/>
        <v>214000</v>
      </c>
    </row>
    <row r="841" spans="1:29" x14ac:dyDescent="0.25">
      <c r="A841" s="1" t="s">
        <v>1282</v>
      </c>
      <c r="B841" s="1" t="s">
        <v>1283</v>
      </c>
      <c r="C841" s="1" t="s">
        <v>1284</v>
      </c>
      <c r="D841" s="1">
        <v>2021</v>
      </c>
      <c r="E841" s="1" t="s">
        <v>31</v>
      </c>
      <c r="F841" s="1">
        <v>4</v>
      </c>
      <c r="G841" s="1" t="s">
        <v>32</v>
      </c>
      <c r="H841" s="1" t="s">
        <v>33</v>
      </c>
      <c r="I841" s="1">
        <v>169000</v>
      </c>
      <c r="J841" s="1">
        <v>154000</v>
      </c>
      <c r="K841" s="1">
        <v>15000</v>
      </c>
      <c r="L841" s="1">
        <v>0</v>
      </c>
      <c r="M841" s="1" t="s">
        <v>34</v>
      </c>
      <c r="N841" s="1" t="s">
        <v>70</v>
      </c>
      <c r="O841" s="1" t="s">
        <v>91</v>
      </c>
      <c r="P841" s="1" t="s">
        <v>92</v>
      </c>
      <c r="Q841" s="1" t="s">
        <v>38</v>
      </c>
      <c r="R841" s="1" t="s">
        <v>1285</v>
      </c>
      <c r="S841" s="3">
        <v>918179000000</v>
      </c>
      <c r="T841" s="1" t="s">
        <v>74</v>
      </c>
      <c r="U841" s="1">
        <v>84</v>
      </c>
      <c r="V841" s="1">
        <v>66</v>
      </c>
      <c r="W841" s="1" t="s">
        <v>52</v>
      </c>
      <c r="X841" s="1">
        <v>589289</v>
      </c>
      <c r="Y841" s="2">
        <v>37711</v>
      </c>
      <c r="Z841" s="1">
        <v>9.1789737171464303</v>
      </c>
      <c r="AA841" s="1">
        <v>21</v>
      </c>
      <c r="AB841" s="1">
        <v>676000</v>
      </c>
      <c r="AC841" s="1">
        <f t="shared" si="13"/>
        <v>736000</v>
      </c>
    </row>
    <row r="842" spans="1:29" x14ac:dyDescent="0.25">
      <c r="A842" s="1" t="s">
        <v>1326</v>
      </c>
      <c r="B842" s="1" t="s">
        <v>1327</v>
      </c>
      <c r="C842" s="1" t="s">
        <v>1328</v>
      </c>
      <c r="D842" s="1">
        <v>2021</v>
      </c>
      <c r="E842" s="1" t="s">
        <v>31</v>
      </c>
      <c r="F842" s="1">
        <v>4</v>
      </c>
      <c r="G842" s="1" t="s">
        <v>32</v>
      </c>
      <c r="H842" s="1" t="s">
        <v>90</v>
      </c>
      <c r="I842" s="1">
        <v>169000</v>
      </c>
      <c r="J842" s="1">
        <v>154000</v>
      </c>
      <c r="K842" s="1">
        <v>15000</v>
      </c>
      <c r="L842" s="1">
        <v>0</v>
      </c>
      <c r="M842" s="1" t="s">
        <v>34</v>
      </c>
      <c r="N842" s="1" t="s">
        <v>35</v>
      </c>
      <c r="O842" s="1" t="s">
        <v>78</v>
      </c>
      <c r="P842" s="1" t="s">
        <v>79</v>
      </c>
      <c r="Q842" s="1" t="s">
        <v>38</v>
      </c>
      <c r="R842" s="1" t="s">
        <v>1329</v>
      </c>
      <c r="S842" s="3">
        <v>919994000000</v>
      </c>
      <c r="T842" s="1" t="s">
        <v>40</v>
      </c>
      <c r="U842" s="1">
        <v>84</v>
      </c>
      <c r="V842" s="1">
        <v>83</v>
      </c>
      <c r="W842" s="1" t="s">
        <v>41</v>
      </c>
      <c r="X842" s="1">
        <v>669969</v>
      </c>
      <c r="Y842" s="2">
        <v>38238</v>
      </c>
      <c r="Z842" s="1">
        <v>9.1789737171464303</v>
      </c>
      <c r="AA842" s="1">
        <v>19</v>
      </c>
      <c r="AB842" s="1">
        <v>676000</v>
      </c>
      <c r="AC842" s="1">
        <f t="shared" si="13"/>
        <v>736000</v>
      </c>
    </row>
    <row r="843" spans="1:29" x14ac:dyDescent="0.25">
      <c r="A843" s="1" t="s">
        <v>1346</v>
      </c>
      <c r="B843" s="1" t="s">
        <v>1347</v>
      </c>
      <c r="C843" s="1" t="s">
        <v>1348</v>
      </c>
      <c r="D843" s="1">
        <v>2021</v>
      </c>
      <c r="E843" s="1" t="s">
        <v>31</v>
      </c>
      <c r="F843" s="1">
        <v>4</v>
      </c>
      <c r="G843" s="1" t="s">
        <v>32</v>
      </c>
      <c r="H843" s="1" t="s">
        <v>90</v>
      </c>
      <c r="I843" s="1">
        <v>169000</v>
      </c>
      <c r="J843" s="1">
        <v>154000</v>
      </c>
      <c r="K843" s="1">
        <v>15000</v>
      </c>
      <c r="L843" s="1">
        <v>0</v>
      </c>
      <c r="M843" s="1" t="s">
        <v>34</v>
      </c>
      <c r="N843" s="1" t="s">
        <v>70</v>
      </c>
      <c r="O843" s="1" t="s">
        <v>188</v>
      </c>
      <c r="P843" s="1" t="s">
        <v>189</v>
      </c>
      <c r="Q843" s="1" t="s">
        <v>38</v>
      </c>
      <c r="R843" s="1" t="s">
        <v>1349</v>
      </c>
      <c r="S843" s="3">
        <v>919737000000</v>
      </c>
      <c r="T843" s="1" t="s">
        <v>40</v>
      </c>
      <c r="U843" s="1">
        <v>84</v>
      </c>
      <c r="V843" s="1">
        <v>67</v>
      </c>
      <c r="W843" s="1" t="s">
        <v>52</v>
      </c>
      <c r="X843" s="1">
        <v>166867</v>
      </c>
      <c r="Y843" s="2">
        <v>37693</v>
      </c>
      <c r="Z843" s="1">
        <v>9.1789737171464303</v>
      </c>
      <c r="AA843" s="1">
        <v>21</v>
      </c>
      <c r="AB843" s="1">
        <v>676000</v>
      </c>
      <c r="AC843" s="1">
        <f t="shared" si="13"/>
        <v>736000</v>
      </c>
    </row>
    <row r="844" spans="1:29" x14ac:dyDescent="0.25">
      <c r="A844" s="1" t="s">
        <v>1366</v>
      </c>
      <c r="B844" s="1" t="s">
        <v>1163</v>
      </c>
      <c r="C844" s="1" t="s">
        <v>1164</v>
      </c>
      <c r="D844" s="1">
        <v>2021</v>
      </c>
      <c r="E844" s="1" t="s">
        <v>45</v>
      </c>
      <c r="F844" s="1">
        <v>2</v>
      </c>
      <c r="G844" s="1" t="s">
        <v>46</v>
      </c>
      <c r="H844" s="1" t="s">
        <v>62</v>
      </c>
      <c r="I844" s="1">
        <v>92000</v>
      </c>
      <c r="J844" s="1">
        <v>77000</v>
      </c>
      <c r="K844" s="1">
        <v>15000</v>
      </c>
      <c r="L844" s="1">
        <v>0</v>
      </c>
      <c r="M844" s="1" t="s">
        <v>34</v>
      </c>
      <c r="N844" s="1" t="s">
        <v>35</v>
      </c>
      <c r="O844" s="1" t="s">
        <v>188</v>
      </c>
      <c r="P844" s="1" t="s">
        <v>189</v>
      </c>
      <c r="Q844" s="1" t="s">
        <v>38</v>
      </c>
      <c r="R844" s="1" t="s">
        <v>1367</v>
      </c>
      <c r="S844" s="3">
        <v>919115000000</v>
      </c>
      <c r="T844" s="1" t="s">
        <v>86</v>
      </c>
      <c r="U844" s="1">
        <v>84</v>
      </c>
      <c r="V844" s="1">
        <v>62</v>
      </c>
      <c r="W844" s="1" t="s">
        <v>52</v>
      </c>
      <c r="X844" s="1">
        <v>784268</v>
      </c>
      <c r="Y844" s="2">
        <v>37125</v>
      </c>
      <c r="Z844" s="1">
        <v>9.1789737171464303</v>
      </c>
      <c r="AA844" s="1">
        <v>22</v>
      </c>
      <c r="AB844" s="1">
        <v>184000</v>
      </c>
      <c r="AC844" s="1">
        <f t="shared" si="13"/>
        <v>214000</v>
      </c>
    </row>
    <row r="845" spans="1:29" x14ac:dyDescent="0.25">
      <c r="A845" s="1" t="s">
        <v>1368</v>
      </c>
      <c r="B845" s="1" t="s">
        <v>1369</v>
      </c>
      <c r="C845" s="1" t="s">
        <v>1370</v>
      </c>
      <c r="D845" s="1">
        <v>2021</v>
      </c>
      <c r="E845" s="1" t="s">
        <v>31</v>
      </c>
      <c r="F845" s="1">
        <v>4</v>
      </c>
      <c r="G845" s="1" t="s">
        <v>32</v>
      </c>
      <c r="H845" s="1" t="s">
        <v>102</v>
      </c>
      <c r="I845" s="1">
        <v>169000</v>
      </c>
      <c r="J845" s="1">
        <v>154000</v>
      </c>
      <c r="K845" s="1">
        <v>15000</v>
      </c>
      <c r="L845" s="1">
        <v>0</v>
      </c>
      <c r="M845" s="1" t="s">
        <v>34</v>
      </c>
      <c r="N845" s="1" t="s">
        <v>63</v>
      </c>
      <c r="O845" s="1" t="s">
        <v>91</v>
      </c>
      <c r="P845" s="1" t="s">
        <v>92</v>
      </c>
      <c r="Q845" s="1" t="s">
        <v>38</v>
      </c>
      <c r="R845" s="1" t="s">
        <v>1371</v>
      </c>
      <c r="S845" s="3">
        <v>917133000000</v>
      </c>
      <c r="T845" s="1" t="s">
        <v>86</v>
      </c>
      <c r="U845" s="1">
        <v>84</v>
      </c>
      <c r="V845" s="1">
        <v>86</v>
      </c>
      <c r="W845" s="1" t="s">
        <v>41</v>
      </c>
      <c r="X845" s="1">
        <v>492502</v>
      </c>
      <c r="Y845" s="2">
        <v>38889</v>
      </c>
      <c r="Z845" s="1">
        <v>9.1789737171464303</v>
      </c>
      <c r="AA845" s="1">
        <v>18</v>
      </c>
      <c r="AB845" s="1">
        <v>676000</v>
      </c>
      <c r="AC845" s="1">
        <f t="shared" si="13"/>
        <v>736000</v>
      </c>
    </row>
    <row r="846" spans="1:29" x14ac:dyDescent="0.25">
      <c r="A846" s="1" t="s">
        <v>1374</v>
      </c>
      <c r="B846" s="1" t="s">
        <v>1065</v>
      </c>
      <c r="C846" s="1" t="s">
        <v>1066</v>
      </c>
      <c r="D846" s="1">
        <v>2021</v>
      </c>
      <c r="E846" s="1" t="s">
        <v>31</v>
      </c>
      <c r="F846" s="1">
        <v>4</v>
      </c>
      <c r="G846" s="1" t="s">
        <v>32</v>
      </c>
      <c r="H846" s="1" t="s">
        <v>122</v>
      </c>
      <c r="I846" s="1">
        <v>169000</v>
      </c>
      <c r="J846" s="1">
        <v>154000</v>
      </c>
      <c r="K846" s="1">
        <v>15000</v>
      </c>
      <c r="L846" s="1">
        <v>0</v>
      </c>
      <c r="M846" s="1" t="s">
        <v>34</v>
      </c>
      <c r="N846" s="1" t="s">
        <v>63</v>
      </c>
      <c r="O846" s="1" t="s">
        <v>78</v>
      </c>
      <c r="P846" s="1" t="s">
        <v>79</v>
      </c>
      <c r="Q846" s="1" t="s">
        <v>38</v>
      </c>
      <c r="R846" s="1" t="s">
        <v>1375</v>
      </c>
      <c r="S846" s="3">
        <v>919975000000</v>
      </c>
      <c r="T846" s="1" t="s">
        <v>40</v>
      </c>
      <c r="U846" s="1">
        <v>84</v>
      </c>
      <c r="V846" s="1">
        <v>61</v>
      </c>
      <c r="W846" s="1" t="s">
        <v>41</v>
      </c>
      <c r="X846" s="1">
        <v>344372</v>
      </c>
      <c r="Y846" s="2">
        <v>37760</v>
      </c>
      <c r="Z846" s="1">
        <v>9.1789737171464303</v>
      </c>
      <c r="AA846" s="1">
        <v>21</v>
      </c>
      <c r="AB846" s="1">
        <v>676000</v>
      </c>
      <c r="AC846" s="1">
        <f t="shared" si="13"/>
        <v>736000</v>
      </c>
    </row>
    <row r="847" spans="1:29" x14ac:dyDescent="0.25">
      <c r="A847" s="1" t="s">
        <v>1406</v>
      </c>
      <c r="B847" s="1" t="s">
        <v>1407</v>
      </c>
      <c r="C847" s="1" t="s">
        <v>1408</v>
      </c>
      <c r="D847" s="1">
        <v>2021</v>
      </c>
      <c r="E847" s="1" t="s">
        <v>31</v>
      </c>
      <c r="F847" s="1">
        <v>4</v>
      </c>
      <c r="G847" s="1" t="s">
        <v>32</v>
      </c>
      <c r="H847" s="1" t="s">
        <v>47</v>
      </c>
      <c r="I847" s="1">
        <v>169000</v>
      </c>
      <c r="J847" s="1">
        <v>154000</v>
      </c>
      <c r="K847" s="1">
        <v>15000</v>
      </c>
      <c r="L847" s="1">
        <v>0</v>
      </c>
      <c r="M847" s="1" t="s">
        <v>34</v>
      </c>
      <c r="N847" s="1" t="s">
        <v>35</v>
      </c>
      <c r="O847" s="1" t="s">
        <v>78</v>
      </c>
      <c r="P847" s="1" t="s">
        <v>79</v>
      </c>
      <c r="Q847" s="1" t="s">
        <v>38</v>
      </c>
      <c r="R847" s="1" t="s">
        <v>1409</v>
      </c>
      <c r="S847" s="3">
        <v>917998000000</v>
      </c>
      <c r="T847" s="1" t="s">
        <v>98</v>
      </c>
      <c r="U847" s="1">
        <v>84</v>
      </c>
      <c r="V847" s="1">
        <v>61</v>
      </c>
      <c r="W847" s="1" t="s">
        <v>41</v>
      </c>
      <c r="X847" s="1">
        <v>498464</v>
      </c>
      <c r="Y847" s="2">
        <v>37102</v>
      </c>
      <c r="Z847" s="1">
        <v>9.1789737171464303</v>
      </c>
      <c r="AA847" s="1">
        <v>22</v>
      </c>
      <c r="AB847" s="1">
        <v>676000</v>
      </c>
      <c r="AC847" s="1">
        <f t="shared" si="13"/>
        <v>736000</v>
      </c>
    </row>
    <row r="848" spans="1:29" x14ac:dyDescent="0.25">
      <c r="A848" s="1" t="s">
        <v>1410</v>
      </c>
      <c r="B848" s="1" t="s">
        <v>1411</v>
      </c>
      <c r="C848" s="1" t="s">
        <v>1412</v>
      </c>
      <c r="D848" s="1">
        <v>2021</v>
      </c>
      <c r="E848" s="1" t="s">
        <v>31</v>
      </c>
      <c r="F848" s="1">
        <v>4</v>
      </c>
      <c r="G848" s="1" t="s">
        <v>32</v>
      </c>
      <c r="H848" s="1" t="s">
        <v>122</v>
      </c>
      <c r="I848" s="1">
        <v>169000</v>
      </c>
      <c r="J848" s="1">
        <v>154000</v>
      </c>
      <c r="K848" s="1">
        <v>15000</v>
      </c>
      <c r="L848" s="1">
        <v>0</v>
      </c>
      <c r="M848" s="1" t="s">
        <v>34</v>
      </c>
      <c r="N848" s="1" t="s">
        <v>35</v>
      </c>
      <c r="O848" s="1" t="s">
        <v>64</v>
      </c>
      <c r="P848" s="1" t="s">
        <v>65</v>
      </c>
      <c r="Q848" s="1" t="s">
        <v>38</v>
      </c>
      <c r="R848" s="1" t="s">
        <v>1413</v>
      </c>
      <c r="S848" s="3">
        <v>917385000000</v>
      </c>
      <c r="T848" s="1" t="s">
        <v>40</v>
      </c>
      <c r="U848" s="1">
        <v>84</v>
      </c>
      <c r="V848" s="1">
        <v>68</v>
      </c>
      <c r="W848" s="1" t="s">
        <v>52</v>
      </c>
      <c r="X848" s="1">
        <v>458219</v>
      </c>
      <c r="Y848" s="2">
        <v>37985</v>
      </c>
      <c r="Z848" s="1">
        <v>9.1789737171464303</v>
      </c>
      <c r="AA848" s="1">
        <v>20</v>
      </c>
      <c r="AB848" s="1">
        <v>676000</v>
      </c>
      <c r="AC848" s="1">
        <f t="shared" si="13"/>
        <v>736000</v>
      </c>
    </row>
    <row r="849" spans="1:29" x14ac:dyDescent="0.25">
      <c r="A849" s="1" t="s">
        <v>1538</v>
      </c>
      <c r="B849" s="1" t="s">
        <v>1539</v>
      </c>
      <c r="C849" s="1" t="s">
        <v>1540</v>
      </c>
      <c r="D849" s="1">
        <v>2021</v>
      </c>
      <c r="E849" s="1" t="s">
        <v>31</v>
      </c>
      <c r="F849" s="1">
        <v>4</v>
      </c>
      <c r="G849" s="1" t="s">
        <v>32</v>
      </c>
      <c r="H849" s="1" t="s">
        <v>122</v>
      </c>
      <c r="I849" s="1">
        <v>169000</v>
      </c>
      <c r="J849" s="1">
        <v>154000</v>
      </c>
      <c r="K849" s="1">
        <v>15000</v>
      </c>
      <c r="L849" s="1">
        <v>0</v>
      </c>
      <c r="M849" s="1" t="s">
        <v>34</v>
      </c>
      <c r="N849" s="1" t="s">
        <v>70</v>
      </c>
      <c r="O849" s="1" t="s">
        <v>78</v>
      </c>
      <c r="P849" s="1" t="s">
        <v>79</v>
      </c>
      <c r="Q849" s="1" t="s">
        <v>38</v>
      </c>
      <c r="R849" s="1" t="s">
        <v>1541</v>
      </c>
      <c r="S849" s="3">
        <v>917733000000</v>
      </c>
      <c r="T849" s="1" t="s">
        <v>51</v>
      </c>
      <c r="U849" s="1">
        <v>83</v>
      </c>
      <c r="V849" s="1">
        <v>85</v>
      </c>
      <c r="W849" s="1" t="s">
        <v>41</v>
      </c>
      <c r="X849" s="1">
        <v>586363</v>
      </c>
      <c r="Y849" s="2">
        <v>38660</v>
      </c>
      <c r="Z849" s="1">
        <v>8.1789737171464303</v>
      </c>
      <c r="AA849" s="1">
        <v>18</v>
      </c>
      <c r="AB849" s="1">
        <v>676000</v>
      </c>
      <c r="AC849" s="1">
        <f t="shared" si="13"/>
        <v>736000</v>
      </c>
    </row>
    <row r="850" spans="1:29" x14ac:dyDescent="0.25">
      <c r="A850" s="1" t="s">
        <v>1574</v>
      </c>
      <c r="B850" s="1" t="s">
        <v>1575</v>
      </c>
      <c r="C850" s="1" t="s">
        <v>1576</v>
      </c>
      <c r="D850" s="1">
        <v>2021</v>
      </c>
      <c r="E850" s="1" t="s">
        <v>45</v>
      </c>
      <c r="F850" s="1">
        <v>2</v>
      </c>
      <c r="G850" s="1" t="s">
        <v>46</v>
      </c>
      <c r="H850" s="1" t="s">
        <v>113</v>
      </c>
      <c r="I850" s="1">
        <v>92000</v>
      </c>
      <c r="J850" s="1">
        <v>77000</v>
      </c>
      <c r="K850" s="1">
        <v>15000</v>
      </c>
      <c r="L850" s="1">
        <v>0</v>
      </c>
      <c r="M850" s="1" t="s">
        <v>34</v>
      </c>
      <c r="N850" s="1" t="s">
        <v>35</v>
      </c>
      <c r="O850" s="1" t="s">
        <v>48</v>
      </c>
      <c r="P850" s="1" t="s">
        <v>49</v>
      </c>
      <c r="Q850" s="1" t="s">
        <v>38</v>
      </c>
      <c r="R850" s="1" t="s">
        <v>1577</v>
      </c>
      <c r="S850" s="3">
        <v>918990000000</v>
      </c>
      <c r="T850" s="1" t="s">
        <v>86</v>
      </c>
      <c r="U850" s="1">
        <v>83</v>
      </c>
      <c r="V850" s="1">
        <v>78</v>
      </c>
      <c r="W850" s="1" t="s">
        <v>52</v>
      </c>
      <c r="X850" s="1">
        <v>652327</v>
      </c>
      <c r="Y850" s="2">
        <v>36632</v>
      </c>
      <c r="Z850" s="1">
        <v>8.1789737171464303</v>
      </c>
      <c r="AA850" s="1">
        <v>24</v>
      </c>
      <c r="AB850" s="1">
        <v>184000</v>
      </c>
      <c r="AC850" s="1">
        <f t="shared" si="13"/>
        <v>214000</v>
      </c>
    </row>
    <row r="851" spans="1:29" x14ac:dyDescent="0.25">
      <c r="A851" s="1" t="s">
        <v>1642</v>
      </c>
      <c r="B851" s="1" t="s">
        <v>1643</v>
      </c>
      <c r="C851" s="1" t="s">
        <v>1644</v>
      </c>
      <c r="D851" s="1">
        <v>2021</v>
      </c>
      <c r="E851" s="1" t="s">
        <v>31</v>
      </c>
      <c r="F851" s="1">
        <v>4</v>
      </c>
      <c r="G851" s="1" t="s">
        <v>32</v>
      </c>
      <c r="H851" s="1" t="s">
        <v>210</v>
      </c>
      <c r="I851" s="1">
        <v>169000</v>
      </c>
      <c r="J851" s="1">
        <v>154000</v>
      </c>
      <c r="K851" s="1">
        <v>15000</v>
      </c>
      <c r="L851" s="1">
        <v>0</v>
      </c>
      <c r="M851" s="1" t="s">
        <v>34</v>
      </c>
      <c r="N851" s="1" t="s">
        <v>70</v>
      </c>
      <c r="O851" s="1" t="s">
        <v>188</v>
      </c>
      <c r="P851" s="1" t="s">
        <v>189</v>
      </c>
      <c r="Q851" s="1" t="s">
        <v>38</v>
      </c>
      <c r="R851" s="1" t="s">
        <v>1645</v>
      </c>
      <c r="S851" s="3">
        <v>919703000000</v>
      </c>
      <c r="T851" s="1" t="s">
        <v>51</v>
      </c>
      <c r="U851" s="1">
        <v>82</v>
      </c>
      <c r="V851" s="1">
        <v>83</v>
      </c>
      <c r="W851" s="1" t="s">
        <v>41</v>
      </c>
      <c r="X851" s="1">
        <v>237073</v>
      </c>
      <c r="Y851" s="2">
        <v>38369</v>
      </c>
      <c r="Z851" s="1">
        <v>7.1789737171464303</v>
      </c>
      <c r="AA851" s="1">
        <v>19</v>
      </c>
      <c r="AB851" s="1">
        <v>676000</v>
      </c>
      <c r="AC851" s="1">
        <f t="shared" si="13"/>
        <v>736000</v>
      </c>
    </row>
    <row r="852" spans="1:29" x14ac:dyDescent="0.25">
      <c r="A852" s="1" t="s">
        <v>1662</v>
      </c>
      <c r="B852" s="1" t="s">
        <v>1189</v>
      </c>
      <c r="C852" s="1" t="s">
        <v>1190</v>
      </c>
      <c r="D852" s="1">
        <v>2021</v>
      </c>
      <c r="E852" s="1" t="s">
        <v>31</v>
      </c>
      <c r="F852" s="1">
        <v>4</v>
      </c>
      <c r="G852" s="1" t="s">
        <v>32</v>
      </c>
      <c r="H852" s="1" t="s">
        <v>56</v>
      </c>
      <c r="I852" s="1">
        <v>169000</v>
      </c>
      <c r="J852" s="1">
        <v>154000</v>
      </c>
      <c r="K852" s="1">
        <v>15000</v>
      </c>
      <c r="L852" s="1">
        <v>0</v>
      </c>
      <c r="M852" s="1" t="s">
        <v>34</v>
      </c>
      <c r="N852" s="1" t="s">
        <v>70</v>
      </c>
      <c r="O852" s="1" t="s">
        <v>84</v>
      </c>
      <c r="P852" s="1" t="s">
        <v>65</v>
      </c>
      <c r="Q852" s="1" t="s">
        <v>38</v>
      </c>
      <c r="R852" s="1" t="s">
        <v>1663</v>
      </c>
      <c r="S852" s="3">
        <v>918011000000</v>
      </c>
      <c r="T852" s="1" t="s">
        <v>40</v>
      </c>
      <c r="U852" s="1">
        <v>82</v>
      </c>
      <c r="V852" s="1">
        <v>89</v>
      </c>
      <c r="W852" s="1" t="s">
        <v>41</v>
      </c>
      <c r="X852" s="1">
        <v>481630</v>
      </c>
      <c r="Y852" s="2">
        <v>37133</v>
      </c>
      <c r="Z852" s="1">
        <v>7.1789737171464303</v>
      </c>
      <c r="AA852" s="1">
        <v>22</v>
      </c>
      <c r="AB852" s="1">
        <v>676000</v>
      </c>
      <c r="AC852" s="1">
        <f t="shared" si="13"/>
        <v>736000</v>
      </c>
    </row>
    <row r="853" spans="1:29" x14ac:dyDescent="0.25">
      <c r="A853" s="1" t="s">
        <v>1692</v>
      </c>
      <c r="B853" s="1" t="s">
        <v>1693</v>
      </c>
      <c r="C853" s="1" t="s">
        <v>1694</v>
      </c>
      <c r="D853" s="1">
        <v>2021</v>
      </c>
      <c r="E853" s="1" t="s">
        <v>31</v>
      </c>
      <c r="F853" s="1">
        <v>4</v>
      </c>
      <c r="G853" s="1" t="s">
        <v>32</v>
      </c>
      <c r="H853" s="1" t="s">
        <v>113</v>
      </c>
      <c r="I853" s="1">
        <v>169000</v>
      </c>
      <c r="J853" s="1">
        <v>154000</v>
      </c>
      <c r="K853" s="1">
        <v>15000</v>
      </c>
      <c r="L853" s="1">
        <v>0</v>
      </c>
      <c r="M853" s="1" t="s">
        <v>34</v>
      </c>
      <c r="N853" s="1" t="s">
        <v>63</v>
      </c>
      <c r="O853" s="1" t="s">
        <v>103</v>
      </c>
      <c r="P853" s="1" t="s">
        <v>104</v>
      </c>
      <c r="Q853" s="1" t="s">
        <v>38</v>
      </c>
      <c r="R853" s="1" t="s">
        <v>1695</v>
      </c>
      <c r="S853" s="3">
        <v>919508000000</v>
      </c>
      <c r="T853" s="1" t="s">
        <v>98</v>
      </c>
      <c r="U853" s="1">
        <v>82</v>
      </c>
      <c r="V853" s="1">
        <v>90</v>
      </c>
      <c r="W853" s="1" t="s">
        <v>41</v>
      </c>
      <c r="X853" s="1">
        <v>302663</v>
      </c>
      <c r="Y853" s="2">
        <v>37526</v>
      </c>
      <c r="Z853" s="1">
        <v>7.1789737171464303</v>
      </c>
      <c r="AA853" s="1">
        <v>21</v>
      </c>
      <c r="AB853" s="1">
        <v>676000</v>
      </c>
      <c r="AC853" s="1">
        <f t="shared" si="13"/>
        <v>736000</v>
      </c>
    </row>
    <row r="854" spans="1:29" x14ac:dyDescent="0.25">
      <c r="A854" s="1" t="s">
        <v>1696</v>
      </c>
      <c r="B854" s="1" t="s">
        <v>1697</v>
      </c>
      <c r="C854" s="1" t="s">
        <v>1698</v>
      </c>
      <c r="D854" s="1">
        <v>2021</v>
      </c>
      <c r="E854" s="1" t="s">
        <v>31</v>
      </c>
      <c r="F854" s="1">
        <v>4</v>
      </c>
      <c r="G854" s="1" t="s">
        <v>32</v>
      </c>
      <c r="H854" s="1" t="s">
        <v>33</v>
      </c>
      <c r="I854" s="1">
        <v>169000</v>
      </c>
      <c r="J854" s="1">
        <v>154000</v>
      </c>
      <c r="K854" s="1">
        <v>15000</v>
      </c>
      <c r="L854" s="1">
        <v>0</v>
      </c>
      <c r="M854" s="1" t="s">
        <v>34</v>
      </c>
      <c r="N854" s="1" t="s">
        <v>35</v>
      </c>
      <c r="O854" s="1" t="s">
        <v>57</v>
      </c>
      <c r="P854" s="1" t="s">
        <v>57</v>
      </c>
      <c r="Q854" s="1" t="s">
        <v>38</v>
      </c>
      <c r="R854" s="1" t="s">
        <v>1699</v>
      </c>
      <c r="S854" s="3">
        <v>919346000000</v>
      </c>
      <c r="T854" s="1" t="s">
        <v>51</v>
      </c>
      <c r="U854" s="1">
        <v>82</v>
      </c>
      <c r="V854" s="1">
        <v>62</v>
      </c>
      <c r="W854" s="1" t="s">
        <v>52</v>
      </c>
      <c r="X854" s="1">
        <v>727870</v>
      </c>
      <c r="Y854" s="2">
        <v>37188</v>
      </c>
      <c r="Z854" s="1">
        <v>7.1789737171464303</v>
      </c>
      <c r="AA854" s="1">
        <v>22</v>
      </c>
      <c r="AB854" s="1">
        <v>676000</v>
      </c>
      <c r="AC854" s="1">
        <f t="shared" si="13"/>
        <v>736000</v>
      </c>
    </row>
    <row r="855" spans="1:29" x14ac:dyDescent="0.25">
      <c r="A855" s="1" t="s">
        <v>1708</v>
      </c>
      <c r="B855" s="1" t="s">
        <v>1709</v>
      </c>
      <c r="C855" s="1" t="s">
        <v>1710</v>
      </c>
      <c r="D855" s="1">
        <v>2021</v>
      </c>
      <c r="E855" s="1" t="s">
        <v>31</v>
      </c>
      <c r="F855" s="1">
        <v>4</v>
      </c>
      <c r="G855" s="1" t="s">
        <v>32</v>
      </c>
      <c r="H855" s="1" t="s">
        <v>62</v>
      </c>
      <c r="I855" s="1">
        <v>169000</v>
      </c>
      <c r="J855" s="1">
        <v>154000</v>
      </c>
      <c r="K855" s="1">
        <v>15000</v>
      </c>
      <c r="L855" s="1">
        <v>0</v>
      </c>
      <c r="M855" s="1" t="s">
        <v>34</v>
      </c>
      <c r="N855" s="1" t="s">
        <v>63</v>
      </c>
      <c r="O855" s="1" t="s">
        <v>57</v>
      </c>
      <c r="P855" s="1" t="s">
        <v>57</v>
      </c>
      <c r="Q855" s="1" t="s">
        <v>38</v>
      </c>
      <c r="R855" s="1" t="s">
        <v>1711</v>
      </c>
      <c r="S855" s="3">
        <v>917280000000</v>
      </c>
      <c r="T855" s="1" t="s">
        <v>74</v>
      </c>
      <c r="U855" s="1">
        <v>82</v>
      </c>
      <c r="V855" s="1">
        <v>84</v>
      </c>
      <c r="W855" s="1" t="s">
        <v>41</v>
      </c>
      <c r="X855" s="1">
        <v>171179</v>
      </c>
      <c r="Y855" s="2">
        <v>36899</v>
      </c>
      <c r="Z855" s="1">
        <v>7.1789737171464303</v>
      </c>
      <c r="AA855" s="1">
        <v>23</v>
      </c>
      <c r="AB855" s="1">
        <v>676000</v>
      </c>
      <c r="AC855" s="1">
        <f t="shared" si="13"/>
        <v>736000</v>
      </c>
    </row>
    <row r="856" spans="1:29" x14ac:dyDescent="0.25">
      <c r="A856" s="1" t="s">
        <v>1716</v>
      </c>
      <c r="B856" s="1" t="s">
        <v>1717</v>
      </c>
      <c r="C856" s="1" t="s">
        <v>1718</v>
      </c>
      <c r="D856" s="1">
        <v>2021</v>
      </c>
      <c r="E856" s="1" t="s">
        <v>31</v>
      </c>
      <c r="F856" s="1">
        <v>4</v>
      </c>
      <c r="G856" s="1" t="s">
        <v>32</v>
      </c>
      <c r="H856" s="1" t="s">
        <v>33</v>
      </c>
      <c r="I856" s="1">
        <v>169000</v>
      </c>
      <c r="J856" s="1">
        <v>154000</v>
      </c>
      <c r="K856" s="1">
        <v>15000</v>
      </c>
      <c r="L856" s="1">
        <v>0</v>
      </c>
      <c r="M856" s="1" t="s">
        <v>34</v>
      </c>
      <c r="N856" s="1" t="s">
        <v>70</v>
      </c>
      <c r="O856" s="1" t="s">
        <v>64</v>
      </c>
      <c r="P856" s="1" t="s">
        <v>65</v>
      </c>
      <c r="Q856" s="1" t="s">
        <v>38</v>
      </c>
      <c r="R856" s="1" t="s">
        <v>1719</v>
      </c>
      <c r="S856" s="3">
        <v>918947000000</v>
      </c>
      <c r="T856" s="1" t="s">
        <v>40</v>
      </c>
      <c r="U856" s="1">
        <v>82</v>
      </c>
      <c r="V856" s="1">
        <v>84</v>
      </c>
      <c r="W856" s="1" t="s">
        <v>41</v>
      </c>
      <c r="X856" s="1">
        <v>200249</v>
      </c>
      <c r="Y856" s="2">
        <v>37477</v>
      </c>
      <c r="Z856" s="1">
        <v>7.1789737171464303</v>
      </c>
      <c r="AA856" s="1">
        <v>21</v>
      </c>
      <c r="AB856" s="1">
        <v>676000</v>
      </c>
      <c r="AC856" s="1">
        <f t="shared" si="13"/>
        <v>736000</v>
      </c>
    </row>
    <row r="857" spans="1:29" x14ac:dyDescent="0.25">
      <c r="A857" s="1" t="s">
        <v>1778</v>
      </c>
      <c r="B857" s="1" t="s">
        <v>1779</v>
      </c>
      <c r="C857" s="1" t="s">
        <v>1780</v>
      </c>
      <c r="D857" s="1">
        <v>2021</v>
      </c>
      <c r="E857" s="1" t="s">
        <v>31</v>
      </c>
      <c r="F857" s="1">
        <v>4</v>
      </c>
      <c r="G857" s="1" t="s">
        <v>32</v>
      </c>
      <c r="H857" s="1" t="s">
        <v>122</v>
      </c>
      <c r="I857" s="1">
        <v>169000</v>
      </c>
      <c r="J857" s="1">
        <v>154000</v>
      </c>
      <c r="K857" s="1">
        <v>15000</v>
      </c>
      <c r="L857" s="1">
        <v>0</v>
      </c>
      <c r="M857" s="1" t="s">
        <v>34</v>
      </c>
      <c r="N857" s="1" t="s">
        <v>35</v>
      </c>
      <c r="O857" s="1" t="s">
        <v>64</v>
      </c>
      <c r="P857" s="1" t="s">
        <v>65</v>
      </c>
      <c r="Q857" s="1" t="s">
        <v>38</v>
      </c>
      <c r="R857" s="1" t="s">
        <v>1781</v>
      </c>
      <c r="S857" s="3">
        <v>919537000000</v>
      </c>
      <c r="T857" s="1" t="s">
        <v>74</v>
      </c>
      <c r="U857" s="1">
        <v>82</v>
      </c>
      <c r="V857" s="1">
        <v>61</v>
      </c>
      <c r="W857" s="1" t="s">
        <v>41</v>
      </c>
      <c r="X857" s="1">
        <v>246657</v>
      </c>
      <c r="Y857" s="2">
        <v>36890</v>
      </c>
      <c r="Z857" s="1">
        <v>7.1789737171464303</v>
      </c>
      <c r="AA857" s="1">
        <v>23</v>
      </c>
      <c r="AB857" s="1">
        <v>676000</v>
      </c>
      <c r="AC857" s="1">
        <f t="shared" si="13"/>
        <v>736000</v>
      </c>
    </row>
    <row r="858" spans="1:29" x14ac:dyDescent="0.25">
      <c r="A858" s="1" t="s">
        <v>1796</v>
      </c>
      <c r="B858" s="1" t="s">
        <v>1087</v>
      </c>
      <c r="C858" s="1" t="s">
        <v>1088</v>
      </c>
      <c r="D858" s="1">
        <v>2021</v>
      </c>
      <c r="E858" s="1" t="s">
        <v>31</v>
      </c>
      <c r="F858" s="1">
        <v>4</v>
      </c>
      <c r="G858" s="1" t="s">
        <v>32</v>
      </c>
      <c r="H858" s="1" t="s">
        <v>210</v>
      </c>
      <c r="I858" s="1">
        <v>169000</v>
      </c>
      <c r="J858" s="1">
        <v>154000</v>
      </c>
      <c r="K858" s="1">
        <v>15000</v>
      </c>
      <c r="L858" s="1">
        <v>0</v>
      </c>
      <c r="M858" s="1" t="s">
        <v>34</v>
      </c>
      <c r="N858" s="1" t="s">
        <v>35</v>
      </c>
      <c r="O858" s="1" t="s">
        <v>71</v>
      </c>
      <c r="P858" s="1" t="s">
        <v>72</v>
      </c>
      <c r="Q858" s="1" t="s">
        <v>38</v>
      </c>
      <c r="R858" s="1" t="s">
        <v>1797</v>
      </c>
      <c r="S858" s="3">
        <v>918350000000</v>
      </c>
      <c r="T858" s="1" t="s">
        <v>40</v>
      </c>
      <c r="U858" s="1">
        <v>81</v>
      </c>
      <c r="V858" s="1">
        <v>65</v>
      </c>
      <c r="W858" s="1" t="s">
        <v>41</v>
      </c>
      <c r="X858" s="1">
        <v>473051</v>
      </c>
      <c r="Y858" s="2">
        <v>37196</v>
      </c>
      <c r="Z858" s="1">
        <v>6.1789737171464303</v>
      </c>
      <c r="AA858" s="1">
        <v>22</v>
      </c>
      <c r="AB858" s="1">
        <v>676000</v>
      </c>
      <c r="AC858" s="1">
        <f t="shared" si="13"/>
        <v>736000</v>
      </c>
    </row>
    <row r="859" spans="1:29" x14ac:dyDescent="0.25">
      <c r="A859" s="1" t="s">
        <v>1811</v>
      </c>
      <c r="B859" s="1" t="s">
        <v>1812</v>
      </c>
      <c r="C859" s="1" t="s">
        <v>1813</v>
      </c>
      <c r="D859" s="1">
        <v>2021</v>
      </c>
      <c r="E859" s="1" t="s">
        <v>45</v>
      </c>
      <c r="F859" s="1">
        <v>2</v>
      </c>
      <c r="G859" s="1" t="s">
        <v>46</v>
      </c>
      <c r="H859" s="1" t="s">
        <v>102</v>
      </c>
      <c r="I859" s="1">
        <v>92000</v>
      </c>
      <c r="J859" s="1">
        <v>77000</v>
      </c>
      <c r="K859" s="1">
        <v>15000</v>
      </c>
      <c r="L859" s="1">
        <v>0</v>
      </c>
      <c r="M859" s="1" t="s">
        <v>34</v>
      </c>
      <c r="N859" s="1" t="s">
        <v>63</v>
      </c>
      <c r="O859" s="1" t="s">
        <v>84</v>
      </c>
      <c r="P859" s="1" t="s">
        <v>65</v>
      </c>
      <c r="Q859" s="1" t="s">
        <v>38</v>
      </c>
      <c r="R859" s="1" t="s">
        <v>1814</v>
      </c>
      <c r="S859" s="3">
        <v>918551000000</v>
      </c>
      <c r="T859" s="1" t="s">
        <v>74</v>
      </c>
      <c r="U859" s="1">
        <v>81</v>
      </c>
      <c r="V859" s="1">
        <v>62</v>
      </c>
      <c r="W859" s="1" t="s">
        <v>52</v>
      </c>
      <c r="X859" s="1">
        <v>426037</v>
      </c>
      <c r="Y859" s="2">
        <v>35318</v>
      </c>
      <c r="Z859" s="1">
        <v>6.1789737171464303</v>
      </c>
      <c r="AA859" s="1">
        <v>27</v>
      </c>
      <c r="AB859" s="1">
        <v>184000</v>
      </c>
      <c r="AC859" s="1">
        <f t="shared" si="13"/>
        <v>214000</v>
      </c>
    </row>
    <row r="860" spans="1:29" x14ac:dyDescent="0.25">
      <c r="A860" s="1" t="s">
        <v>1851</v>
      </c>
      <c r="B860" s="1" t="s">
        <v>1852</v>
      </c>
      <c r="C860" s="1" t="s">
        <v>1853</v>
      </c>
      <c r="D860" s="1">
        <v>2021</v>
      </c>
      <c r="E860" s="1" t="s">
        <v>31</v>
      </c>
      <c r="F860" s="1">
        <v>4</v>
      </c>
      <c r="G860" s="1" t="s">
        <v>32</v>
      </c>
      <c r="H860" s="1" t="s">
        <v>102</v>
      </c>
      <c r="I860" s="1">
        <v>169000</v>
      </c>
      <c r="J860" s="1">
        <v>154000</v>
      </c>
      <c r="K860" s="1">
        <v>15000</v>
      </c>
      <c r="L860" s="1">
        <v>0</v>
      </c>
      <c r="M860" s="1" t="s">
        <v>34</v>
      </c>
      <c r="N860" s="1" t="s">
        <v>63</v>
      </c>
      <c r="O860" s="1" t="s">
        <v>91</v>
      </c>
      <c r="P860" s="1" t="s">
        <v>92</v>
      </c>
      <c r="Q860" s="1" t="s">
        <v>38</v>
      </c>
      <c r="R860" s="1" t="s">
        <v>1854</v>
      </c>
      <c r="S860" s="3">
        <v>917249000000</v>
      </c>
      <c r="T860" s="1" t="s">
        <v>51</v>
      </c>
      <c r="U860" s="1">
        <v>81</v>
      </c>
      <c r="V860" s="1">
        <v>75</v>
      </c>
      <c r="W860" s="1" t="s">
        <v>41</v>
      </c>
      <c r="X860" s="1">
        <v>117166</v>
      </c>
      <c r="Y860" s="2">
        <v>36736</v>
      </c>
      <c r="Z860" s="1">
        <v>6.1789737171464303</v>
      </c>
      <c r="AA860" s="1">
        <v>23</v>
      </c>
      <c r="AB860" s="1">
        <v>676000</v>
      </c>
      <c r="AC860" s="1">
        <f t="shared" si="13"/>
        <v>736000</v>
      </c>
    </row>
    <row r="861" spans="1:29" x14ac:dyDescent="0.25">
      <c r="A861" s="1" t="s">
        <v>1879</v>
      </c>
      <c r="B861" s="1" t="s">
        <v>1880</v>
      </c>
      <c r="C861" s="1" t="s">
        <v>1881</v>
      </c>
      <c r="D861" s="1">
        <v>2021</v>
      </c>
      <c r="E861" s="1" t="s">
        <v>45</v>
      </c>
      <c r="F861" s="1">
        <v>2</v>
      </c>
      <c r="G861" s="1" t="s">
        <v>46</v>
      </c>
      <c r="H861" s="1" t="s">
        <v>62</v>
      </c>
      <c r="I861" s="1">
        <v>92000</v>
      </c>
      <c r="J861" s="1">
        <v>77000</v>
      </c>
      <c r="K861" s="1">
        <v>15000</v>
      </c>
      <c r="L861" s="1">
        <v>0</v>
      </c>
      <c r="M861" s="1" t="s">
        <v>34</v>
      </c>
      <c r="N861" s="1" t="s">
        <v>70</v>
      </c>
      <c r="O861" s="1" t="s">
        <v>57</v>
      </c>
      <c r="P861" s="1" t="s">
        <v>57</v>
      </c>
      <c r="Q861" s="1" t="s">
        <v>38</v>
      </c>
      <c r="R861" s="1" t="s">
        <v>1882</v>
      </c>
      <c r="S861" s="3">
        <v>919523000000</v>
      </c>
      <c r="T861" s="1" t="s">
        <v>51</v>
      </c>
      <c r="U861" s="1">
        <v>81</v>
      </c>
      <c r="V861" s="1">
        <v>91</v>
      </c>
      <c r="W861" s="1" t="s">
        <v>41</v>
      </c>
      <c r="X861" s="1">
        <v>191428</v>
      </c>
      <c r="Y861" s="2">
        <v>36766</v>
      </c>
      <c r="Z861" s="1">
        <v>6.1789737171464303</v>
      </c>
      <c r="AA861" s="1">
        <v>23</v>
      </c>
      <c r="AB861" s="1">
        <v>184000</v>
      </c>
      <c r="AC861" s="1">
        <f t="shared" si="13"/>
        <v>214000</v>
      </c>
    </row>
    <row r="862" spans="1:29" x14ac:dyDescent="0.25">
      <c r="A862" s="1" t="s">
        <v>1883</v>
      </c>
      <c r="B862" s="1" t="s">
        <v>767</v>
      </c>
      <c r="C862" s="1" t="s">
        <v>768</v>
      </c>
      <c r="D862" s="1">
        <v>2021</v>
      </c>
      <c r="E862" s="1" t="s">
        <v>31</v>
      </c>
      <c r="F862" s="1">
        <v>4</v>
      </c>
      <c r="G862" s="1" t="s">
        <v>32</v>
      </c>
      <c r="H862" s="1" t="s">
        <v>151</v>
      </c>
      <c r="I862" s="1">
        <v>169000</v>
      </c>
      <c r="J862" s="1">
        <v>154000</v>
      </c>
      <c r="K862" s="1">
        <v>15000</v>
      </c>
      <c r="L862" s="1">
        <v>0</v>
      </c>
      <c r="M862" s="1" t="s">
        <v>34</v>
      </c>
      <c r="N862" s="1" t="s">
        <v>63</v>
      </c>
      <c r="O862" s="1" t="s">
        <v>36</v>
      </c>
      <c r="P862" s="1" t="s">
        <v>37</v>
      </c>
      <c r="Q862" s="1" t="s">
        <v>38</v>
      </c>
      <c r="R862" s="1" t="s">
        <v>1884</v>
      </c>
      <c r="S862" s="3">
        <v>919149000000</v>
      </c>
      <c r="T862" s="1" t="s">
        <v>98</v>
      </c>
      <c r="U862" s="1">
        <v>81</v>
      </c>
      <c r="V862" s="1">
        <v>65</v>
      </c>
      <c r="W862" s="1" t="s">
        <v>52</v>
      </c>
      <c r="X862" s="1">
        <v>251053</v>
      </c>
      <c r="Y862" s="2">
        <v>38867</v>
      </c>
      <c r="Z862" s="1">
        <v>6.1789737171464303</v>
      </c>
      <c r="AA862" s="1">
        <v>18</v>
      </c>
      <c r="AB862" s="1">
        <v>676000</v>
      </c>
      <c r="AC862" s="1">
        <f t="shared" si="13"/>
        <v>736000</v>
      </c>
    </row>
    <row r="863" spans="1:29" x14ac:dyDescent="0.25">
      <c r="A863" s="1" t="s">
        <v>1887</v>
      </c>
      <c r="B863" s="1" t="s">
        <v>1888</v>
      </c>
      <c r="C863" s="1" t="s">
        <v>1889</v>
      </c>
      <c r="D863" s="1">
        <v>2021</v>
      </c>
      <c r="E863" s="1" t="s">
        <v>31</v>
      </c>
      <c r="F863" s="1">
        <v>4</v>
      </c>
      <c r="G863" s="1" t="s">
        <v>32</v>
      </c>
      <c r="H863" s="1" t="s">
        <v>122</v>
      </c>
      <c r="I863" s="1">
        <v>169000</v>
      </c>
      <c r="J863" s="1">
        <v>154000</v>
      </c>
      <c r="K863" s="1">
        <v>15000</v>
      </c>
      <c r="L863" s="1">
        <v>0</v>
      </c>
      <c r="M863" s="1" t="s">
        <v>34</v>
      </c>
      <c r="N863" s="1" t="s">
        <v>63</v>
      </c>
      <c r="O863" s="1" t="s">
        <v>188</v>
      </c>
      <c r="P863" s="1" t="s">
        <v>189</v>
      </c>
      <c r="Q863" s="1" t="s">
        <v>38</v>
      </c>
      <c r="R863" s="1" t="s">
        <v>1890</v>
      </c>
      <c r="S863" s="3">
        <v>918365000000</v>
      </c>
      <c r="T863" s="1" t="s">
        <v>86</v>
      </c>
      <c r="U863" s="1">
        <v>81</v>
      </c>
      <c r="V863" s="1">
        <v>70</v>
      </c>
      <c r="W863" s="1" t="s">
        <v>52</v>
      </c>
      <c r="X863" s="1">
        <v>183827</v>
      </c>
      <c r="Y863" s="2">
        <v>37312</v>
      </c>
      <c r="Z863" s="1">
        <v>6.1789737171464303</v>
      </c>
      <c r="AA863" s="1">
        <v>22</v>
      </c>
      <c r="AB863" s="1">
        <v>676000</v>
      </c>
      <c r="AC863" s="1">
        <f t="shared" si="13"/>
        <v>736000</v>
      </c>
    </row>
    <row r="864" spans="1:29" x14ac:dyDescent="0.25">
      <c r="A864" s="1" t="s">
        <v>1891</v>
      </c>
      <c r="B864" s="1" t="s">
        <v>1475</v>
      </c>
      <c r="C864" s="1" t="s">
        <v>1476</v>
      </c>
      <c r="D864" s="1">
        <v>2021</v>
      </c>
      <c r="E864" s="1" t="s">
        <v>31</v>
      </c>
      <c r="F864" s="1">
        <v>4</v>
      </c>
      <c r="G864" s="1" t="s">
        <v>32</v>
      </c>
      <c r="H864" s="1" t="s">
        <v>113</v>
      </c>
      <c r="I864" s="1">
        <v>169000</v>
      </c>
      <c r="J864" s="1">
        <v>154000</v>
      </c>
      <c r="K864" s="1">
        <v>15000</v>
      </c>
      <c r="L864" s="1">
        <v>0</v>
      </c>
      <c r="M864" s="1" t="s">
        <v>34</v>
      </c>
      <c r="N864" s="1" t="s">
        <v>35</v>
      </c>
      <c r="O864" s="1" t="s">
        <v>103</v>
      </c>
      <c r="P864" s="1" t="s">
        <v>104</v>
      </c>
      <c r="Q864" s="1" t="s">
        <v>38</v>
      </c>
      <c r="R864" s="1" t="s">
        <v>1892</v>
      </c>
      <c r="S864" s="3">
        <v>918522000000</v>
      </c>
      <c r="T864" s="1" t="s">
        <v>40</v>
      </c>
      <c r="U864" s="1">
        <v>81</v>
      </c>
      <c r="V864" s="1">
        <v>92</v>
      </c>
      <c r="W864" s="1" t="s">
        <v>52</v>
      </c>
      <c r="X864" s="1">
        <v>342246</v>
      </c>
      <c r="Y864" s="2">
        <v>38009</v>
      </c>
      <c r="Z864" s="1">
        <v>6.1789737171464303</v>
      </c>
      <c r="AA864" s="1">
        <v>20</v>
      </c>
      <c r="AB864" s="1">
        <v>676000</v>
      </c>
      <c r="AC864" s="1">
        <f t="shared" si="13"/>
        <v>736000</v>
      </c>
    </row>
    <row r="865" spans="1:29" x14ac:dyDescent="0.25">
      <c r="A865" s="1" t="s">
        <v>1897</v>
      </c>
      <c r="B865" s="1" t="s">
        <v>1898</v>
      </c>
      <c r="C865" s="1" t="s">
        <v>1899</v>
      </c>
      <c r="D865" s="1">
        <v>2021</v>
      </c>
      <c r="E865" s="1" t="s">
        <v>31</v>
      </c>
      <c r="F865" s="1">
        <v>4</v>
      </c>
      <c r="G865" s="1" t="s">
        <v>32</v>
      </c>
      <c r="H865" s="1" t="s">
        <v>47</v>
      </c>
      <c r="I865" s="1">
        <v>169000</v>
      </c>
      <c r="J865" s="1">
        <v>154000</v>
      </c>
      <c r="K865" s="1">
        <v>15000</v>
      </c>
      <c r="L865" s="1">
        <v>0</v>
      </c>
      <c r="M865" s="1" t="s">
        <v>34</v>
      </c>
      <c r="N865" s="1" t="s">
        <v>63</v>
      </c>
      <c r="O865" s="1" t="s">
        <v>64</v>
      </c>
      <c r="P865" s="1" t="s">
        <v>65</v>
      </c>
      <c r="Q865" s="1" t="s">
        <v>38</v>
      </c>
      <c r="R865" s="1" t="s">
        <v>1900</v>
      </c>
      <c r="S865" s="3">
        <v>918248000000</v>
      </c>
      <c r="T865" s="1" t="s">
        <v>40</v>
      </c>
      <c r="U865" s="1">
        <v>81</v>
      </c>
      <c r="V865" s="1">
        <v>64</v>
      </c>
      <c r="W865" s="1" t="s">
        <v>52</v>
      </c>
      <c r="X865" s="1">
        <v>576173</v>
      </c>
      <c r="Y865" s="2">
        <v>37951</v>
      </c>
      <c r="Z865" s="1">
        <v>6.1789737171464303</v>
      </c>
      <c r="AA865" s="1">
        <v>20</v>
      </c>
      <c r="AB865" s="1">
        <v>676000</v>
      </c>
      <c r="AC865" s="1">
        <f t="shared" si="13"/>
        <v>736000</v>
      </c>
    </row>
    <row r="866" spans="1:29" x14ac:dyDescent="0.25">
      <c r="A866" s="1" t="s">
        <v>1909</v>
      </c>
      <c r="B866" s="1" t="s">
        <v>1910</v>
      </c>
      <c r="C866" s="1" t="s">
        <v>1911</v>
      </c>
      <c r="D866" s="1">
        <v>2021</v>
      </c>
      <c r="E866" s="1" t="s">
        <v>45</v>
      </c>
      <c r="F866" s="1">
        <v>2</v>
      </c>
      <c r="G866" s="1" t="s">
        <v>46</v>
      </c>
      <c r="H866" s="1" t="s">
        <v>102</v>
      </c>
      <c r="I866" s="1">
        <v>92000</v>
      </c>
      <c r="J866" s="1">
        <v>77000</v>
      </c>
      <c r="K866" s="1">
        <v>15000</v>
      </c>
      <c r="L866" s="1">
        <v>0</v>
      </c>
      <c r="M866" s="1" t="s">
        <v>34</v>
      </c>
      <c r="N866" s="1" t="s">
        <v>63</v>
      </c>
      <c r="O866" s="1" t="s">
        <v>71</v>
      </c>
      <c r="P866" s="1" t="s">
        <v>72</v>
      </c>
      <c r="Q866" s="1" t="s">
        <v>38</v>
      </c>
      <c r="R866" s="1" t="s">
        <v>1912</v>
      </c>
      <c r="S866" s="3">
        <v>917210000000</v>
      </c>
      <c r="T866" s="1" t="s">
        <v>74</v>
      </c>
      <c r="U866" s="1">
        <v>81</v>
      </c>
      <c r="V866" s="1">
        <v>82</v>
      </c>
      <c r="W866" s="1" t="s">
        <v>52</v>
      </c>
      <c r="X866" s="1">
        <v>573438</v>
      </c>
      <c r="Y866" s="2">
        <v>36507</v>
      </c>
      <c r="Z866" s="1">
        <v>6.1789737171464303</v>
      </c>
      <c r="AA866" s="1">
        <v>24</v>
      </c>
      <c r="AB866" s="1">
        <v>184000</v>
      </c>
      <c r="AC866" s="1">
        <f t="shared" si="13"/>
        <v>214000</v>
      </c>
    </row>
    <row r="867" spans="1:29" x14ac:dyDescent="0.25">
      <c r="A867" s="1" t="s">
        <v>1921</v>
      </c>
      <c r="B867" s="1" t="s">
        <v>1922</v>
      </c>
      <c r="C867" s="1" t="s">
        <v>1923</v>
      </c>
      <c r="D867" s="1">
        <v>2021</v>
      </c>
      <c r="E867" s="1" t="s">
        <v>31</v>
      </c>
      <c r="F867" s="1">
        <v>4</v>
      </c>
      <c r="G867" s="1" t="s">
        <v>32</v>
      </c>
      <c r="H867" s="1" t="s">
        <v>62</v>
      </c>
      <c r="I867" s="1">
        <v>169000</v>
      </c>
      <c r="J867" s="1">
        <v>154000</v>
      </c>
      <c r="K867" s="1">
        <v>15000</v>
      </c>
      <c r="L867" s="1">
        <v>0</v>
      </c>
      <c r="M867" s="1" t="s">
        <v>34</v>
      </c>
      <c r="N867" s="1" t="s">
        <v>35</v>
      </c>
      <c r="O867" s="1" t="s">
        <v>78</v>
      </c>
      <c r="P867" s="1" t="s">
        <v>79</v>
      </c>
      <c r="Q867" s="1" t="s">
        <v>38</v>
      </c>
      <c r="R867" s="1" t="s">
        <v>1924</v>
      </c>
      <c r="S867" s="3">
        <v>918387000000</v>
      </c>
      <c r="T867" s="1" t="s">
        <v>51</v>
      </c>
      <c r="U867" s="1">
        <v>81</v>
      </c>
      <c r="V867" s="1">
        <v>80</v>
      </c>
      <c r="W867" s="1" t="s">
        <v>52</v>
      </c>
      <c r="X867" s="1">
        <v>504097</v>
      </c>
      <c r="Y867" s="2">
        <v>38651</v>
      </c>
      <c r="Z867" s="1">
        <v>6.1789737171464303</v>
      </c>
      <c r="AA867" s="1">
        <v>18</v>
      </c>
      <c r="AB867" s="1">
        <v>676000</v>
      </c>
      <c r="AC867" s="1">
        <f t="shared" si="13"/>
        <v>736000</v>
      </c>
    </row>
    <row r="868" spans="1:29" x14ac:dyDescent="0.25">
      <c r="A868" s="1" t="s">
        <v>1933</v>
      </c>
      <c r="B868" s="1" t="s">
        <v>1934</v>
      </c>
      <c r="C868" s="1" t="s">
        <v>1935</v>
      </c>
      <c r="D868" s="1">
        <v>2021</v>
      </c>
      <c r="E868" s="1" t="s">
        <v>45</v>
      </c>
      <c r="F868" s="1">
        <v>2</v>
      </c>
      <c r="G868" s="1" t="s">
        <v>46</v>
      </c>
      <c r="H868" s="1" t="s">
        <v>62</v>
      </c>
      <c r="I868" s="1">
        <v>92000</v>
      </c>
      <c r="J868" s="1">
        <v>77000</v>
      </c>
      <c r="K868" s="1">
        <v>15000</v>
      </c>
      <c r="L868" s="1">
        <v>0</v>
      </c>
      <c r="M868" s="1" t="s">
        <v>34</v>
      </c>
      <c r="N868" s="1" t="s">
        <v>63</v>
      </c>
      <c r="O868" s="1" t="s">
        <v>91</v>
      </c>
      <c r="P868" s="1" t="s">
        <v>92</v>
      </c>
      <c r="Q868" s="1" t="s">
        <v>38</v>
      </c>
      <c r="R868" s="1" t="s">
        <v>1936</v>
      </c>
      <c r="S868" s="3">
        <v>917409000000</v>
      </c>
      <c r="T868" s="1" t="s">
        <v>98</v>
      </c>
      <c r="U868" s="1">
        <v>81</v>
      </c>
      <c r="V868" s="1">
        <v>73</v>
      </c>
      <c r="W868" s="1" t="s">
        <v>52</v>
      </c>
      <c r="X868" s="1">
        <v>640223</v>
      </c>
      <c r="Y868" s="2">
        <v>37249</v>
      </c>
      <c r="Z868" s="1">
        <v>6.1789737171464303</v>
      </c>
      <c r="AA868" s="1">
        <v>22</v>
      </c>
      <c r="AB868" s="1">
        <v>184000</v>
      </c>
      <c r="AC868" s="1">
        <f t="shared" si="13"/>
        <v>214000</v>
      </c>
    </row>
    <row r="869" spans="1:29" x14ac:dyDescent="0.25">
      <c r="A869" s="1" t="s">
        <v>1945</v>
      </c>
      <c r="B869" s="1" t="s">
        <v>1571</v>
      </c>
      <c r="C869" s="1" t="s">
        <v>1572</v>
      </c>
      <c r="D869" s="1">
        <v>2021</v>
      </c>
      <c r="E869" s="1" t="s">
        <v>31</v>
      </c>
      <c r="F869" s="1">
        <v>4</v>
      </c>
      <c r="G869" s="1" t="s">
        <v>32</v>
      </c>
      <c r="H869" s="1" t="s">
        <v>90</v>
      </c>
      <c r="I869" s="1">
        <v>169000</v>
      </c>
      <c r="J869" s="1">
        <v>154000</v>
      </c>
      <c r="K869" s="1">
        <v>15000</v>
      </c>
      <c r="L869" s="1">
        <v>0</v>
      </c>
      <c r="M869" s="1" t="s">
        <v>34</v>
      </c>
      <c r="N869" s="1" t="s">
        <v>63</v>
      </c>
      <c r="O869" s="1" t="s">
        <v>188</v>
      </c>
      <c r="P869" s="1" t="s">
        <v>189</v>
      </c>
      <c r="Q869" s="1" t="s">
        <v>38</v>
      </c>
      <c r="R869" s="1" t="s">
        <v>1946</v>
      </c>
      <c r="S869" s="3">
        <v>917608000000</v>
      </c>
      <c r="T869" s="1" t="s">
        <v>86</v>
      </c>
      <c r="U869" s="1">
        <v>81</v>
      </c>
      <c r="V869" s="1">
        <v>76</v>
      </c>
      <c r="W869" s="1" t="s">
        <v>52</v>
      </c>
      <c r="X869" s="1">
        <v>447155</v>
      </c>
      <c r="Y869" s="2">
        <v>37963</v>
      </c>
      <c r="Z869" s="1">
        <v>6.1789737171464303</v>
      </c>
      <c r="AA869" s="1">
        <v>20</v>
      </c>
      <c r="AB869" s="1">
        <v>676000</v>
      </c>
      <c r="AC869" s="1">
        <f t="shared" si="13"/>
        <v>736000</v>
      </c>
    </row>
    <row r="870" spans="1:29" x14ac:dyDescent="0.25">
      <c r="A870" s="1" t="s">
        <v>1959</v>
      </c>
      <c r="B870" s="1" t="s">
        <v>1960</v>
      </c>
      <c r="C870" s="1" t="s">
        <v>1961</v>
      </c>
      <c r="D870" s="1">
        <v>2021</v>
      </c>
      <c r="E870" s="1" t="s">
        <v>31</v>
      </c>
      <c r="F870" s="1">
        <v>4</v>
      </c>
      <c r="G870" s="1" t="s">
        <v>32</v>
      </c>
      <c r="H870" s="1" t="s">
        <v>210</v>
      </c>
      <c r="I870" s="1">
        <v>169000</v>
      </c>
      <c r="J870" s="1">
        <v>154000</v>
      </c>
      <c r="K870" s="1">
        <v>15000</v>
      </c>
      <c r="L870" s="1">
        <v>0</v>
      </c>
      <c r="M870" s="1" t="s">
        <v>34</v>
      </c>
      <c r="N870" s="1" t="s">
        <v>35</v>
      </c>
      <c r="O870" s="1" t="s">
        <v>57</v>
      </c>
      <c r="P870" s="1" t="s">
        <v>57</v>
      </c>
      <c r="Q870" s="1" t="s">
        <v>38</v>
      </c>
      <c r="R870" s="1" t="s">
        <v>1962</v>
      </c>
      <c r="S870" s="3">
        <v>917868000000</v>
      </c>
      <c r="T870" s="1" t="s">
        <v>40</v>
      </c>
      <c r="U870" s="1">
        <v>81</v>
      </c>
      <c r="V870" s="1">
        <v>62</v>
      </c>
      <c r="W870" s="1" t="s">
        <v>41</v>
      </c>
      <c r="X870" s="1">
        <v>345330</v>
      </c>
      <c r="Y870" s="2">
        <v>38571</v>
      </c>
      <c r="Z870" s="1">
        <v>6.1789737171464303</v>
      </c>
      <c r="AA870" s="1">
        <v>18</v>
      </c>
      <c r="AB870" s="1">
        <v>676000</v>
      </c>
      <c r="AC870" s="1">
        <f t="shared" si="13"/>
        <v>736000</v>
      </c>
    </row>
    <row r="871" spans="1:29" x14ac:dyDescent="0.25">
      <c r="A871" s="1" t="s">
        <v>1963</v>
      </c>
      <c r="B871" s="1" t="s">
        <v>1964</v>
      </c>
      <c r="C871" s="1" t="s">
        <v>1965</v>
      </c>
      <c r="D871" s="1">
        <v>2021</v>
      </c>
      <c r="E871" s="1" t="s">
        <v>31</v>
      </c>
      <c r="F871" s="1">
        <v>4</v>
      </c>
      <c r="G871" s="1" t="s">
        <v>32</v>
      </c>
      <c r="H871" s="1" t="s">
        <v>113</v>
      </c>
      <c r="I871" s="1">
        <v>169000</v>
      </c>
      <c r="J871" s="1">
        <v>154000</v>
      </c>
      <c r="K871" s="1">
        <v>15000</v>
      </c>
      <c r="L871" s="1">
        <v>0</v>
      </c>
      <c r="M871" s="1" t="s">
        <v>34</v>
      </c>
      <c r="N871" s="1" t="s">
        <v>35</v>
      </c>
      <c r="O871" s="1" t="s">
        <v>57</v>
      </c>
      <c r="P871" s="1" t="s">
        <v>57</v>
      </c>
      <c r="Q871" s="1" t="s">
        <v>38</v>
      </c>
      <c r="R871" s="1" t="s">
        <v>1966</v>
      </c>
      <c r="S871" s="3">
        <v>917935000000</v>
      </c>
      <c r="T871" s="1" t="s">
        <v>40</v>
      </c>
      <c r="U871" s="1">
        <v>80</v>
      </c>
      <c r="V871" s="1">
        <v>69</v>
      </c>
      <c r="W871" s="1" t="s">
        <v>41</v>
      </c>
      <c r="X871" s="1">
        <v>449234</v>
      </c>
      <c r="Y871" s="2">
        <v>38105</v>
      </c>
      <c r="Z871" s="1">
        <v>5.1789737171464303</v>
      </c>
      <c r="AA871" s="1">
        <v>20</v>
      </c>
      <c r="AB871" s="1">
        <v>676000</v>
      </c>
      <c r="AC871" s="1">
        <f t="shared" si="13"/>
        <v>736000</v>
      </c>
    </row>
    <row r="872" spans="1:29" x14ac:dyDescent="0.25">
      <c r="A872" s="1" t="s">
        <v>1975</v>
      </c>
      <c r="B872" s="1" t="s">
        <v>1153</v>
      </c>
      <c r="C872" s="1" t="s">
        <v>1154</v>
      </c>
      <c r="D872" s="1">
        <v>2021</v>
      </c>
      <c r="E872" s="1" t="s">
        <v>45</v>
      </c>
      <c r="F872" s="1">
        <v>2</v>
      </c>
      <c r="G872" s="1" t="s">
        <v>46</v>
      </c>
      <c r="H872" s="1" t="s">
        <v>47</v>
      </c>
      <c r="I872" s="1">
        <v>92000</v>
      </c>
      <c r="J872" s="1">
        <v>77000</v>
      </c>
      <c r="K872" s="1">
        <v>15000</v>
      </c>
      <c r="L872" s="1">
        <v>0</v>
      </c>
      <c r="M872" s="1" t="s">
        <v>34</v>
      </c>
      <c r="N872" s="1" t="s">
        <v>35</v>
      </c>
      <c r="O872" s="1" t="s">
        <v>91</v>
      </c>
      <c r="P872" s="1" t="s">
        <v>92</v>
      </c>
      <c r="Q872" s="1" t="s">
        <v>38</v>
      </c>
      <c r="R872" s="1" t="s">
        <v>1976</v>
      </c>
      <c r="S872" s="3">
        <v>919941000000</v>
      </c>
      <c r="T872" s="1" t="s">
        <v>86</v>
      </c>
      <c r="U872" s="1">
        <v>80</v>
      </c>
      <c r="V872" s="1">
        <v>66</v>
      </c>
      <c r="W872" s="1" t="s">
        <v>52</v>
      </c>
      <c r="X872" s="1">
        <v>115448</v>
      </c>
      <c r="Y872" s="2">
        <v>35420</v>
      </c>
      <c r="Z872" s="1">
        <v>5.1789737171464303</v>
      </c>
      <c r="AA872" s="1">
        <v>27</v>
      </c>
      <c r="AB872" s="1">
        <v>184000</v>
      </c>
      <c r="AC872" s="1">
        <f t="shared" si="13"/>
        <v>214000</v>
      </c>
    </row>
    <row r="873" spans="1:29" x14ac:dyDescent="0.25">
      <c r="A873" s="1" t="s">
        <v>2065</v>
      </c>
      <c r="B873" s="1" t="s">
        <v>2066</v>
      </c>
      <c r="C873" s="1" t="s">
        <v>2067</v>
      </c>
      <c r="D873" s="1">
        <v>2021</v>
      </c>
      <c r="E873" s="1" t="s">
        <v>31</v>
      </c>
      <c r="F873" s="1">
        <v>4</v>
      </c>
      <c r="G873" s="1" t="s">
        <v>32</v>
      </c>
      <c r="H873" s="1" t="s">
        <v>151</v>
      </c>
      <c r="I873" s="1">
        <v>169000</v>
      </c>
      <c r="J873" s="1">
        <v>154000</v>
      </c>
      <c r="K873" s="1">
        <v>15000</v>
      </c>
      <c r="L873" s="1">
        <v>0</v>
      </c>
      <c r="M873" s="1" t="s">
        <v>34</v>
      </c>
      <c r="N873" s="1" t="s">
        <v>70</v>
      </c>
      <c r="O873" s="1" t="s">
        <v>57</v>
      </c>
      <c r="P873" s="1" t="s">
        <v>57</v>
      </c>
      <c r="Q873" s="1" t="s">
        <v>38</v>
      </c>
      <c r="R873" s="1" t="s">
        <v>2068</v>
      </c>
      <c r="S873" s="3">
        <v>917134000000</v>
      </c>
      <c r="T873" s="1" t="s">
        <v>74</v>
      </c>
      <c r="U873" s="1">
        <v>80</v>
      </c>
      <c r="V873" s="1">
        <v>81</v>
      </c>
      <c r="W873" s="1" t="s">
        <v>41</v>
      </c>
      <c r="X873" s="1">
        <v>110280</v>
      </c>
      <c r="Y873" s="2">
        <v>38476</v>
      </c>
      <c r="Z873" s="1">
        <v>5.1789737171464303</v>
      </c>
      <c r="AA873" s="1">
        <v>19</v>
      </c>
      <c r="AB873" s="1">
        <v>676000</v>
      </c>
      <c r="AC873" s="1">
        <f t="shared" si="13"/>
        <v>736000</v>
      </c>
    </row>
    <row r="874" spans="1:29" x14ac:dyDescent="0.25">
      <c r="A874" s="1" t="s">
        <v>2141</v>
      </c>
      <c r="B874" s="1" t="s">
        <v>2142</v>
      </c>
      <c r="C874" s="1" t="s">
        <v>2143</v>
      </c>
      <c r="D874" s="1">
        <v>2021</v>
      </c>
      <c r="E874" s="1" t="s">
        <v>45</v>
      </c>
      <c r="F874" s="1">
        <v>2</v>
      </c>
      <c r="G874" s="1" t="s">
        <v>46</v>
      </c>
      <c r="H874" s="1" t="s">
        <v>113</v>
      </c>
      <c r="I874" s="1">
        <v>92000</v>
      </c>
      <c r="J874" s="1">
        <v>77000</v>
      </c>
      <c r="K874" s="1">
        <v>15000</v>
      </c>
      <c r="L874" s="1">
        <v>0</v>
      </c>
      <c r="M874" s="1" t="s">
        <v>34</v>
      </c>
      <c r="N874" s="1" t="s">
        <v>63</v>
      </c>
      <c r="O874" s="1" t="s">
        <v>57</v>
      </c>
      <c r="P874" s="1" t="s">
        <v>57</v>
      </c>
      <c r="Q874" s="1" t="s">
        <v>38</v>
      </c>
      <c r="R874" s="1" t="s">
        <v>2144</v>
      </c>
      <c r="S874" s="3">
        <v>918081000000</v>
      </c>
      <c r="T874" s="1" t="s">
        <v>51</v>
      </c>
      <c r="U874" s="1">
        <v>80</v>
      </c>
      <c r="V874" s="1">
        <v>89</v>
      </c>
      <c r="W874" s="1" t="s">
        <v>41</v>
      </c>
      <c r="X874" s="1">
        <v>780498</v>
      </c>
      <c r="Y874" s="2">
        <v>35816</v>
      </c>
      <c r="Z874" s="1">
        <v>5.1789737171464303</v>
      </c>
      <c r="AA874" s="1">
        <v>26</v>
      </c>
      <c r="AB874" s="1">
        <v>184000</v>
      </c>
      <c r="AC874" s="1">
        <f t="shared" si="13"/>
        <v>214000</v>
      </c>
    </row>
    <row r="875" spans="1:29" x14ac:dyDescent="0.25">
      <c r="A875" s="1" t="s">
        <v>2153</v>
      </c>
      <c r="B875" s="1" t="s">
        <v>2154</v>
      </c>
      <c r="C875" s="1" t="s">
        <v>2155</v>
      </c>
      <c r="D875" s="1">
        <v>2021</v>
      </c>
      <c r="E875" s="1" t="s">
        <v>31</v>
      </c>
      <c r="F875" s="1">
        <v>4</v>
      </c>
      <c r="G875" s="1" t="s">
        <v>32</v>
      </c>
      <c r="H875" s="1" t="s">
        <v>56</v>
      </c>
      <c r="I875" s="1">
        <v>169000</v>
      </c>
      <c r="J875" s="1">
        <v>154000</v>
      </c>
      <c r="K875" s="1">
        <v>15000</v>
      </c>
      <c r="L875" s="1">
        <v>0</v>
      </c>
      <c r="M875" s="1" t="s">
        <v>34</v>
      </c>
      <c r="N875" s="1" t="s">
        <v>70</v>
      </c>
      <c r="O875" s="1" t="s">
        <v>71</v>
      </c>
      <c r="P875" s="1" t="s">
        <v>72</v>
      </c>
      <c r="Q875" s="1" t="s">
        <v>38</v>
      </c>
      <c r="R875" s="1" t="s">
        <v>2156</v>
      </c>
      <c r="S875" s="3">
        <v>917991000000</v>
      </c>
      <c r="T875" s="1" t="s">
        <v>98</v>
      </c>
      <c r="U875" s="1">
        <v>79</v>
      </c>
      <c r="V875" s="1">
        <v>73</v>
      </c>
      <c r="W875" s="1" t="s">
        <v>41</v>
      </c>
      <c r="X875" s="1">
        <v>449203</v>
      </c>
      <c r="Y875" s="2">
        <v>38097</v>
      </c>
      <c r="Z875" s="1">
        <v>4.1789737171464303</v>
      </c>
      <c r="AA875" s="1">
        <v>20</v>
      </c>
      <c r="AB875" s="1">
        <v>676000</v>
      </c>
      <c r="AC875" s="1">
        <f t="shared" si="13"/>
        <v>736000</v>
      </c>
    </row>
    <row r="876" spans="1:29" x14ac:dyDescent="0.25">
      <c r="A876" s="1" t="s">
        <v>2173</v>
      </c>
      <c r="B876" s="1" t="s">
        <v>2174</v>
      </c>
      <c r="C876" s="1" t="s">
        <v>2175</v>
      </c>
      <c r="D876" s="1">
        <v>2021</v>
      </c>
      <c r="E876" s="1" t="s">
        <v>31</v>
      </c>
      <c r="F876" s="1">
        <v>4</v>
      </c>
      <c r="G876" s="1" t="s">
        <v>32</v>
      </c>
      <c r="H876" s="1" t="s">
        <v>90</v>
      </c>
      <c r="I876" s="1">
        <v>169000</v>
      </c>
      <c r="J876" s="1">
        <v>154000</v>
      </c>
      <c r="K876" s="1">
        <v>15000</v>
      </c>
      <c r="L876" s="1">
        <v>0</v>
      </c>
      <c r="M876" s="1" t="s">
        <v>34</v>
      </c>
      <c r="N876" s="1" t="s">
        <v>63</v>
      </c>
      <c r="O876" s="1" t="s">
        <v>36</v>
      </c>
      <c r="P876" s="1" t="s">
        <v>37</v>
      </c>
      <c r="Q876" s="1" t="s">
        <v>38</v>
      </c>
      <c r="R876" s="1" t="s">
        <v>2176</v>
      </c>
      <c r="S876" s="3">
        <v>918786000000</v>
      </c>
      <c r="T876" s="1" t="s">
        <v>40</v>
      </c>
      <c r="U876" s="1">
        <v>79</v>
      </c>
      <c r="V876" s="1">
        <v>64</v>
      </c>
      <c r="W876" s="1" t="s">
        <v>52</v>
      </c>
      <c r="X876" s="1">
        <v>555392</v>
      </c>
      <c r="Y876" s="2">
        <v>38054</v>
      </c>
      <c r="Z876" s="1">
        <v>4.1789737171464303</v>
      </c>
      <c r="AA876" s="1">
        <v>20</v>
      </c>
      <c r="AB876" s="1">
        <v>676000</v>
      </c>
      <c r="AC876" s="1">
        <f t="shared" si="13"/>
        <v>736000</v>
      </c>
    </row>
    <row r="877" spans="1:29" x14ac:dyDescent="0.25">
      <c r="A877" s="1" t="s">
        <v>2177</v>
      </c>
      <c r="B877" s="1" t="s">
        <v>2178</v>
      </c>
      <c r="C877" s="1" t="s">
        <v>2179</v>
      </c>
      <c r="D877" s="1">
        <v>2021</v>
      </c>
      <c r="E877" s="1" t="s">
        <v>31</v>
      </c>
      <c r="F877" s="1">
        <v>4</v>
      </c>
      <c r="G877" s="1" t="s">
        <v>32</v>
      </c>
      <c r="H877" s="1" t="s">
        <v>56</v>
      </c>
      <c r="I877" s="1">
        <v>169000</v>
      </c>
      <c r="J877" s="1">
        <v>154000</v>
      </c>
      <c r="K877" s="1">
        <v>15000</v>
      </c>
      <c r="L877" s="1">
        <v>0</v>
      </c>
      <c r="M877" s="1" t="s">
        <v>34</v>
      </c>
      <c r="N877" s="1" t="s">
        <v>35</v>
      </c>
      <c r="O877" s="1" t="s">
        <v>57</v>
      </c>
      <c r="P877" s="1" t="s">
        <v>57</v>
      </c>
      <c r="Q877" s="1" t="s">
        <v>38</v>
      </c>
      <c r="R877" s="1" t="s">
        <v>2180</v>
      </c>
      <c r="S877" s="3">
        <v>917078000000</v>
      </c>
      <c r="T877" s="1" t="s">
        <v>40</v>
      </c>
      <c r="U877" s="1">
        <v>79</v>
      </c>
      <c r="V877" s="1">
        <v>82</v>
      </c>
      <c r="W877" s="1" t="s">
        <v>41</v>
      </c>
      <c r="X877" s="1">
        <v>302636</v>
      </c>
      <c r="Y877" s="2">
        <v>38630</v>
      </c>
      <c r="Z877" s="1">
        <v>4.1789737171464303</v>
      </c>
      <c r="AA877" s="1">
        <v>18</v>
      </c>
      <c r="AB877" s="1">
        <v>676000</v>
      </c>
      <c r="AC877" s="1">
        <f t="shared" si="13"/>
        <v>736000</v>
      </c>
    </row>
    <row r="878" spans="1:29" x14ac:dyDescent="0.25">
      <c r="A878" s="1" t="s">
        <v>2211</v>
      </c>
      <c r="B878" s="1" t="s">
        <v>2212</v>
      </c>
      <c r="C878" s="1" t="s">
        <v>2213</v>
      </c>
      <c r="D878" s="1">
        <v>2021</v>
      </c>
      <c r="E878" s="1" t="s">
        <v>31</v>
      </c>
      <c r="F878" s="1">
        <v>4</v>
      </c>
      <c r="G878" s="1" t="s">
        <v>32</v>
      </c>
      <c r="H878" s="1" t="s">
        <v>102</v>
      </c>
      <c r="I878" s="1">
        <v>169000</v>
      </c>
      <c r="J878" s="1">
        <v>154000</v>
      </c>
      <c r="K878" s="1">
        <v>15000</v>
      </c>
      <c r="L878" s="1">
        <v>0</v>
      </c>
      <c r="M878" s="1" t="s">
        <v>34</v>
      </c>
      <c r="N878" s="1" t="s">
        <v>70</v>
      </c>
      <c r="O878" s="1" t="s">
        <v>78</v>
      </c>
      <c r="P878" s="1" t="s">
        <v>79</v>
      </c>
      <c r="Q878" s="1" t="s">
        <v>38</v>
      </c>
      <c r="R878" s="1" t="s">
        <v>2214</v>
      </c>
      <c r="S878" s="3">
        <v>917028000000</v>
      </c>
      <c r="T878" s="1" t="s">
        <v>40</v>
      </c>
      <c r="U878" s="1">
        <v>79</v>
      </c>
      <c r="V878" s="1">
        <v>64</v>
      </c>
      <c r="W878" s="1" t="s">
        <v>52</v>
      </c>
      <c r="X878" s="1">
        <v>365849</v>
      </c>
      <c r="Y878" s="2">
        <v>38366</v>
      </c>
      <c r="Z878" s="1">
        <v>4.1789737171464303</v>
      </c>
      <c r="AA878" s="1">
        <v>19</v>
      </c>
      <c r="AB878" s="1">
        <v>676000</v>
      </c>
      <c r="AC878" s="1">
        <f t="shared" si="13"/>
        <v>736000</v>
      </c>
    </row>
    <row r="879" spans="1:29" x14ac:dyDescent="0.25">
      <c r="A879" s="1" t="s">
        <v>2237</v>
      </c>
      <c r="B879" s="1" t="s">
        <v>2238</v>
      </c>
      <c r="C879" s="1" t="s">
        <v>2239</v>
      </c>
      <c r="D879" s="1">
        <v>2021</v>
      </c>
      <c r="E879" s="1" t="s">
        <v>31</v>
      </c>
      <c r="F879" s="1">
        <v>4</v>
      </c>
      <c r="G879" s="1" t="s">
        <v>32</v>
      </c>
      <c r="H879" s="1" t="s">
        <v>56</v>
      </c>
      <c r="I879" s="1">
        <v>169000</v>
      </c>
      <c r="J879" s="1">
        <v>154000</v>
      </c>
      <c r="K879" s="1">
        <v>15000</v>
      </c>
      <c r="L879" s="1">
        <v>0</v>
      </c>
      <c r="M879" s="1" t="s">
        <v>34</v>
      </c>
      <c r="N879" s="1" t="s">
        <v>35</v>
      </c>
      <c r="O879" s="1" t="s">
        <v>57</v>
      </c>
      <c r="P879" s="1" t="s">
        <v>57</v>
      </c>
      <c r="Q879" s="1" t="s">
        <v>38</v>
      </c>
      <c r="R879" s="1" t="s">
        <v>2240</v>
      </c>
      <c r="S879" s="3">
        <v>919272000000</v>
      </c>
      <c r="T879" s="1" t="s">
        <v>51</v>
      </c>
      <c r="U879" s="1">
        <v>79</v>
      </c>
      <c r="V879" s="1">
        <v>67</v>
      </c>
      <c r="W879" s="1" t="s">
        <v>52</v>
      </c>
      <c r="X879" s="1">
        <v>260840</v>
      </c>
      <c r="Y879" s="2">
        <v>37476</v>
      </c>
      <c r="Z879" s="1">
        <v>4.1789737171464303</v>
      </c>
      <c r="AA879" s="1">
        <v>21</v>
      </c>
      <c r="AB879" s="1">
        <v>676000</v>
      </c>
      <c r="AC879" s="1">
        <f t="shared" si="13"/>
        <v>736000</v>
      </c>
    </row>
    <row r="880" spans="1:29" x14ac:dyDescent="0.25">
      <c r="A880" s="1" t="s">
        <v>2245</v>
      </c>
      <c r="B880" s="1" t="s">
        <v>2246</v>
      </c>
      <c r="C880" s="1" t="s">
        <v>2247</v>
      </c>
      <c r="D880" s="1">
        <v>2021</v>
      </c>
      <c r="E880" s="1" t="s">
        <v>31</v>
      </c>
      <c r="F880" s="1">
        <v>4</v>
      </c>
      <c r="G880" s="1" t="s">
        <v>32</v>
      </c>
      <c r="H880" s="1" t="s">
        <v>122</v>
      </c>
      <c r="I880" s="1">
        <v>169000</v>
      </c>
      <c r="J880" s="1">
        <v>154000</v>
      </c>
      <c r="K880" s="1">
        <v>15000</v>
      </c>
      <c r="L880" s="1">
        <v>0</v>
      </c>
      <c r="M880" s="1" t="s">
        <v>34</v>
      </c>
      <c r="N880" s="1" t="s">
        <v>35</v>
      </c>
      <c r="O880" s="1" t="s">
        <v>91</v>
      </c>
      <c r="P880" s="1" t="s">
        <v>92</v>
      </c>
      <c r="Q880" s="1" t="s">
        <v>38</v>
      </c>
      <c r="R880" s="1" t="s">
        <v>2248</v>
      </c>
      <c r="S880" s="3">
        <v>919613000000</v>
      </c>
      <c r="T880" s="1" t="s">
        <v>98</v>
      </c>
      <c r="U880" s="1">
        <v>79</v>
      </c>
      <c r="V880" s="1">
        <v>91</v>
      </c>
      <c r="W880" s="1" t="s">
        <v>52</v>
      </c>
      <c r="X880" s="1">
        <v>682054</v>
      </c>
      <c r="Y880" s="2">
        <v>38003</v>
      </c>
      <c r="Z880" s="1">
        <v>4.1789737171464303</v>
      </c>
      <c r="AA880" s="1">
        <v>20</v>
      </c>
      <c r="AB880" s="1">
        <v>676000</v>
      </c>
      <c r="AC880" s="1">
        <f t="shared" si="13"/>
        <v>736000</v>
      </c>
    </row>
    <row r="881" spans="1:29" x14ac:dyDescent="0.25">
      <c r="A881" s="1" t="s">
        <v>2253</v>
      </c>
      <c r="B881" s="1" t="s">
        <v>2254</v>
      </c>
      <c r="C881" s="1" t="s">
        <v>2255</v>
      </c>
      <c r="D881" s="1">
        <v>2021</v>
      </c>
      <c r="E881" s="1" t="s">
        <v>31</v>
      </c>
      <c r="F881" s="1">
        <v>4</v>
      </c>
      <c r="G881" s="1" t="s">
        <v>32</v>
      </c>
      <c r="H881" s="1" t="s">
        <v>122</v>
      </c>
      <c r="I881" s="1">
        <v>169000</v>
      </c>
      <c r="J881" s="1">
        <v>154000</v>
      </c>
      <c r="K881" s="1">
        <v>15000</v>
      </c>
      <c r="L881" s="1">
        <v>0</v>
      </c>
      <c r="M881" s="1" t="s">
        <v>34</v>
      </c>
      <c r="N881" s="1" t="s">
        <v>35</v>
      </c>
      <c r="O881" s="1" t="s">
        <v>84</v>
      </c>
      <c r="P881" s="1" t="s">
        <v>65</v>
      </c>
      <c r="Q881" s="1" t="s">
        <v>38</v>
      </c>
      <c r="R881" s="1" t="s">
        <v>2256</v>
      </c>
      <c r="S881" s="3">
        <v>918137000000</v>
      </c>
      <c r="T881" s="1" t="s">
        <v>98</v>
      </c>
      <c r="U881" s="1">
        <v>79</v>
      </c>
      <c r="V881" s="1">
        <v>73</v>
      </c>
      <c r="W881" s="1" t="s">
        <v>52</v>
      </c>
      <c r="X881" s="1">
        <v>444053</v>
      </c>
      <c r="Y881" s="2">
        <v>38323</v>
      </c>
      <c r="Z881" s="1">
        <v>4.1789737171464303</v>
      </c>
      <c r="AA881" s="1">
        <v>19</v>
      </c>
      <c r="AB881" s="1">
        <v>676000</v>
      </c>
      <c r="AC881" s="1">
        <f t="shared" si="13"/>
        <v>736000</v>
      </c>
    </row>
    <row r="882" spans="1:29" x14ac:dyDescent="0.25">
      <c r="A882" s="1" t="s">
        <v>2261</v>
      </c>
      <c r="B882" s="1" t="s">
        <v>1035</v>
      </c>
      <c r="C882" s="1" t="s">
        <v>1036</v>
      </c>
      <c r="D882" s="1">
        <v>2021</v>
      </c>
      <c r="E882" s="1" t="s">
        <v>31</v>
      </c>
      <c r="F882" s="1">
        <v>4</v>
      </c>
      <c r="G882" s="1" t="s">
        <v>32</v>
      </c>
      <c r="H882" s="1" t="s">
        <v>47</v>
      </c>
      <c r="I882" s="1">
        <v>169000</v>
      </c>
      <c r="J882" s="1">
        <v>154000</v>
      </c>
      <c r="K882" s="1">
        <v>15000</v>
      </c>
      <c r="L882" s="1">
        <v>0</v>
      </c>
      <c r="M882" s="1" t="s">
        <v>34</v>
      </c>
      <c r="N882" s="1" t="s">
        <v>63</v>
      </c>
      <c r="O882" s="1" t="s">
        <v>84</v>
      </c>
      <c r="P882" s="1" t="s">
        <v>65</v>
      </c>
      <c r="Q882" s="1" t="s">
        <v>38</v>
      </c>
      <c r="R882" s="1" t="s">
        <v>2262</v>
      </c>
      <c r="S882" s="3">
        <v>919688000000</v>
      </c>
      <c r="T882" s="1" t="s">
        <v>98</v>
      </c>
      <c r="U882" s="1">
        <v>79</v>
      </c>
      <c r="V882" s="1">
        <v>69</v>
      </c>
      <c r="W882" s="1" t="s">
        <v>41</v>
      </c>
      <c r="X882" s="1">
        <v>443723</v>
      </c>
      <c r="Y882" s="2">
        <v>38583</v>
      </c>
      <c r="Z882" s="1">
        <v>4.1789737171464303</v>
      </c>
      <c r="AA882" s="1">
        <v>18</v>
      </c>
      <c r="AB882" s="1">
        <v>676000</v>
      </c>
      <c r="AC882" s="1">
        <f t="shared" si="13"/>
        <v>736000</v>
      </c>
    </row>
    <row r="883" spans="1:29" x14ac:dyDescent="0.25">
      <c r="A883" s="1" t="s">
        <v>2271</v>
      </c>
      <c r="B883" s="1" t="s">
        <v>2272</v>
      </c>
      <c r="C883" s="1" t="s">
        <v>2273</v>
      </c>
      <c r="D883" s="1">
        <v>2021</v>
      </c>
      <c r="E883" s="1" t="s">
        <v>31</v>
      </c>
      <c r="F883" s="1">
        <v>4</v>
      </c>
      <c r="G883" s="1" t="s">
        <v>32</v>
      </c>
      <c r="H883" s="1" t="s">
        <v>113</v>
      </c>
      <c r="I883" s="1">
        <v>169000</v>
      </c>
      <c r="J883" s="1">
        <v>154000</v>
      </c>
      <c r="K883" s="1">
        <v>15000</v>
      </c>
      <c r="L883" s="1">
        <v>0</v>
      </c>
      <c r="M883" s="1" t="s">
        <v>34</v>
      </c>
      <c r="N883" s="1" t="s">
        <v>35</v>
      </c>
      <c r="O883" s="1" t="s">
        <v>48</v>
      </c>
      <c r="P883" s="1" t="s">
        <v>49</v>
      </c>
      <c r="Q883" s="1" t="s">
        <v>38</v>
      </c>
      <c r="R883" s="1" t="s">
        <v>2274</v>
      </c>
      <c r="S883" s="3">
        <v>919632000000</v>
      </c>
      <c r="T883" s="1" t="s">
        <v>86</v>
      </c>
      <c r="U883" s="1">
        <v>79</v>
      </c>
      <c r="V883" s="1">
        <v>85</v>
      </c>
      <c r="W883" s="1" t="s">
        <v>52</v>
      </c>
      <c r="X883" s="1">
        <v>644660</v>
      </c>
      <c r="Y883" s="2">
        <v>37883</v>
      </c>
      <c r="Z883" s="1">
        <v>4.1789737171464303</v>
      </c>
      <c r="AA883" s="1">
        <v>20</v>
      </c>
      <c r="AB883" s="1">
        <v>676000</v>
      </c>
      <c r="AC883" s="1">
        <f t="shared" si="13"/>
        <v>736000</v>
      </c>
    </row>
    <row r="884" spans="1:29" x14ac:dyDescent="0.25">
      <c r="A884" s="1" t="s">
        <v>2305</v>
      </c>
      <c r="B884" s="1" t="s">
        <v>2306</v>
      </c>
      <c r="C884" s="1" t="s">
        <v>2307</v>
      </c>
      <c r="D884" s="1">
        <v>2021</v>
      </c>
      <c r="E884" s="1" t="s">
        <v>31</v>
      </c>
      <c r="F884" s="1">
        <v>4</v>
      </c>
      <c r="G884" s="1" t="s">
        <v>32</v>
      </c>
      <c r="H884" s="1" t="s">
        <v>210</v>
      </c>
      <c r="I884" s="1">
        <v>169000</v>
      </c>
      <c r="J884" s="1">
        <v>154000</v>
      </c>
      <c r="K884" s="1">
        <v>15000</v>
      </c>
      <c r="L884" s="1">
        <v>0</v>
      </c>
      <c r="M884" s="1" t="s">
        <v>34</v>
      </c>
      <c r="N884" s="1" t="s">
        <v>63</v>
      </c>
      <c r="O884" s="1" t="s">
        <v>48</v>
      </c>
      <c r="P884" s="1" t="s">
        <v>49</v>
      </c>
      <c r="Q884" s="1" t="s">
        <v>38</v>
      </c>
      <c r="R884" s="1" t="s">
        <v>2308</v>
      </c>
      <c r="S884" s="3">
        <v>919530000000</v>
      </c>
      <c r="T884" s="1" t="s">
        <v>86</v>
      </c>
      <c r="U884" s="1">
        <v>79</v>
      </c>
      <c r="V884" s="1">
        <v>71</v>
      </c>
      <c r="W884" s="1" t="s">
        <v>41</v>
      </c>
      <c r="X884" s="1">
        <v>418199</v>
      </c>
      <c r="Y884" s="2">
        <v>37697</v>
      </c>
      <c r="Z884" s="1">
        <v>4.1789737171464303</v>
      </c>
      <c r="AA884" s="1">
        <v>21</v>
      </c>
      <c r="AB884" s="1">
        <v>676000</v>
      </c>
      <c r="AC884" s="1">
        <f t="shared" si="13"/>
        <v>736000</v>
      </c>
    </row>
    <row r="885" spans="1:29" x14ac:dyDescent="0.25">
      <c r="A885" s="1" t="s">
        <v>2329</v>
      </c>
      <c r="B885" s="1" t="s">
        <v>2330</v>
      </c>
      <c r="C885" s="1" t="s">
        <v>2331</v>
      </c>
      <c r="D885" s="1">
        <v>2021</v>
      </c>
      <c r="E885" s="1" t="s">
        <v>31</v>
      </c>
      <c r="F885" s="1">
        <v>4</v>
      </c>
      <c r="G885" s="1" t="s">
        <v>32</v>
      </c>
      <c r="H885" s="1" t="s">
        <v>113</v>
      </c>
      <c r="I885" s="1">
        <v>169000</v>
      </c>
      <c r="J885" s="1">
        <v>154000</v>
      </c>
      <c r="K885" s="1">
        <v>15000</v>
      </c>
      <c r="L885" s="1">
        <v>0</v>
      </c>
      <c r="M885" s="1" t="s">
        <v>34</v>
      </c>
      <c r="N885" s="1" t="s">
        <v>63</v>
      </c>
      <c r="O885" s="1" t="s">
        <v>36</v>
      </c>
      <c r="P885" s="1" t="s">
        <v>37</v>
      </c>
      <c r="Q885" s="1" t="s">
        <v>38</v>
      </c>
      <c r="R885" s="1" t="s">
        <v>2332</v>
      </c>
      <c r="S885" s="3">
        <v>918487000000</v>
      </c>
      <c r="T885" s="1" t="s">
        <v>98</v>
      </c>
      <c r="U885" s="1">
        <v>79</v>
      </c>
      <c r="V885" s="1">
        <v>80</v>
      </c>
      <c r="W885" s="1" t="s">
        <v>41</v>
      </c>
      <c r="X885" s="1">
        <v>156900</v>
      </c>
      <c r="Y885" s="2">
        <v>36721</v>
      </c>
      <c r="Z885" s="1">
        <v>4.1789737171464303</v>
      </c>
      <c r="AA885" s="1">
        <v>23</v>
      </c>
      <c r="AB885" s="1">
        <v>676000</v>
      </c>
      <c r="AC885" s="1">
        <f t="shared" si="13"/>
        <v>736000</v>
      </c>
    </row>
    <row r="886" spans="1:29" x14ac:dyDescent="0.25">
      <c r="A886" s="1" t="s">
        <v>2357</v>
      </c>
      <c r="B886" s="1" t="s">
        <v>2358</v>
      </c>
      <c r="C886" s="1" t="s">
        <v>2359</v>
      </c>
      <c r="D886" s="1">
        <v>2021</v>
      </c>
      <c r="E886" s="1" t="s">
        <v>31</v>
      </c>
      <c r="F886" s="1">
        <v>4</v>
      </c>
      <c r="G886" s="1" t="s">
        <v>32</v>
      </c>
      <c r="H886" s="1" t="s">
        <v>62</v>
      </c>
      <c r="I886" s="1">
        <v>169000</v>
      </c>
      <c r="J886" s="1">
        <v>154000</v>
      </c>
      <c r="K886" s="1">
        <v>15000</v>
      </c>
      <c r="L886" s="1">
        <v>0</v>
      </c>
      <c r="M886" s="1" t="s">
        <v>34</v>
      </c>
      <c r="N886" s="1" t="s">
        <v>63</v>
      </c>
      <c r="O886" s="1" t="s">
        <v>91</v>
      </c>
      <c r="P886" s="1" t="s">
        <v>92</v>
      </c>
      <c r="Q886" s="1" t="s">
        <v>38</v>
      </c>
      <c r="R886" s="1" t="s">
        <v>2360</v>
      </c>
      <c r="S886" s="3">
        <v>917153000000</v>
      </c>
      <c r="T886" s="1" t="s">
        <v>74</v>
      </c>
      <c r="U886" s="1">
        <v>78</v>
      </c>
      <c r="V886" s="1">
        <v>83</v>
      </c>
      <c r="W886" s="1" t="s">
        <v>52</v>
      </c>
      <c r="X886" s="1">
        <v>617224</v>
      </c>
      <c r="Y886" s="2">
        <v>36881</v>
      </c>
      <c r="Z886" s="1">
        <v>3.1789737171464298</v>
      </c>
      <c r="AA886" s="1">
        <v>23</v>
      </c>
      <c r="AB886" s="1">
        <v>676000</v>
      </c>
      <c r="AC886" s="1">
        <f t="shared" si="13"/>
        <v>736000</v>
      </c>
    </row>
    <row r="887" spans="1:29" x14ac:dyDescent="0.25">
      <c r="A887" s="1" t="s">
        <v>2373</v>
      </c>
      <c r="B887" s="1" t="s">
        <v>2374</v>
      </c>
      <c r="C887" s="1" t="s">
        <v>2375</v>
      </c>
      <c r="D887" s="1">
        <v>2021</v>
      </c>
      <c r="E887" s="1" t="s">
        <v>31</v>
      </c>
      <c r="F887" s="1">
        <v>4</v>
      </c>
      <c r="G887" s="1" t="s">
        <v>32</v>
      </c>
      <c r="H887" s="1" t="s">
        <v>151</v>
      </c>
      <c r="I887" s="1">
        <v>169000</v>
      </c>
      <c r="J887" s="1">
        <v>154000</v>
      </c>
      <c r="K887" s="1">
        <v>15000</v>
      </c>
      <c r="L887" s="1">
        <v>0</v>
      </c>
      <c r="M887" s="1" t="s">
        <v>34</v>
      </c>
      <c r="N887" s="1" t="s">
        <v>35</v>
      </c>
      <c r="O887" s="1" t="s">
        <v>57</v>
      </c>
      <c r="P887" s="1" t="s">
        <v>57</v>
      </c>
      <c r="Q887" s="1" t="s">
        <v>38</v>
      </c>
      <c r="R887" s="1" t="s">
        <v>2376</v>
      </c>
      <c r="S887" s="3">
        <v>919545000000</v>
      </c>
      <c r="T887" s="1" t="s">
        <v>98</v>
      </c>
      <c r="U887" s="1">
        <v>78</v>
      </c>
      <c r="V887" s="1">
        <v>73</v>
      </c>
      <c r="W887" s="1" t="s">
        <v>52</v>
      </c>
      <c r="X887" s="1">
        <v>279867</v>
      </c>
      <c r="Y887" s="2">
        <v>37611</v>
      </c>
      <c r="Z887" s="1">
        <v>3.1789737171464298</v>
      </c>
      <c r="AA887" s="1">
        <v>21</v>
      </c>
      <c r="AB887" s="1">
        <v>676000</v>
      </c>
      <c r="AC887" s="1">
        <f t="shared" si="13"/>
        <v>736000</v>
      </c>
    </row>
    <row r="888" spans="1:29" x14ac:dyDescent="0.25">
      <c r="A888" s="1" t="s">
        <v>2377</v>
      </c>
      <c r="B888" s="1" t="s">
        <v>2378</v>
      </c>
      <c r="C888" s="1" t="s">
        <v>2379</v>
      </c>
      <c r="D888" s="1">
        <v>2021</v>
      </c>
      <c r="E888" s="1" t="s">
        <v>31</v>
      </c>
      <c r="F888" s="1">
        <v>4</v>
      </c>
      <c r="G888" s="1" t="s">
        <v>32</v>
      </c>
      <c r="H888" s="1" t="s">
        <v>62</v>
      </c>
      <c r="I888" s="1">
        <v>169000</v>
      </c>
      <c r="J888" s="1">
        <v>154000</v>
      </c>
      <c r="K888" s="1">
        <v>15000</v>
      </c>
      <c r="L888" s="1">
        <v>0</v>
      </c>
      <c r="M888" s="1" t="s">
        <v>34</v>
      </c>
      <c r="N888" s="1" t="s">
        <v>70</v>
      </c>
      <c r="O888" s="1" t="s">
        <v>91</v>
      </c>
      <c r="P888" s="1" t="s">
        <v>92</v>
      </c>
      <c r="Q888" s="1" t="s">
        <v>38</v>
      </c>
      <c r="R888" s="1" t="s">
        <v>2380</v>
      </c>
      <c r="S888" s="3">
        <v>919887000000</v>
      </c>
      <c r="T888" s="1" t="s">
        <v>40</v>
      </c>
      <c r="U888" s="1">
        <v>78</v>
      </c>
      <c r="V888" s="1">
        <v>69</v>
      </c>
      <c r="W888" s="1" t="s">
        <v>41</v>
      </c>
      <c r="X888" s="1">
        <v>749867</v>
      </c>
      <c r="Y888" s="2">
        <v>38783</v>
      </c>
      <c r="Z888" s="1">
        <v>3.1789737171464298</v>
      </c>
      <c r="AA888" s="1">
        <v>18</v>
      </c>
      <c r="AB888" s="1">
        <v>676000</v>
      </c>
      <c r="AC888" s="1">
        <f t="shared" si="13"/>
        <v>736000</v>
      </c>
    </row>
    <row r="889" spans="1:29" x14ac:dyDescent="0.25">
      <c r="A889" s="1" t="s">
        <v>2389</v>
      </c>
      <c r="B889" s="1" t="s">
        <v>2390</v>
      </c>
      <c r="C889" s="1" t="s">
        <v>2391</v>
      </c>
      <c r="D889" s="1">
        <v>2021</v>
      </c>
      <c r="E889" s="1" t="s">
        <v>31</v>
      </c>
      <c r="F889" s="1">
        <v>4</v>
      </c>
      <c r="G889" s="1" t="s">
        <v>32</v>
      </c>
      <c r="H889" s="1" t="s">
        <v>151</v>
      </c>
      <c r="I889" s="1">
        <v>169000</v>
      </c>
      <c r="J889" s="1">
        <v>154000</v>
      </c>
      <c r="K889" s="1">
        <v>15000</v>
      </c>
      <c r="L889" s="1">
        <v>0</v>
      </c>
      <c r="M889" s="1" t="s">
        <v>34</v>
      </c>
      <c r="N889" s="1" t="s">
        <v>70</v>
      </c>
      <c r="O889" s="1" t="s">
        <v>36</v>
      </c>
      <c r="P889" s="1" t="s">
        <v>37</v>
      </c>
      <c r="Q889" s="1" t="s">
        <v>38</v>
      </c>
      <c r="R889" s="1" t="s">
        <v>2392</v>
      </c>
      <c r="S889" s="3">
        <v>919651000000</v>
      </c>
      <c r="T889" s="1" t="s">
        <v>51</v>
      </c>
      <c r="U889" s="1">
        <v>78</v>
      </c>
      <c r="V889" s="1">
        <v>74</v>
      </c>
      <c r="W889" s="1" t="s">
        <v>41</v>
      </c>
      <c r="X889" s="1">
        <v>179246</v>
      </c>
      <c r="Y889" s="2">
        <v>37754</v>
      </c>
      <c r="Z889" s="1">
        <v>3.1789737171464298</v>
      </c>
      <c r="AA889" s="1">
        <v>21</v>
      </c>
      <c r="AB889" s="1">
        <v>676000</v>
      </c>
      <c r="AC889" s="1">
        <f t="shared" si="13"/>
        <v>736000</v>
      </c>
    </row>
    <row r="890" spans="1:29" x14ac:dyDescent="0.25">
      <c r="A890" s="1" t="s">
        <v>2393</v>
      </c>
      <c r="B890" s="1" t="s">
        <v>2394</v>
      </c>
      <c r="C890" s="1" t="s">
        <v>2395</v>
      </c>
      <c r="D890" s="1">
        <v>2021</v>
      </c>
      <c r="E890" s="1" t="s">
        <v>31</v>
      </c>
      <c r="F890" s="1">
        <v>4</v>
      </c>
      <c r="G890" s="1" t="s">
        <v>32</v>
      </c>
      <c r="H890" s="1" t="s">
        <v>33</v>
      </c>
      <c r="I890" s="1">
        <v>169000</v>
      </c>
      <c r="J890" s="1">
        <v>154000</v>
      </c>
      <c r="K890" s="1">
        <v>15000</v>
      </c>
      <c r="L890" s="1">
        <v>0</v>
      </c>
      <c r="M890" s="1" t="s">
        <v>34</v>
      </c>
      <c r="N890" s="1" t="s">
        <v>63</v>
      </c>
      <c r="O890" s="1" t="s">
        <v>48</v>
      </c>
      <c r="P890" s="1" t="s">
        <v>49</v>
      </c>
      <c r="Q890" s="1" t="s">
        <v>38</v>
      </c>
      <c r="R890" s="1" t="s">
        <v>2396</v>
      </c>
      <c r="S890" s="3">
        <v>919923000000</v>
      </c>
      <c r="T890" s="1" t="s">
        <v>40</v>
      </c>
      <c r="U890" s="1">
        <v>78</v>
      </c>
      <c r="V890" s="1">
        <v>63</v>
      </c>
      <c r="W890" s="1" t="s">
        <v>52</v>
      </c>
      <c r="X890" s="1">
        <v>797702</v>
      </c>
      <c r="Y890" s="2">
        <v>37923</v>
      </c>
      <c r="Z890" s="1">
        <v>3.1789737171464298</v>
      </c>
      <c r="AA890" s="1">
        <v>20</v>
      </c>
      <c r="AB890" s="1">
        <v>676000</v>
      </c>
      <c r="AC890" s="1">
        <f t="shared" si="13"/>
        <v>736000</v>
      </c>
    </row>
    <row r="891" spans="1:29" x14ac:dyDescent="0.25">
      <c r="A891" s="1" t="s">
        <v>2397</v>
      </c>
      <c r="B891" s="1" t="s">
        <v>2398</v>
      </c>
      <c r="C891" s="1" t="s">
        <v>2399</v>
      </c>
      <c r="D891" s="1">
        <v>2021</v>
      </c>
      <c r="E891" s="1" t="s">
        <v>31</v>
      </c>
      <c r="F891" s="1">
        <v>4</v>
      </c>
      <c r="G891" s="1" t="s">
        <v>32</v>
      </c>
      <c r="H891" s="1" t="s">
        <v>113</v>
      </c>
      <c r="I891" s="1">
        <v>169000</v>
      </c>
      <c r="J891" s="1">
        <v>154000</v>
      </c>
      <c r="K891" s="1">
        <v>15000</v>
      </c>
      <c r="L891" s="1">
        <v>0</v>
      </c>
      <c r="M891" s="1" t="s">
        <v>34</v>
      </c>
      <c r="N891" s="1" t="s">
        <v>70</v>
      </c>
      <c r="O891" s="1" t="s">
        <v>71</v>
      </c>
      <c r="P891" s="1" t="s">
        <v>72</v>
      </c>
      <c r="Q891" s="1" t="s">
        <v>38</v>
      </c>
      <c r="R891" s="1" t="s">
        <v>2400</v>
      </c>
      <c r="S891" s="3">
        <v>918836000000</v>
      </c>
      <c r="T891" s="1" t="s">
        <v>51</v>
      </c>
      <c r="U891" s="1">
        <v>78</v>
      </c>
      <c r="V891" s="1">
        <v>85</v>
      </c>
      <c r="W891" s="1" t="s">
        <v>52</v>
      </c>
      <c r="X891" s="1">
        <v>273131</v>
      </c>
      <c r="Y891" s="2">
        <v>37529</v>
      </c>
      <c r="Z891" s="1">
        <v>3.1789737171464298</v>
      </c>
      <c r="AA891" s="1">
        <v>21</v>
      </c>
      <c r="AB891" s="1">
        <v>676000</v>
      </c>
      <c r="AC891" s="1">
        <f t="shared" si="13"/>
        <v>736000</v>
      </c>
    </row>
    <row r="892" spans="1:29" x14ac:dyDescent="0.25">
      <c r="A892" s="1" t="s">
        <v>2401</v>
      </c>
      <c r="B892" s="1" t="s">
        <v>2402</v>
      </c>
      <c r="C892" s="1" t="s">
        <v>2403</v>
      </c>
      <c r="D892" s="1">
        <v>2021</v>
      </c>
      <c r="E892" s="1" t="s">
        <v>31</v>
      </c>
      <c r="F892" s="1">
        <v>4</v>
      </c>
      <c r="G892" s="1" t="s">
        <v>32</v>
      </c>
      <c r="H892" s="1" t="s">
        <v>90</v>
      </c>
      <c r="I892" s="1">
        <v>169000</v>
      </c>
      <c r="J892" s="1">
        <v>154000</v>
      </c>
      <c r="K892" s="1">
        <v>15000</v>
      </c>
      <c r="L892" s="1">
        <v>0</v>
      </c>
      <c r="M892" s="1" t="s">
        <v>34</v>
      </c>
      <c r="N892" s="1" t="s">
        <v>35</v>
      </c>
      <c r="O892" s="1" t="s">
        <v>91</v>
      </c>
      <c r="P892" s="1" t="s">
        <v>92</v>
      </c>
      <c r="Q892" s="1" t="s">
        <v>38</v>
      </c>
      <c r="R892" s="1" t="s">
        <v>2404</v>
      </c>
      <c r="S892" s="3">
        <v>919719000000</v>
      </c>
      <c r="T892" s="1" t="s">
        <v>40</v>
      </c>
      <c r="U892" s="1">
        <v>78</v>
      </c>
      <c r="V892" s="1">
        <v>65</v>
      </c>
      <c r="W892" s="1" t="s">
        <v>41</v>
      </c>
      <c r="X892" s="1">
        <v>758172</v>
      </c>
      <c r="Y892" s="2">
        <v>38779</v>
      </c>
      <c r="Z892" s="1">
        <v>3.1789737171464298</v>
      </c>
      <c r="AA892" s="1">
        <v>18</v>
      </c>
      <c r="AB892" s="1">
        <v>676000</v>
      </c>
      <c r="AC892" s="1">
        <f t="shared" si="13"/>
        <v>736000</v>
      </c>
    </row>
    <row r="893" spans="1:29" x14ac:dyDescent="0.25">
      <c r="A893" s="1" t="s">
        <v>2405</v>
      </c>
      <c r="B893" s="1" t="s">
        <v>2406</v>
      </c>
      <c r="C893" s="1" t="s">
        <v>2407</v>
      </c>
      <c r="D893" s="1">
        <v>2021</v>
      </c>
      <c r="E893" s="1" t="s">
        <v>31</v>
      </c>
      <c r="F893" s="1">
        <v>4</v>
      </c>
      <c r="G893" s="1" t="s">
        <v>32</v>
      </c>
      <c r="H893" s="1" t="s">
        <v>33</v>
      </c>
      <c r="I893" s="1">
        <v>169000</v>
      </c>
      <c r="J893" s="1">
        <v>154000</v>
      </c>
      <c r="K893" s="1">
        <v>15000</v>
      </c>
      <c r="L893" s="1">
        <v>0</v>
      </c>
      <c r="M893" s="1" t="s">
        <v>34</v>
      </c>
      <c r="N893" s="1" t="s">
        <v>70</v>
      </c>
      <c r="O893" s="1" t="s">
        <v>48</v>
      </c>
      <c r="P893" s="1" t="s">
        <v>49</v>
      </c>
      <c r="Q893" s="1" t="s">
        <v>38</v>
      </c>
      <c r="R893" s="1" t="s">
        <v>2408</v>
      </c>
      <c r="S893" s="3">
        <v>917582000000</v>
      </c>
      <c r="T893" s="1" t="s">
        <v>86</v>
      </c>
      <c r="U893" s="1">
        <v>78</v>
      </c>
      <c r="V893" s="1">
        <v>84</v>
      </c>
      <c r="W893" s="1" t="s">
        <v>52</v>
      </c>
      <c r="X893" s="1">
        <v>518646</v>
      </c>
      <c r="Y893" s="2">
        <v>37412</v>
      </c>
      <c r="Z893" s="1">
        <v>3.1789737171464298</v>
      </c>
      <c r="AA893" s="1">
        <v>22</v>
      </c>
      <c r="AB893" s="1">
        <v>676000</v>
      </c>
      <c r="AC893" s="1">
        <f t="shared" si="13"/>
        <v>736000</v>
      </c>
    </row>
    <row r="894" spans="1:29" x14ac:dyDescent="0.25">
      <c r="A894" s="1" t="s">
        <v>2413</v>
      </c>
      <c r="B894" s="1" t="s">
        <v>2414</v>
      </c>
      <c r="C894" s="1" t="s">
        <v>2415</v>
      </c>
      <c r="D894" s="1">
        <v>2021</v>
      </c>
      <c r="E894" s="1" t="s">
        <v>31</v>
      </c>
      <c r="F894" s="1">
        <v>4</v>
      </c>
      <c r="G894" s="1" t="s">
        <v>32</v>
      </c>
      <c r="H894" s="1" t="s">
        <v>113</v>
      </c>
      <c r="I894" s="1">
        <v>169000</v>
      </c>
      <c r="J894" s="1">
        <v>154000</v>
      </c>
      <c r="K894" s="1">
        <v>15000</v>
      </c>
      <c r="L894" s="1">
        <v>0</v>
      </c>
      <c r="M894" s="1" t="s">
        <v>34</v>
      </c>
      <c r="N894" s="1" t="s">
        <v>70</v>
      </c>
      <c r="O894" s="1" t="s">
        <v>71</v>
      </c>
      <c r="P894" s="1" t="s">
        <v>72</v>
      </c>
      <c r="Q894" s="1" t="s">
        <v>38</v>
      </c>
      <c r="R894" s="1" t="s">
        <v>2416</v>
      </c>
      <c r="S894" s="3">
        <v>917425000000</v>
      </c>
      <c r="T894" s="1" t="s">
        <v>40</v>
      </c>
      <c r="U894" s="1">
        <v>78</v>
      </c>
      <c r="V894" s="1">
        <v>81</v>
      </c>
      <c r="W894" s="1" t="s">
        <v>41</v>
      </c>
      <c r="X894" s="1">
        <v>784762</v>
      </c>
      <c r="Y894" s="2">
        <v>37408</v>
      </c>
      <c r="Z894" s="1">
        <v>3.1789737171464298</v>
      </c>
      <c r="AA894" s="1">
        <v>22</v>
      </c>
      <c r="AB894" s="1">
        <v>676000</v>
      </c>
      <c r="AC894" s="1">
        <f t="shared" si="13"/>
        <v>736000</v>
      </c>
    </row>
    <row r="895" spans="1:29" x14ac:dyDescent="0.25">
      <c r="A895" s="1" t="s">
        <v>2417</v>
      </c>
      <c r="B895" s="1" t="s">
        <v>2418</v>
      </c>
      <c r="C895" s="1" t="s">
        <v>2419</v>
      </c>
      <c r="D895" s="1">
        <v>2021</v>
      </c>
      <c r="E895" s="1" t="s">
        <v>31</v>
      </c>
      <c r="F895" s="1">
        <v>4</v>
      </c>
      <c r="G895" s="1" t="s">
        <v>32</v>
      </c>
      <c r="H895" s="1" t="s">
        <v>210</v>
      </c>
      <c r="I895" s="1">
        <v>169000</v>
      </c>
      <c r="J895" s="1">
        <v>154000</v>
      </c>
      <c r="K895" s="1">
        <v>15000</v>
      </c>
      <c r="L895" s="1">
        <v>0</v>
      </c>
      <c r="M895" s="1" t="s">
        <v>34</v>
      </c>
      <c r="N895" s="1" t="s">
        <v>35</v>
      </c>
      <c r="O895" s="1" t="s">
        <v>48</v>
      </c>
      <c r="P895" s="1" t="s">
        <v>49</v>
      </c>
      <c r="Q895" s="1" t="s">
        <v>38</v>
      </c>
      <c r="R895" s="1" t="s">
        <v>2420</v>
      </c>
      <c r="S895" s="3">
        <v>919189000000</v>
      </c>
      <c r="T895" s="1" t="s">
        <v>86</v>
      </c>
      <c r="U895" s="1">
        <v>78</v>
      </c>
      <c r="V895" s="1">
        <v>69</v>
      </c>
      <c r="W895" s="1" t="s">
        <v>41</v>
      </c>
      <c r="X895" s="1">
        <v>395162</v>
      </c>
      <c r="Y895" s="2">
        <v>38559</v>
      </c>
      <c r="Z895" s="1">
        <v>3.1789737171464298</v>
      </c>
      <c r="AA895" s="1">
        <v>18</v>
      </c>
      <c r="AB895" s="1">
        <v>676000</v>
      </c>
      <c r="AC895" s="1">
        <f t="shared" si="13"/>
        <v>736000</v>
      </c>
    </row>
    <row r="896" spans="1:29" x14ac:dyDescent="0.25">
      <c r="A896" s="1" t="s">
        <v>2421</v>
      </c>
      <c r="B896" s="1" t="s">
        <v>2422</v>
      </c>
      <c r="C896" s="1" t="s">
        <v>2423</v>
      </c>
      <c r="D896" s="1">
        <v>2021</v>
      </c>
      <c r="E896" s="1" t="s">
        <v>31</v>
      </c>
      <c r="F896" s="1">
        <v>4</v>
      </c>
      <c r="G896" s="1" t="s">
        <v>32</v>
      </c>
      <c r="H896" s="1" t="s">
        <v>210</v>
      </c>
      <c r="I896" s="1">
        <v>169000</v>
      </c>
      <c r="J896" s="1">
        <v>154000</v>
      </c>
      <c r="K896" s="1">
        <v>15000</v>
      </c>
      <c r="L896" s="1">
        <v>0</v>
      </c>
      <c r="M896" s="1" t="s">
        <v>34</v>
      </c>
      <c r="N896" s="1" t="s">
        <v>70</v>
      </c>
      <c r="O896" s="1" t="s">
        <v>188</v>
      </c>
      <c r="P896" s="1" t="s">
        <v>189</v>
      </c>
      <c r="Q896" s="1" t="s">
        <v>38</v>
      </c>
      <c r="R896" s="1" t="s">
        <v>2424</v>
      </c>
      <c r="S896" s="3">
        <v>918303000000</v>
      </c>
      <c r="T896" s="1" t="s">
        <v>51</v>
      </c>
      <c r="U896" s="1">
        <v>78</v>
      </c>
      <c r="V896" s="1">
        <v>88</v>
      </c>
      <c r="W896" s="1" t="s">
        <v>52</v>
      </c>
      <c r="X896" s="1">
        <v>498195</v>
      </c>
      <c r="Y896" s="2">
        <v>38739</v>
      </c>
      <c r="Z896" s="1">
        <v>3.1789737171464298</v>
      </c>
      <c r="AA896" s="1">
        <v>18</v>
      </c>
      <c r="AB896" s="1">
        <v>676000</v>
      </c>
      <c r="AC896" s="1">
        <f t="shared" si="13"/>
        <v>736000</v>
      </c>
    </row>
    <row r="897" spans="1:29" x14ac:dyDescent="0.25">
      <c r="A897" s="1" t="s">
        <v>2443</v>
      </c>
      <c r="B897" s="1" t="s">
        <v>2444</v>
      </c>
      <c r="C897" s="1" t="s">
        <v>2445</v>
      </c>
      <c r="D897" s="1">
        <v>2021</v>
      </c>
      <c r="E897" s="1" t="s">
        <v>45</v>
      </c>
      <c r="F897" s="1">
        <v>2</v>
      </c>
      <c r="G897" s="1" t="s">
        <v>46</v>
      </c>
      <c r="H897" s="1" t="s">
        <v>113</v>
      </c>
      <c r="I897" s="1">
        <v>92000</v>
      </c>
      <c r="J897" s="1">
        <v>77000</v>
      </c>
      <c r="K897" s="1">
        <v>15000</v>
      </c>
      <c r="L897" s="1">
        <v>0</v>
      </c>
      <c r="M897" s="1" t="s">
        <v>34</v>
      </c>
      <c r="N897" s="1" t="s">
        <v>63</v>
      </c>
      <c r="O897" s="1" t="s">
        <v>71</v>
      </c>
      <c r="P897" s="1" t="s">
        <v>72</v>
      </c>
      <c r="Q897" s="1" t="s">
        <v>38</v>
      </c>
      <c r="R897" s="1" t="s">
        <v>2446</v>
      </c>
      <c r="S897" s="3">
        <v>917865000000</v>
      </c>
      <c r="T897" s="1" t="s">
        <v>86</v>
      </c>
      <c r="U897" s="1">
        <v>78</v>
      </c>
      <c r="V897" s="1">
        <v>62</v>
      </c>
      <c r="W897" s="1" t="s">
        <v>41</v>
      </c>
      <c r="X897" s="1">
        <v>298327</v>
      </c>
      <c r="Y897" s="2">
        <v>36285</v>
      </c>
      <c r="Z897" s="1">
        <v>3.1789737171464298</v>
      </c>
      <c r="AA897" s="1">
        <v>25</v>
      </c>
      <c r="AB897" s="1">
        <v>184000</v>
      </c>
      <c r="AC897" s="1">
        <f t="shared" si="13"/>
        <v>214000</v>
      </c>
    </row>
    <row r="898" spans="1:29" x14ac:dyDescent="0.25">
      <c r="A898" s="1" t="s">
        <v>2459</v>
      </c>
      <c r="B898" s="1" t="s">
        <v>2460</v>
      </c>
      <c r="C898" s="1" t="s">
        <v>2461</v>
      </c>
      <c r="D898" s="1">
        <v>2021</v>
      </c>
      <c r="E898" s="1" t="s">
        <v>31</v>
      </c>
      <c r="F898" s="1">
        <v>4</v>
      </c>
      <c r="G898" s="1" t="s">
        <v>32</v>
      </c>
      <c r="H898" s="1" t="s">
        <v>113</v>
      </c>
      <c r="I898" s="1">
        <v>169000</v>
      </c>
      <c r="J898" s="1">
        <v>154000</v>
      </c>
      <c r="K898" s="1">
        <v>15000</v>
      </c>
      <c r="L898" s="1">
        <v>0</v>
      </c>
      <c r="M898" s="1" t="s">
        <v>34</v>
      </c>
      <c r="N898" s="1" t="s">
        <v>35</v>
      </c>
      <c r="O898" s="1" t="s">
        <v>64</v>
      </c>
      <c r="P898" s="1" t="s">
        <v>65</v>
      </c>
      <c r="Q898" s="1" t="s">
        <v>38</v>
      </c>
      <c r="R898" s="1" t="s">
        <v>2462</v>
      </c>
      <c r="S898" s="3">
        <v>919512000000</v>
      </c>
      <c r="T898" s="1" t="s">
        <v>40</v>
      </c>
      <c r="U898" s="1">
        <v>78</v>
      </c>
      <c r="V898" s="1">
        <v>63</v>
      </c>
      <c r="W898" s="1" t="s">
        <v>41</v>
      </c>
      <c r="X898" s="1">
        <v>464830</v>
      </c>
      <c r="Y898" s="2">
        <v>36836</v>
      </c>
      <c r="Z898" s="1">
        <v>3.1789737171464298</v>
      </c>
      <c r="AA898" s="1">
        <v>23</v>
      </c>
      <c r="AB898" s="1">
        <v>676000</v>
      </c>
      <c r="AC898" s="1">
        <f t="shared" si="13"/>
        <v>736000</v>
      </c>
    </row>
    <row r="899" spans="1:29" x14ac:dyDescent="0.25">
      <c r="A899" s="1" t="s">
        <v>2475</v>
      </c>
      <c r="B899" s="1" t="s">
        <v>2476</v>
      </c>
      <c r="C899" s="1" t="s">
        <v>2477</v>
      </c>
      <c r="D899" s="1">
        <v>2021</v>
      </c>
      <c r="E899" s="1" t="s">
        <v>31</v>
      </c>
      <c r="F899" s="1">
        <v>4</v>
      </c>
      <c r="G899" s="1" t="s">
        <v>32</v>
      </c>
      <c r="H899" s="1" t="s">
        <v>56</v>
      </c>
      <c r="I899" s="1">
        <v>169000</v>
      </c>
      <c r="J899" s="1">
        <v>154000</v>
      </c>
      <c r="K899" s="1">
        <v>15000</v>
      </c>
      <c r="L899" s="1">
        <v>0</v>
      </c>
      <c r="M899" s="1" t="s">
        <v>34</v>
      </c>
      <c r="N899" s="1" t="s">
        <v>35</v>
      </c>
      <c r="O899" s="1" t="s">
        <v>64</v>
      </c>
      <c r="P899" s="1" t="s">
        <v>65</v>
      </c>
      <c r="Q899" s="1" t="s">
        <v>38</v>
      </c>
      <c r="R899" s="1" t="s">
        <v>2478</v>
      </c>
      <c r="S899" s="3">
        <v>918755000000</v>
      </c>
      <c r="T899" s="1" t="s">
        <v>98</v>
      </c>
      <c r="U899" s="1">
        <v>78</v>
      </c>
      <c r="V899" s="1">
        <v>60</v>
      </c>
      <c r="W899" s="1" t="s">
        <v>52</v>
      </c>
      <c r="X899" s="1">
        <v>599543</v>
      </c>
      <c r="Y899" s="2">
        <v>36855</v>
      </c>
      <c r="Z899" s="1">
        <v>3.1789737171464298</v>
      </c>
      <c r="AA899" s="1">
        <v>23</v>
      </c>
      <c r="AB899" s="1">
        <v>676000</v>
      </c>
      <c r="AC899" s="1">
        <f t="shared" si="13"/>
        <v>736000</v>
      </c>
    </row>
    <row r="900" spans="1:29" x14ac:dyDescent="0.25">
      <c r="A900" s="1" t="s">
        <v>2479</v>
      </c>
      <c r="B900" s="1" t="s">
        <v>2354</v>
      </c>
      <c r="C900" s="1" t="s">
        <v>2355</v>
      </c>
      <c r="D900" s="1">
        <v>2021</v>
      </c>
      <c r="E900" s="1" t="s">
        <v>31</v>
      </c>
      <c r="F900" s="1">
        <v>4</v>
      </c>
      <c r="G900" s="1" t="s">
        <v>32</v>
      </c>
      <c r="H900" s="1" t="s">
        <v>210</v>
      </c>
      <c r="I900" s="1">
        <v>169000</v>
      </c>
      <c r="J900" s="1">
        <v>154000</v>
      </c>
      <c r="K900" s="1">
        <v>15000</v>
      </c>
      <c r="L900" s="1">
        <v>0</v>
      </c>
      <c r="M900" s="1" t="s">
        <v>34</v>
      </c>
      <c r="N900" s="1" t="s">
        <v>63</v>
      </c>
      <c r="O900" s="1" t="s">
        <v>188</v>
      </c>
      <c r="P900" s="1" t="s">
        <v>189</v>
      </c>
      <c r="Q900" s="1" t="s">
        <v>38</v>
      </c>
      <c r="R900" s="1" t="s">
        <v>2480</v>
      </c>
      <c r="S900" s="3">
        <v>919505000000</v>
      </c>
      <c r="T900" s="1" t="s">
        <v>98</v>
      </c>
      <c r="U900" s="1">
        <v>78</v>
      </c>
      <c r="V900" s="1">
        <v>83</v>
      </c>
      <c r="W900" s="1" t="s">
        <v>52</v>
      </c>
      <c r="X900" s="1">
        <v>256722</v>
      </c>
      <c r="Y900" s="2">
        <v>37422</v>
      </c>
      <c r="Z900" s="1">
        <v>3.1789737171464298</v>
      </c>
      <c r="AA900" s="1">
        <v>22</v>
      </c>
      <c r="AB900" s="1">
        <v>676000</v>
      </c>
      <c r="AC900" s="1">
        <f t="shared" si="13"/>
        <v>736000</v>
      </c>
    </row>
    <row r="901" spans="1:29" x14ac:dyDescent="0.25">
      <c r="A901" s="1" t="s">
        <v>2528</v>
      </c>
      <c r="B901" s="1" t="s">
        <v>2124</v>
      </c>
      <c r="C901" s="1" t="s">
        <v>2125</v>
      </c>
      <c r="D901" s="1">
        <v>2021</v>
      </c>
      <c r="E901" s="1" t="s">
        <v>31</v>
      </c>
      <c r="F901" s="1">
        <v>4</v>
      </c>
      <c r="G901" s="1" t="s">
        <v>32</v>
      </c>
      <c r="H901" s="1" t="s">
        <v>62</v>
      </c>
      <c r="I901" s="1">
        <v>169000</v>
      </c>
      <c r="J901" s="1">
        <v>154000</v>
      </c>
      <c r="K901" s="1">
        <v>15000</v>
      </c>
      <c r="L901" s="1">
        <v>0</v>
      </c>
      <c r="M901" s="1" t="s">
        <v>34</v>
      </c>
      <c r="N901" s="1" t="s">
        <v>70</v>
      </c>
      <c r="O901" s="1" t="s">
        <v>64</v>
      </c>
      <c r="P901" s="1" t="s">
        <v>65</v>
      </c>
      <c r="Q901" s="1" t="s">
        <v>38</v>
      </c>
      <c r="R901" s="1" t="s">
        <v>2529</v>
      </c>
      <c r="S901" s="3">
        <v>918094000000</v>
      </c>
      <c r="T901" s="1" t="s">
        <v>40</v>
      </c>
      <c r="U901" s="1">
        <v>77</v>
      </c>
      <c r="V901" s="1">
        <v>74</v>
      </c>
      <c r="W901" s="1" t="s">
        <v>52</v>
      </c>
      <c r="X901" s="1">
        <v>201136</v>
      </c>
      <c r="Y901" s="2">
        <v>36742</v>
      </c>
      <c r="Z901" s="1">
        <v>2.1789737171464298</v>
      </c>
      <c r="AA901" s="1">
        <v>23</v>
      </c>
      <c r="AB901" s="1">
        <v>676000</v>
      </c>
      <c r="AC901" s="1">
        <f t="shared" si="13"/>
        <v>736000</v>
      </c>
    </row>
    <row r="902" spans="1:29" x14ac:dyDescent="0.25">
      <c r="A902" s="1" t="s">
        <v>2550</v>
      </c>
      <c r="B902" s="1" t="s">
        <v>281</v>
      </c>
      <c r="C902" s="1" t="s">
        <v>282</v>
      </c>
      <c r="D902" s="1">
        <v>2021</v>
      </c>
      <c r="E902" s="1" t="s">
        <v>45</v>
      </c>
      <c r="F902" s="1">
        <v>2</v>
      </c>
      <c r="G902" s="1" t="s">
        <v>46</v>
      </c>
      <c r="H902" s="1" t="s">
        <v>33</v>
      </c>
      <c r="I902" s="1">
        <v>92000</v>
      </c>
      <c r="J902" s="1">
        <v>77000</v>
      </c>
      <c r="K902" s="1">
        <v>15000</v>
      </c>
      <c r="L902" s="1">
        <v>0</v>
      </c>
      <c r="M902" s="1" t="s">
        <v>34</v>
      </c>
      <c r="N902" s="1" t="s">
        <v>35</v>
      </c>
      <c r="O902" s="1" t="s">
        <v>36</v>
      </c>
      <c r="P902" s="1" t="s">
        <v>37</v>
      </c>
      <c r="Q902" s="1" t="s">
        <v>38</v>
      </c>
      <c r="R902" s="1" t="s">
        <v>2551</v>
      </c>
      <c r="S902" s="3">
        <v>917300000000</v>
      </c>
      <c r="T902" s="1" t="s">
        <v>98</v>
      </c>
      <c r="U902" s="1">
        <v>77</v>
      </c>
      <c r="V902" s="1">
        <v>81</v>
      </c>
      <c r="W902" s="1" t="s">
        <v>41</v>
      </c>
      <c r="X902" s="1">
        <v>209790</v>
      </c>
      <c r="Y902" s="2">
        <v>36493</v>
      </c>
      <c r="Z902" s="1">
        <v>2.1789737171464298</v>
      </c>
      <c r="AA902" s="1">
        <v>24</v>
      </c>
      <c r="AB902" s="1">
        <v>184000</v>
      </c>
      <c r="AC902" s="1">
        <f t="shared" ref="AC902:AC965" si="14">IF(F902 = 2, AB902+30000,AB902+60000)</f>
        <v>214000</v>
      </c>
    </row>
    <row r="903" spans="1:29" x14ac:dyDescent="0.25">
      <c r="A903" s="1" t="s">
        <v>2556</v>
      </c>
      <c r="B903" s="1" t="s">
        <v>2557</v>
      </c>
      <c r="C903" s="1" t="s">
        <v>2558</v>
      </c>
      <c r="D903" s="1">
        <v>2021</v>
      </c>
      <c r="E903" s="1" t="s">
        <v>31</v>
      </c>
      <c r="F903" s="1">
        <v>4</v>
      </c>
      <c r="G903" s="1" t="s">
        <v>32</v>
      </c>
      <c r="H903" s="1" t="s">
        <v>47</v>
      </c>
      <c r="I903" s="1">
        <v>169000</v>
      </c>
      <c r="J903" s="1">
        <v>154000</v>
      </c>
      <c r="K903" s="1">
        <v>15000</v>
      </c>
      <c r="L903" s="1">
        <v>0</v>
      </c>
      <c r="M903" s="1" t="s">
        <v>34</v>
      </c>
      <c r="N903" s="1" t="s">
        <v>70</v>
      </c>
      <c r="O903" s="1" t="s">
        <v>91</v>
      </c>
      <c r="P903" s="1" t="s">
        <v>92</v>
      </c>
      <c r="Q903" s="1" t="s">
        <v>38</v>
      </c>
      <c r="R903" s="1" t="s">
        <v>2559</v>
      </c>
      <c r="S903" s="3">
        <v>917817000000</v>
      </c>
      <c r="T903" s="1" t="s">
        <v>98</v>
      </c>
      <c r="U903" s="1">
        <v>77</v>
      </c>
      <c r="V903" s="1">
        <v>69</v>
      </c>
      <c r="W903" s="1" t="s">
        <v>41</v>
      </c>
      <c r="X903" s="1">
        <v>678916</v>
      </c>
      <c r="Y903" s="2">
        <v>37445</v>
      </c>
      <c r="Z903" s="1">
        <v>2.1789737171464298</v>
      </c>
      <c r="AA903" s="1">
        <v>22</v>
      </c>
      <c r="AB903" s="1">
        <v>676000</v>
      </c>
      <c r="AC903" s="1">
        <f t="shared" si="14"/>
        <v>736000</v>
      </c>
    </row>
    <row r="904" spans="1:29" x14ac:dyDescent="0.25">
      <c r="A904" s="1" t="s">
        <v>2566</v>
      </c>
      <c r="B904" s="1" t="s">
        <v>2567</v>
      </c>
      <c r="C904" s="1" t="s">
        <v>2568</v>
      </c>
      <c r="D904" s="1">
        <v>2021</v>
      </c>
      <c r="E904" s="1" t="s">
        <v>45</v>
      </c>
      <c r="F904" s="1">
        <v>2</v>
      </c>
      <c r="G904" s="1" t="s">
        <v>46</v>
      </c>
      <c r="H904" s="1" t="s">
        <v>102</v>
      </c>
      <c r="I904" s="1">
        <v>92000</v>
      </c>
      <c r="J904" s="1">
        <v>77000</v>
      </c>
      <c r="K904" s="1">
        <v>15000</v>
      </c>
      <c r="L904" s="1">
        <v>0</v>
      </c>
      <c r="M904" s="1" t="s">
        <v>34</v>
      </c>
      <c r="N904" s="1" t="s">
        <v>70</v>
      </c>
      <c r="O904" s="1" t="s">
        <v>36</v>
      </c>
      <c r="P904" s="1" t="s">
        <v>37</v>
      </c>
      <c r="Q904" s="1" t="s">
        <v>38</v>
      </c>
      <c r="R904" s="1" t="s">
        <v>2569</v>
      </c>
      <c r="S904" s="3">
        <v>917573000000</v>
      </c>
      <c r="T904" s="1" t="s">
        <v>86</v>
      </c>
      <c r="U904" s="1">
        <v>77</v>
      </c>
      <c r="V904" s="1">
        <v>83</v>
      </c>
      <c r="W904" s="1" t="s">
        <v>52</v>
      </c>
      <c r="X904" s="1">
        <v>784811</v>
      </c>
      <c r="Y904" s="2">
        <v>36649</v>
      </c>
      <c r="Z904" s="1">
        <v>2.1789737171464298</v>
      </c>
      <c r="AA904" s="1">
        <v>24</v>
      </c>
      <c r="AB904" s="1">
        <v>184000</v>
      </c>
      <c r="AC904" s="1">
        <f t="shared" si="14"/>
        <v>214000</v>
      </c>
    </row>
    <row r="905" spans="1:29" x14ac:dyDescent="0.25">
      <c r="A905" s="1" t="s">
        <v>2596</v>
      </c>
      <c r="B905" s="1" t="s">
        <v>2597</v>
      </c>
      <c r="C905" s="1" t="s">
        <v>2598</v>
      </c>
      <c r="D905" s="1">
        <v>2021</v>
      </c>
      <c r="E905" s="1" t="s">
        <v>31</v>
      </c>
      <c r="F905" s="1">
        <v>4</v>
      </c>
      <c r="G905" s="1" t="s">
        <v>32</v>
      </c>
      <c r="H905" s="1" t="s">
        <v>122</v>
      </c>
      <c r="I905" s="1">
        <v>169000</v>
      </c>
      <c r="J905" s="1">
        <v>154000</v>
      </c>
      <c r="K905" s="1">
        <v>15000</v>
      </c>
      <c r="L905" s="1">
        <v>0</v>
      </c>
      <c r="M905" s="1" t="s">
        <v>34</v>
      </c>
      <c r="N905" s="1" t="s">
        <v>35</v>
      </c>
      <c r="O905" s="1" t="s">
        <v>103</v>
      </c>
      <c r="P905" s="1" t="s">
        <v>104</v>
      </c>
      <c r="Q905" s="1" t="s">
        <v>38</v>
      </c>
      <c r="R905" s="1" t="s">
        <v>2599</v>
      </c>
      <c r="S905" s="3">
        <v>918497000000</v>
      </c>
      <c r="T905" s="1" t="s">
        <v>98</v>
      </c>
      <c r="U905" s="1">
        <v>77</v>
      </c>
      <c r="V905" s="1">
        <v>83</v>
      </c>
      <c r="W905" s="1" t="s">
        <v>52</v>
      </c>
      <c r="X905" s="1">
        <v>707395</v>
      </c>
      <c r="Y905" s="2">
        <v>37136</v>
      </c>
      <c r="Z905" s="1">
        <v>2.1789737171464298</v>
      </c>
      <c r="AA905" s="1">
        <v>22</v>
      </c>
      <c r="AB905" s="1">
        <v>676000</v>
      </c>
      <c r="AC905" s="1">
        <f t="shared" si="14"/>
        <v>736000</v>
      </c>
    </row>
    <row r="906" spans="1:29" x14ac:dyDescent="0.25">
      <c r="A906" s="1" t="s">
        <v>2628</v>
      </c>
      <c r="B906" s="1" t="s">
        <v>1243</v>
      </c>
      <c r="C906" s="1" t="s">
        <v>1244</v>
      </c>
      <c r="D906" s="1">
        <v>2021</v>
      </c>
      <c r="E906" s="1" t="s">
        <v>45</v>
      </c>
      <c r="F906" s="1">
        <v>2</v>
      </c>
      <c r="G906" s="1" t="s">
        <v>46</v>
      </c>
      <c r="H906" s="1" t="s">
        <v>113</v>
      </c>
      <c r="I906" s="1">
        <v>92000</v>
      </c>
      <c r="J906" s="1">
        <v>77000</v>
      </c>
      <c r="K906" s="1">
        <v>15000</v>
      </c>
      <c r="L906" s="1">
        <v>0</v>
      </c>
      <c r="M906" s="1" t="s">
        <v>34</v>
      </c>
      <c r="N906" s="1" t="s">
        <v>70</v>
      </c>
      <c r="O906" s="1" t="s">
        <v>188</v>
      </c>
      <c r="P906" s="1" t="s">
        <v>189</v>
      </c>
      <c r="Q906" s="1" t="s">
        <v>38</v>
      </c>
      <c r="R906" s="1" t="s">
        <v>2629</v>
      </c>
      <c r="S906" s="3">
        <v>917176000000</v>
      </c>
      <c r="T906" s="1" t="s">
        <v>98</v>
      </c>
      <c r="U906" s="1">
        <v>77</v>
      </c>
      <c r="V906" s="1">
        <v>68</v>
      </c>
      <c r="W906" s="1" t="s">
        <v>41</v>
      </c>
      <c r="X906" s="1">
        <v>281516</v>
      </c>
      <c r="Y906" s="2">
        <v>36779</v>
      </c>
      <c r="Z906" s="1">
        <v>2.1789737171464298</v>
      </c>
      <c r="AA906" s="1">
        <v>23</v>
      </c>
      <c r="AB906" s="1">
        <v>184000</v>
      </c>
      <c r="AC906" s="1">
        <f t="shared" si="14"/>
        <v>214000</v>
      </c>
    </row>
    <row r="907" spans="1:29" x14ac:dyDescent="0.25">
      <c r="A907" s="1" t="s">
        <v>2634</v>
      </c>
      <c r="B907" s="1" t="s">
        <v>2635</v>
      </c>
      <c r="C907" s="1" t="s">
        <v>2636</v>
      </c>
      <c r="D907" s="1">
        <v>2021</v>
      </c>
      <c r="E907" s="1" t="s">
        <v>31</v>
      </c>
      <c r="F907" s="1">
        <v>4</v>
      </c>
      <c r="G907" s="1" t="s">
        <v>32</v>
      </c>
      <c r="H907" s="1" t="s">
        <v>151</v>
      </c>
      <c r="I907" s="1">
        <v>169000</v>
      </c>
      <c r="J907" s="1">
        <v>154000</v>
      </c>
      <c r="K907" s="1">
        <v>15000</v>
      </c>
      <c r="L907" s="1">
        <v>0</v>
      </c>
      <c r="M907" s="1" t="s">
        <v>34</v>
      </c>
      <c r="N907" s="1" t="s">
        <v>35</v>
      </c>
      <c r="O907" s="1" t="s">
        <v>84</v>
      </c>
      <c r="P907" s="1" t="s">
        <v>65</v>
      </c>
      <c r="Q907" s="1" t="s">
        <v>38</v>
      </c>
      <c r="R907" s="1" t="s">
        <v>2637</v>
      </c>
      <c r="S907" s="3">
        <v>917839000000</v>
      </c>
      <c r="T907" s="1" t="s">
        <v>98</v>
      </c>
      <c r="U907" s="1">
        <v>77</v>
      </c>
      <c r="V907" s="1">
        <v>64</v>
      </c>
      <c r="W907" s="1" t="s">
        <v>52</v>
      </c>
      <c r="X907" s="1">
        <v>270421</v>
      </c>
      <c r="Y907" s="2">
        <v>37363</v>
      </c>
      <c r="Z907" s="1">
        <v>2.1789737171464298</v>
      </c>
      <c r="AA907" s="1">
        <v>22</v>
      </c>
      <c r="AB907" s="1">
        <v>676000</v>
      </c>
      <c r="AC907" s="1">
        <f t="shared" si="14"/>
        <v>736000</v>
      </c>
    </row>
    <row r="908" spans="1:29" x14ac:dyDescent="0.25">
      <c r="A908" s="1" t="s">
        <v>2685</v>
      </c>
      <c r="B908" s="1" t="s">
        <v>2686</v>
      </c>
      <c r="C908" s="1" t="s">
        <v>2687</v>
      </c>
      <c r="D908" s="1">
        <v>2021</v>
      </c>
      <c r="E908" s="1" t="s">
        <v>31</v>
      </c>
      <c r="F908" s="1">
        <v>4</v>
      </c>
      <c r="G908" s="1" t="s">
        <v>32</v>
      </c>
      <c r="H908" s="1" t="s">
        <v>33</v>
      </c>
      <c r="I908" s="1">
        <v>169000</v>
      </c>
      <c r="J908" s="1">
        <v>154000</v>
      </c>
      <c r="K908" s="1">
        <v>15000</v>
      </c>
      <c r="L908" s="1">
        <v>0</v>
      </c>
      <c r="M908" s="1" t="s">
        <v>34</v>
      </c>
      <c r="N908" s="1" t="s">
        <v>35</v>
      </c>
      <c r="O908" s="1" t="s">
        <v>48</v>
      </c>
      <c r="P908" s="1" t="s">
        <v>49</v>
      </c>
      <c r="Q908" s="1" t="s">
        <v>38</v>
      </c>
      <c r="R908" s="1" t="s">
        <v>2688</v>
      </c>
      <c r="S908" s="3">
        <v>918192000000</v>
      </c>
      <c r="T908" s="1" t="s">
        <v>86</v>
      </c>
      <c r="U908" s="1">
        <v>77</v>
      </c>
      <c r="V908" s="1">
        <v>66</v>
      </c>
      <c r="W908" s="1" t="s">
        <v>52</v>
      </c>
      <c r="X908" s="1">
        <v>304540</v>
      </c>
      <c r="Y908" s="2">
        <v>37776</v>
      </c>
      <c r="Z908" s="1">
        <v>2.1789737171464298</v>
      </c>
      <c r="AA908" s="1">
        <v>21</v>
      </c>
      <c r="AB908" s="1">
        <v>676000</v>
      </c>
      <c r="AC908" s="1">
        <f t="shared" si="14"/>
        <v>736000</v>
      </c>
    </row>
    <row r="909" spans="1:29" x14ac:dyDescent="0.25">
      <c r="A909" s="1" t="s">
        <v>2695</v>
      </c>
      <c r="B909" s="1" t="s">
        <v>2696</v>
      </c>
      <c r="C909" s="1" t="s">
        <v>2697</v>
      </c>
      <c r="D909" s="1">
        <v>2021</v>
      </c>
      <c r="E909" s="1" t="s">
        <v>45</v>
      </c>
      <c r="F909" s="1">
        <v>2</v>
      </c>
      <c r="G909" s="1" t="s">
        <v>46</v>
      </c>
      <c r="H909" s="1" t="s">
        <v>113</v>
      </c>
      <c r="I909" s="1">
        <v>92000</v>
      </c>
      <c r="J909" s="1">
        <v>77000</v>
      </c>
      <c r="K909" s="1">
        <v>15000</v>
      </c>
      <c r="L909" s="1">
        <v>0</v>
      </c>
      <c r="M909" s="1" t="s">
        <v>34</v>
      </c>
      <c r="N909" s="1" t="s">
        <v>63</v>
      </c>
      <c r="O909" s="1" t="s">
        <v>91</v>
      </c>
      <c r="P909" s="1" t="s">
        <v>92</v>
      </c>
      <c r="Q909" s="1" t="s">
        <v>38</v>
      </c>
      <c r="R909" s="1" t="s">
        <v>2698</v>
      </c>
      <c r="S909" s="3">
        <v>919287000000</v>
      </c>
      <c r="T909" s="1" t="s">
        <v>74</v>
      </c>
      <c r="U909" s="1">
        <v>77</v>
      </c>
      <c r="V909" s="1">
        <v>87</v>
      </c>
      <c r="W909" s="1" t="s">
        <v>41</v>
      </c>
      <c r="X909" s="1">
        <v>696007</v>
      </c>
      <c r="Y909" s="2">
        <v>36037</v>
      </c>
      <c r="Z909" s="1">
        <v>2.1789737171464298</v>
      </c>
      <c r="AA909" s="1">
        <v>25</v>
      </c>
      <c r="AB909" s="1">
        <v>184000</v>
      </c>
      <c r="AC909" s="1">
        <f t="shared" si="14"/>
        <v>214000</v>
      </c>
    </row>
    <row r="910" spans="1:29" x14ac:dyDescent="0.25">
      <c r="A910" s="1" t="s">
        <v>2715</v>
      </c>
      <c r="B910" s="1" t="s">
        <v>2716</v>
      </c>
      <c r="C910" s="1" t="s">
        <v>2717</v>
      </c>
      <c r="D910" s="1">
        <v>2021</v>
      </c>
      <c r="E910" s="1" t="s">
        <v>45</v>
      </c>
      <c r="F910" s="1">
        <v>2</v>
      </c>
      <c r="G910" s="1" t="s">
        <v>46</v>
      </c>
      <c r="H910" s="1" t="s">
        <v>47</v>
      </c>
      <c r="I910" s="1">
        <v>92000</v>
      </c>
      <c r="J910" s="1">
        <v>77000</v>
      </c>
      <c r="K910" s="1">
        <v>15000</v>
      </c>
      <c r="L910" s="1">
        <v>0</v>
      </c>
      <c r="M910" s="1" t="s">
        <v>34</v>
      </c>
      <c r="N910" s="1" t="s">
        <v>35</v>
      </c>
      <c r="O910" s="1" t="s">
        <v>36</v>
      </c>
      <c r="P910" s="1" t="s">
        <v>37</v>
      </c>
      <c r="Q910" s="1" t="s">
        <v>38</v>
      </c>
      <c r="R910" s="1" t="s">
        <v>2718</v>
      </c>
      <c r="S910" s="3">
        <v>918146000000</v>
      </c>
      <c r="T910" s="1" t="s">
        <v>74</v>
      </c>
      <c r="U910" s="1">
        <v>76</v>
      </c>
      <c r="V910" s="1">
        <v>70</v>
      </c>
      <c r="W910" s="1" t="s">
        <v>52</v>
      </c>
      <c r="X910" s="1">
        <v>313873</v>
      </c>
      <c r="Y910" s="2">
        <v>35330</v>
      </c>
      <c r="Z910" s="1">
        <v>1.1789737171464301</v>
      </c>
      <c r="AA910" s="1">
        <v>27</v>
      </c>
      <c r="AB910" s="1">
        <v>184000</v>
      </c>
      <c r="AC910" s="1">
        <f t="shared" si="14"/>
        <v>214000</v>
      </c>
    </row>
    <row r="911" spans="1:29" x14ac:dyDescent="0.25">
      <c r="A911" s="1" t="s">
        <v>2723</v>
      </c>
      <c r="B911" s="1" t="s">
        <v>2724</v>
      </c>
      <c r="C911" s="1" t="s">
        <v>2725</v>
      </c>
      <c r="D911" s="1">
        <v>2021</v>
      </c>
      <c r="E911" s="1" t="s">
        <v>31</v>
      </c>
      <c r="F911" s="1">
        <v>4</v>
      </c>
      <c r="G911" s="1" t="s">
        <v>32</v>
      </c>
      <c r="H911" s="1" t="s">
        <v>113</v>
      </c>
      <c r="I911" s="1">
        <v>169000</v>
      </c>
      <c r="J911" s="1">
        <v>154000</v>
      </c>
      <c r="K911" s="1">
        <v>15000</v>
      </c>
      <c r="L911" s="1">
        <v>0</v>
      </c>
      <c r="M911" s="1" t="s">
        <v>34</v>
      </c>
      <c r="N911" s="1" t="s">
        <v>63</v>
      </c>
      <c r="O911" s="1" t="s">
        <v>103</v>
      </c>
      <c r="P911" s="1" t="s">
        <v>104</v>
      </c>
      <c r="Q911" s="1" t="s">
        <v>38</v>
      </c>
      <c r="R911" s="1" t="s">
        <v>2726</v>
      </c>
      <c r="S911" s="3">
        <v>918853000000</v>
      </c>
      <c r="T911" s="1" t="s">
        <v>74</v>
      </c>
      <c r="U911" s="1">
        <v>76</v>
      </c>
      <c r="V911" s="1">
        <v>90</v>
      </c>
      <c r="W911" s="1" t="s">
        <v>41</v>
      </c>
      <c r="X911" s="1">
        <v>191814</v>
      </c>
      <c r="Y911" s="2">
        <v>36933</v>
      </c>
      <c r="Z911" s="1">
        <v>1.1789737171464301</v>
      </c>
      <c r="AA911" s="1">
        <v>23</v>
      </c>
      <c r="AB911" s="1">
        <v>676000</v>
      </c>
      <c r="AC911" s="1">
        <f t="shared" si="14"/>
        <v>736000</v>
      </c>
    </row>
    <row r="912" spans="1:29" x14ac:dyDescent="0.25">
      <c r="A912" s="1" t="s">
        <v>2731</v>
      </c>
      <c r="B912" s="1" t="s">
        <v>2732</v>
      </c>
      <c r="C912" s="1" t="s">
        <v>2733</v>
      </c>
      <c r="D912" s="1">
        <v>2021</v>
      </c>
      <c r="E912" s="1" t="s">
        <v>45</v>
      </c>
      <c r="F912" s="1">
        <v>2</v>
      </c>
      <c r="G912" s="1" t="s">
        <v>46</v>
      </c>
      <c r="H912" s="1" t="s">
        <v>90</v>
      </c>
      <c r="I912" s="1">
        <v>92000</v>
      </c>
      <c r="J912" s="1">
        <v>77000</v>
      </c>
      <c r="K912" s="1">
        <v>15000</v>
      </c>
      <c r="L912" s="1">
        <v>0</v>
      </c>
      <c r="M912" s="1" t="s">
        <v>34</v>
      </c>
      <c r="N912" s="1" t="s">
        <v>63</v>
      </c>
      <c r="O912" s="1" t="s">
        <v>71</v>
      </c>
      <c r="P912" s="1" t="s">
        <v>72</v>
      </c>
      <c r="Q912" s="1" t="s">
        <v>38</v>
      </c>
      <c r="R912" s="1" t="s">
        <v>2734</v>
      </c>
      <c r="S912" s="3">
        <v>917653000000</v>
      </c>
      <c r="T912" s="1" t="s">
        <v>98</v>
      </c>
      <c r="U912" s="1">
        <v>76</v>
      </c>
      <c r="V912" s="1">
        <v>86</v>
      </c>
      <c r="W912" s="1" t="s">
        <v>41</v>
      </c>
      <c r="X912" s="1">
        <v>236379</v>
      </c>
      <c r="Y912" s="2">
        <v>35484</v>
      </c>
      <c r="Z912" s="1">
        <v>1.1789737171464301</v>
      </c>
      <c r="AA912" s="1">
        <v>27</v>
      </c>
      <c r="AB912" s="1">
        <v>184000</v>
      </c>
      <c r="AC912" s="1">
        <f t="shared" si="14"/>
        <v>214000</v>
      </c>
    </row>
    <row r="913" spans="1:29" x14ac:dyDescent="0.25">
      <c r="A913" s="1" t="s">
        <v>2751</v>
      </c>
      <c r="B913" s="1" t="s">
        <v>2752</v>
      </c>
      <c r="C913" s="1" t="s">
        <v>2753</v>
      </c>
      <c r="D913" s="1">
        <v>2021</v>
      </c>
      <c r="E913" s="1" t="s">
        <v>31</v>
      </c>
      <c r="F913" s="1">
        <v>4</v>
      </c>
      <c r="G913" s="1" t="s">
        <v>32</v>
      </c>
      <c r="H913" s="1" t="s">
        <v>151</v>
      </c>
      <c r="I913" s="1">
        <v>169000</v>
      </c>
      <c r="J913" s="1">
        <v>154000</v>
      </c>
      <c r="K913" s="1">
        <v>15000</v>
      </c>
      <c r="L913" s="1">
        <v>0</v>
      </c>
      <c r="M913" s="1" t="s">
        <v>34</v>
      </c>
      <c r="N913" s="1" t="s">
        <v>35</v>
      </c>
      <c r="O913" s="1" t="s">
        <v>103</v>
      </c>
      <c r="P913" s="1" t="s">
        <v>104</v>
      </c>
      <c r="Q913" s="1" t="s">
        <v>38</v>
      </c>
      <c r="R913" s="1" t="s">
        <v>2754</v>
      </c>
      <c r="S913" s="3">
        <v>917240000000</v>
      </c>
      <c r="T913" s="1" t="s">
        <v>86</v>
      </c>
      <c r="U913" s="1">
        <v>76</v>
      </c>
      <c r="V913" s="1">
        <v>80</v>
      </c>
      <c r="W913" s="1" t="s">
        <v>52</v>
      </c>
      <c r="X913" s="1">
        <v>746510</v>
      </c>
      <c r="Y913" s="2">
        <v>37815</v>
      </c>
      <c r="Z913" s="1">
        <v>1.1789737171464301</v>
      </c>
      <c r="AA913" s="1">
        <v>20</v>
      </c>
      <c r="AB913" s="1">
        <v>676000</v>
      </c>
      <c r="AC913" s="1">
        <f t="shared" si="14"/>
        <v>736000</v>
      </c>
    </row>
    <row r="914" spans="1:29" x14ac:dyDescent="0.25">
      <c r="A914" s="1" t="s">
        <v>2760</v>
      </c>
      <c r="B914" s="1" t="s">
        <v>2761</v>
      </c>
      <c r="C914" s="1" t="s">
        <v>2762</v>
      </c>
      <c r="D914" s="1">
        <v>2021</v>
      </c>
      <c r="E914" s="1" t="s">
        <v>31</v>
      </c>
      <c r="F914" s="1">
        <v>4</v>
      </c>
      <c r="G914" s="1" t="s">
        <v>32</v>
      </c>
      <c r="H914" s="1" t="s">
        <v>62</v>
      </c>
      <c r="I914" s="1">
        <v>169000</v>
      </c>
      <c r="J914" s="1">
        <v>154000</v>
      </c>
      <c r="K914" s="1">
        <v>15000</v>
      </c>
      <c r="L914" s="1">
        <v>0</v>
      </c>
      <c r="M914" s="1" t="s">
        <v>34</v>
      </c>
      <c r="N914" s="1" t="s">
        <v>35</v>
      </c>
      <c r="O914" s="1" t="s">
        <v>36</v>
      </c>
      <c r="P914" s="1" t="s">
        <v>37</v>
      </c>
      <c r="Q914" s="1" t="s">
        <v>38</v>
      </c>
      <c r="R914" s="1" t="s">
        <v>2763</v>
      </c>
      <c r="S914" s="3">
        <v>917306000000</v>
      </c>
      <c r="T914" s="1" t="s">
        <v>74</v>
      </c>
      <c r="U914" s="1">
        <v>76</v>
      </c>
      <c r="V914" s="1">
        <v>85</v>
      </c>
      <c r="W914" s="1" t="s">
        <v>41</v>
      </c>
      <c r="X914" s="1">
        <v>584727</v>
      </c>
      <c r="Y914" s="2">
        <v>38159</v>
      </c>
      <c r="Z914" s="1">
        <v>1.1789737171464301</v>
      </c>
      <c r="AA914" s="1">
        <v>20</v>
      </c>
      <c r="AB914" s="1">
        <v>676000</v>
      </c>
      <c r="AC914" s="1">
        <f t="shared" si="14"/>
        <v>736000</v>
      </c>
    </row>
    <row r="915" spans="1:29" x14ac:dyDescent="0.25">
      <c r="A915" s="1" t="s">
        <v>2764</v>
      </c>
      <c r="B915" s="1" t="s">
        <v>137</v>
      </c>
      <c r="C915" s="1" t="s">
        <v>138</v>
      </c>
      <c r="D915" s="1">
        <v>2021</v>
      </c>
      <c r="E915" s="1" t="s">
        <v>31</v>
      </c>
      <c r="F915" s="1">
        <v>4</v>
      </c>
      <c r="G915" s="1" t="s">
        <v>32</v>
      </c>
      <c r="H915" s="1" t="s">
        <v>33</v>
      </c>
      <c r="I915" s="1">
        <v>169000</v>
      </c>
      <c r="J915" s="1">
        <v>154000</v>
      </c>
      <c r="K915" s="1">
        <v>15000</v>
      </c>
      <c r="L915" s="1">
        <v>0</v>
      </c>
      <c r="M915" s="1" t="s">
        <v>34</v>
      </c>
      <c r="N915" s="1" t="s">
        <v>70</v>
      </c>
      <c r="O915" s="1" t="s">
        <v>57</v>
      </c>
      <c r="P915" s="1" t="s">
        <v>57</v>
      </c>
      <c r="Q915" s="1" t="s">
        <v>38</v>
      </c>
      <c r="R915" s="1" t="s">
        <v>2765</v>
      </c>
      <c r="S915" s="3">
        <v>919251000000</v>
      </c>
      <c r="T915" s="1" t="s">
        <v>86</v>
      </c>
      <c r="U915" s="1">
        <v>76</v>
      </c>
      <c r="V915" s="1">
        <v>81</v>
      </c>
      <c r="W915" s="1" t="s">
        <v>41</v>
      </c>
      <c r="X915" s="1">
        <v>777690</v>
      </c>
      <c r="Y915" s="2">
        <v>37326</v>
      </c>
      <c r="Z915" s="1">
        <v>1.1789737171464301</v>
      </c>
      <c r="AA915" s="1">
        <v>22</v>
      </c>
      <c r="AB915" s="1">
        <v>676000</v>
      </c>
      <c r="AC915" s="1">
        <f t="shared" si="14"/>
        <v>736000</v>
      </c>
    </row>
    <row r="916" spans="1:29" x14ac:dyDescent="0.25">
      <c r="A916" s="1" t="s">
        <v>2826</v>
      </c>
      <c r="B916" s="1" t="s">
        <v>2827</v>
      </c>
      <c r="C916" s="1" t="s">
        <v>2828</v>
      </c>
      <c r="D916" s="1">
        <v>2021</v>
      </c>
      <c r="E916" s="1" t="s">
        <v>31</v>
      </c>
      <c r="F916" s="1">
        <v>4</v>
      </c>
      <c r="G916" s="1" t="s">
        <v>32</v>
      </c>
      <c r="H916" s="1" t="s">
        <v>47</v>
      </c>
      <c r="I916" s="1">
        <v>169000</v>
      </c>
      <c r="J916" s="1">
        <v>154000</v>
      </c>
      <c r="K916" s="1">
        <v>15000</v>
      </c>
      <c r="L916" s="1">
        <v>0</v>
      </c>
      <c r="M916" s="1" t="s">
        <v>34</v>
      </c>
      <c r="N916" s="1" t="s">
        <v>35</v>
      </c>
      <c r="O916" s="1" t="s">
        <v>84</v>
      </c>
      <c r="P916" s="1" t="s">
        <v>65</v>
      </c>
      <c r="Q916" s="1" t="s">
        <v>38</v>
      </c>
      <c r="R916" s="1" t="s">
        <v>2829</v>
      </c>
      <c r="S916" s="3">
        <v>917955000000</v>
      </c>
      <c r="T916" s="1" t="s">
        <v>40</v>
      </c>
      <c r="U916" s="1">
        <v>76</v>
      </c>
      <c r="V916" s="1">
        <v>86</v>
      </c>
      <c r="W916" s="1" t="s">
        <v>41</v>
      </c>
      <c r="X916" s="1">
        <v>444771</v>
      </c>
      <c r="Y916" s="2">
        <v>37533</v>
      </c>
      <c r="Z916" s="1">
        <v>1.1789737171464301</v>
      </c>
      <c r="AA916" s="1">
        <v>21</v>
      </c>
      <c r="AB916" s="1">
        <v>676000</v>
      </c>
      <c r="AC916" s="1">
        <f t="shared" si="14"/>
        <v>736000</v>
      </c>
    </row>
    <row r="917" spans="1:29" x14ac:dyDescent="0.25">
      <c r="A917" s="1" t="s">
        <v>2834</v>
      </c>
      <c r="B917" s="1" t="s">
        <v>2835</v>
      </c>
      <c r="C917" s="1" t="s">
        <v>2836</v>
      </c>
      <c r="D917" s="1">
        <v>2021</v>
      </c>
      <c r="E917" s="1" t="s">
        <v>31</v>
      </c>
      <c r="F917" s="1">
        <v>4</v>
      </c>
      <c r="G917" s="1" t="s">
        <v>32</v>
      </c>
      <c r="H917" s="1" t="s">
        <v>47</v>
      </c>
      <c r="I917" s="1">
        <v>169000</v>
      </c>
      <c r="J917" s="1">
        <v>154000</v>
      </c>
      <c r="K917" s="1">
        <v>15000</v>
      </c>
      <c r="L917" s="1">
        <v>0</v>
      </c>
      <c r="M917" s="1" t="s">
        <v>34</v>
      </c>
      <c r="N917" s="1" t="s">
        <v>70</v>
      </c>
      <c r="O917" s="1" t="s">
        <v>71</v>
      </c>
      <c r="P917" s="1" t="s">
        <v>72</v>
      </c>
      <c r="Q917" s="1" t="s">
        <v>38</v>
      </c>
      <c r="R917" s="1" t="s">
        <v>2837</v>
      </c>
      <c r="S917" s="3">
        <v>917269000000</v>
      </c>
      <c r="T917" s="1" t="s">
        <v>40</v>
      </c>
      <c r="U917" s="1">
        <v>76</v>
      </c>
      <c r="V917" s="1">
        <v>61</v>
      </c>
      <c r="W917" s="1" t="s">
        <v>41</v>
      </c>
      <c r="X917" s="1">
        <v>416431</v>
      </c>
      <c r="Y917" s="2">
        <v>37281</v>
      </c>
      <c r="Z917" s="1">
        <v>1.1789737171464301</v>
      </c>
      <c r="AA917" s="1">
        <v>22</v>
      </c>
      <c r="AB917" s="1">
        <v>676000</v>
      </c>
      <c r="AC917" s="1">
        <f t="shared" si="14"/>
        <v>736000</v>
      </c>
    </row>
    <row r="918" spans="1:29" x14ac:dyDescent="0.25">
      <c r="A918" s="1" t="s">
        <v>2906</v>
      </c>
      <c r="B918" s="1" t="s">
        <v>2907</v>
      </c>
      <c r="C918" s="1" t="s">
        <v>2908</v>
      </c>
      <c r="D918" s="1">
        <v>2021</v>
      </c>
      <c r="E918" s="1" t="s">
        <v>31</v>
      </c>
      <c r="F918" s="1">
        <v>4</v>
      </c>
      <c r="G918" s="1" t="s">
        <v>32</v>
      </c>
      <c r="H918" s="1" t="s">
        <v>47</v>
      </c>
      <c r="I918" s="1">
        <v>169000</v>
      </c>
      <c r="J918" s="1">
        <v>154000</v>
      </c>
      <c r="K918" s="1">
        <v>15000</v>
      </c>
      <c r="L918" s="1">
        <v>0</v>
      </c>
      <c r="M918" s="1" t="s">
        <v>34</v>
      </c>
      <c r="N918" s="1" t="s">
        <v>35</v>
      </c>
      <c r="O918" s="1" t="s">
        <v>36</v>
      </c>
      <c r="P918" s="1" t="s">
        <v>37</v>
      </c>
      <c r="Q918" s="1" t="s">
        <v>38</v>
      </c>
      <c r="R918" s="1" t="s">
        <v>2909</v>
      </c>
      <c r="S918" s="3">
        <v>917417000000</v>
      </c>
      <c r="T918" s="1" t="s">
        <v>40</v>
      </c>
      <c r="U918" s="1">
        <v>76</v>
      </c>
      <c r="V918" s="1">
        <v>89</v>
      </c>
      <c r="W918" s="1" t="s">
        <v>41</v>
      </c>
      <c r="X918" s="1">
        <v>435822</v>
      </c>
      <c r="Y918" s="2">
        <v>38144</v>
      </c>
      <c r="Z918" s="1">
        <v>1.1789737171464301</v>
      </c>
      <c r="AA918" s="1">
        <v>20</v>
      </c>
      <c r="AB918" s="1">
        <v>676000</v>
      </c>
      <c r="AC918" s="1">
        <f t="shared" si="14"/>
        <v>736000</v>
      </c>
    </row>
    <row r="919" spans="1:29" x14ac:dyDescent="0.25">
      <c r="A919" s="1" t="s">
        <v>2918</v>
      </c>
      <c r="B919" s="1" t="s">
        <v>2919</v>
      </c>
      <c r="C919" s="1" t="s">
        <v>2920</v>
      </c>
      <c r="D919" s="1">
        <v>2021</v>
      </c>
      <c r="E919" s="1" t="s">
        <v>45</v>
      </c>
      <c r="F919" s="1">
        <v>2</v>
      </c>
      <c r="G919" s="1" t="s">
        <v>46</v>
      </c>
      <c r="H919" s="1" t="s">
        <v>102</v>
      </c>
      <c r="I919" s="1">
        <v>92000</v>
      </c>
      <c r="J919" s="1">
        <v>77000</v>
      </c>
      <c r="K919" s="1">
        <v>15000</v>
      </c>
      <c r="L919" s="1">
        <v>0</v>
      </c>
      <c r="M919" s="1" t="s">
        <v>34</v>
      </c>
      <c r="N919" s="1" t="s">
        <v>63</v>
      </c>
      <c r="O919" s="1" t="s">
        <v>48</v>
      </c>
      <c r="P919" s="1" t="s">
        <v>49</v>
      </c>
      <c r="Q919" s="1" t="s">
        <v>38</v>
      </c>
      <c r="R919" s="1" t="s">
        <v>2921</v>
      </c>
      <c r="S919" s="3">
        <v>917333000000</v>
      </c>
      <c r="T919" s="1" t="s">
        <v>40</v>
      </c>
      <c r="U919" s="1">
        <v>75</v>
      </c>
      <c r="V919" s="1">
        <v>75</v>
      </c>
      <c r="W919" s="1" t="s">
        <v>41</v>
      </c>
      <c r="X919" s="1">
        <v>422285</v>
      </c>
      <c r="Y919" s="2">
        <v>35476</v>
      </c>
      <c r="Z919" s="1">
        <v>0.17897371714643301</v>
      </c>
      <c r="AA919" s="1">
        <v>27</v>
      </c>
      <c r="AB919" s="1">
        <v>184000</v>
      </c>
      <c r="AC919" s="1">
        <f t="shared" si="14"/>
        <v>214000</v>
      </c>
    </row>
    <row r="920" spans="1:29" x14ac:dyDescent="0.25">
      <c r="A920" s="1" t="s">
        <v>2944</v>
      </c>
      <c r="B920" s="1" t="s">
        <v>2945</v>
      </c>
      <c r="C920" s="1" t="s">
        <v>2946</v>
      </c>
      <c r="D920" s="1">
        <v>2021</v>
      </c>
      <c r="E920" s="1" t="s">
        <v>31</v>
      </c>
      <c r="F920" s="1">
        <v>4</v>
      </c>
      <c r="G920" s="1" t="s">
        <v>32</v>
      </c>
      <c r="H920" s="1" t="s">
        <v>90</v>
      </c>
      <c r="I920" s="1">
        <v>169000</v>
      </c>
      <c r="J920" s="1">
        <v>154000</v>
      </c>
      <c r="K920" s="1">
        <v>15000</v>
      </c>
      <c r="L920" s="1">
        <v>0</v>
      </c>
      <c r="M920" s="1" t="s">
        <v>34</v>
      </c>
      <c r="N920" s="1" t="s">
        <v>63</v>
      </c>
      <c r="O920" s="1" t="s">
        <v>78</v>
      </c>
      <c r="P920" s="1" t="s">
        <v>79</v>
      </c>
      <c r="Q920" s="1" t="s">
        <v>38</v>
      </c>
      <c r="R920" s="1" t="s">
        <v>2947</v>
      </c>
      <c r="S920" s="3">
        <v>918342000000</v>
      </c>
      <c r="T920" s="1" t="s">
        <v>51</v>
      </c>
      <c r="U920" s="1">
        <v>75</v>
      </c>
      <c r="V920" s="1">
        <v>75</v>
      </c>
      <c r="W920" s="1" t="s">
        <v>41</v>
      </c>
      <c r="X920" s="1">
        <v>412768</v>
      </c>
      <c r="Y920" s="2">
        <v>37735</v>
      </c>
      <c r="Z920" s="1">
        <v>0.17897371714643301</v>
      </c>
      <c r="AA920" s="1">
        <v>21</v>
      </c>
      <c r="AB920" s="1">
        <v>676000</v>
      </c>
      <c r="AC920" s="1">
        <f t="shared" si="14"/>
        <v>736000</v>
      </c>
    </row>
    <row r="921" spans="1:29" x14ac:dyDescent="0.25">
      <c r="A921" s="1" t="s">
        <v>2958</v>
      </c>
      <c r="B921" s="1" t="s">
        <v>2525</v>
      </c>
      <c r="C921" s="1" t="s">
        <v>2526</v>
      </c>
      <c r="D921" s="1">
        <v>2021</v>
      </c>
      <c r="E921" s="1" t="s">
        <v>45</v>
      </c>
      <c r="F921" s="1">
        <v>2</v>
      </c>
      <c r="G921" s="1" t="s">
        <v>46</v>
      </c>
      <c r="H921" s="1" t="s">
        <v>113</v>
      </c>
      <c r="I921" s="1">
        <v>92000</v>
      </c>
      <c r="J921" s="1">
        <v>77000</v>
      </c>
      <c r="K921" s="1">
        <v>15000</v>
      </c>
      <c r="L921" s="1">
        <v>0</v>
      </c>
      <c r="M921" s="1" t="s">
        <v>34</v>
      </c>
      <c r="N921" s="1" t="s">
        <v>70</v>
      </c>
      <c r="O921" s="1" t="s">
        <v>71</v>
      </c>
      <c r="P921" s="1" t="s">
        <v>72</v>
      </c>
      <c r="Q921" s="1" t="s">
        <v>38</v>
      </c>
      <c r="R921" s="1" t="s">
        <v>2959</v>
      </c>
      <c r="S921" s="3">
        <v>919971000000</v>
      </c>
      <c r="T921" s="1" t="s">
        <v>98</v>
      </c>
      <c r="U921" s="1">
        <v>75</v>
      </c>
      <c r="V921" s="1">
        <v>83</v>
      </c>
      <c r="W921" s="1" t="s">
        <v>41</v>
      </c>
      <c r="X921" s="1">
        <v>137831</v>
      </c>
      <c r="Y921" s="2">
        <v>36130</v>
      </c>
      <c r="Z921" s="1">
        <v>0.17897371714643301</v>
      </c>
      <c r="AA921" s="1">
        <v>25</v>
      </c>
      <c r="AB921" s="1">
        <v>184000</v>
      </c>
      <c r="AC921" s="1">
        <f t="shared" si="14"/>
        <v>214000</v>
      </c>
    </row>
    <row r="922" spans="1:29" x14ac:dyDescent="0.25">
      <c r="A922" s="1" t="s">
        <v>2960</v>
      </c>
      <c r="B922" s="1" t="s">
        <v>2961</v>
      </c>
      <c r="C922" s="1" t="s">
        <v>2962</v>
      </c>
      <c r="D922" s="1">
        <v>2021</v>
      </c>
      <c r="E922" s="1" t="s">
        <v>31</v>
      </c>
      <c r="F922" s="1">
        <v>4</v>
      </c>
      <c r="G922" s="1" t="s">
        <v>32</v>
      </c>
      <c r="H922" s="1" t="s">
        <v>113</v>
      </c>
      <c r="I922" s="1">
        <v>169000</v>
      </c>
      <c r="J922" s="1">
        <v>154000</v>
      </c>
      <c r="K922" s="1">
        <v>15000</v>
      </c>
      <c r="L922" s="1">
        <v>0</v>
      </c>
      <c r="M922" s="1" t="s">
        <v>34</v>
      </c>
      <c r="N922" s="1" t="s">
        <v>35</v>
      </c>
      <c r="O922" s="1" t="s">
        <v>48</v>
      </c>
      <c r="P922" s="1" t="s">
        <v>49</v>
      </c>
      <c r="Q922" s="1" t="s">
        <v>38</v>
      </c>
      <c r="R922" s="1" t="s">
        <v>2963</v>
      </c>
      <c r="S922" s="3">
        <v>919696000000</v>
      </c>
      <c r="T922" s="1" t="s">
        <v>98</v>
      </c>
      <c r="U922" s="1">
        <v>75</v>
      </c>
      <c r="V922" s="1">
        <v>87</v>
      </c>
      <c r="W922" s="1" t="s">
        <v>52</v>
      </c>
      <c r="X922" s="1">
        <v>752720</v>
      </c>
      <c r="Y922" s="2">
        <v>38303</v>
      </c>
      <c r="Z922" s="1">
        <v>0.17897371714643301</v>
      </c>
      <c r="AA922" s="1">
        <v>19</v>
      </c>
      <c r="AB922" s="1">
        <v>676000</v>
      </c>
      <c r="AC922" s="1">
        <f t="shared" si="14"/>
        <v>736000</v>
      </c>
    </row>
    <row r="923" spans="1:29" x14ac:dyDescent="0.25">
      <c r="A923" s="1" t="s">
        <v>3018</v>
      </c>
      <c r="B923" s="1" t="s">
        <v>2919</v>
      </c>
      <c r="C923" s="1" t="s">
        <v>2920</v>
      </c>
      <c r="D923" s="1">
        <v>2021</v>
      </c>
      <c r="E923" s="1" t="s">
        <v>31</v>
      </c>
      <c r="F923" s="1">
        <v>4</v>
      </c>
      <c r="G923" s="1" t="s">
        <v>32</v>
      </c>
      <c r="H923" s="1" t="s">
        <v>113</v>
      </c>
      <c r="I923" s="1">
        <v>169000</v>
      </c>
      <c r="J923" s="1">
        <v>154000</v>
      </c>
      <c r="K923" s="1">
        <v>15000</v>
      </c>
      <c r="L923" s="1">
        <v>0</v>
      </c>
      <c r="M923" s="1" t="s">
        <v>34</v>
      </c>
      <c r="N923" s="1" t="s">
        <v>63</v>
      </c>
      <c r="O923" s="1" t="s">
        <v>48</v>
      </c>
      <c r="P923" s="1" t="s">
        <v>49</v>
      </c>
      <c r="Q923" s="1" t="s">
        <v>38</v>
      </c>
      <c r="R923" s="1" t="s">
        <v>3019</v>
      </c>
      <c r="S923" s="3">
        <v>918901000000</v>
      </c>
      <c r="T923" s="1" t="s">
        <v>74</v>
      </c>
      <c r="U923" s="1">
        <v>75</v>
      </c>
      <c r="V923" s="1">
        <v>91</v>
      </c>
      <c r="W923" s="1" t="s">
        <v>52</v>
      </c>
      <c r="X923" s="1">
        <v>554530</v>
      </c>
      <c r="Y923" s="2">
        <v>38814</v>
      </c>
      <c r="Z923" s="1">
        <v>0.17897371714643301</v>
      </c>
      <c r="AA923" s="1">
        <v>18</v>
      </c>
      <c r="AB923" s="1">
        <v>676000</v>
      </c>
      <c r="AC923" s="1">
        <f t="shared" si="14"/>
        <v>736000</v>
      </c>
    </row>
    <row r="924" spans="1:29" x14ac:dyDescent="0.25">
      <c r="A924" s="1" t="s">
        <v>3068</v>
      </c>
      <c r="B924" s="1" t="s">
        <v>3069</v>
      </c>
      <c r="C924" s="1" t="s">
        <v>3070</v>
      </c>
      <c r="D924" s="1">
        <v>2021</v>
      </c>
      <c r="E924" s="1" t="s">
        <v>45</v>
      </c>
      <c r="F924" s="1">
        <v>2</v>
      </c>
      <c r="G924" s="1" t="s">
        <v>46</v>
      </c>
      <c r="H924" s="1" t="s">
        <v>90</v>
      </c>
      <c r="I924" s="1">
        <v>92000</v>
      </c>
      <c r="J924" s="1">
        <v>77000</v>
      </c>
      <c r="K924" s="1">
        <v>15000</v>
      </c>
      <c r="L924" s="1">
        <v>0</v>
      </c>
      <c r="M924" s="1" t="s">
        <v>34</v>
      </c>
      <c r="N924" s="1" t="s">
        <v>70</v>
      </c>
      <c r="O924" s="1" t="s">
        <v>188</v>
      </c>
      <c r="P924" s="1" t="s">
        <v>189</v>
      </c>
      <c r="Q924" s="1" t="s">
        <v>38</v>
      </c>
      <c r="R924" s="1" t="s">
        <v>3071</v>
      </c>
      <c r="S924" s="3">
        <v>917585000000</v>
      </c>
      <c r="T924" s="1" t="s">
        <v>51</v>
      </c>
      <c r="U924" s="1">
        <v>75</v>
      </c>
      <c r="V924" s="1">
        <v>73</v>
      </c>
      <c r="W924" s="1" t="s">
        <v>41</v>
      </c>
      <c r="X924" s="1">
        <v>279893</v>
      </c>
      <c r="Y924" s="2">
        <v>36714</v>
      </c>
      <c r="Z924" s="1">
        <v>0.17897371714643301</v>
      </c>
      <c r="AA924" s="1">
        <v>24</v>
      </c>
      <c r="AB924" s="1">
        <v>184000</v>
      </c>
      <c r="AC924" s="1">
        <f t="shared" si="14"/>
        <v>214000</v>
      </c>
    </row>
    <row r="925" spans="1:29" x14ac:dyDescent="0.25">
      <c r="A925" s="1" t="s">
        <v>3076</v>
      </c>
      <c r="B925" s="1" t="s">
        <v>3077</v>
      </c>
      <c r="C925" s="1" t="s">
        <v>3078</v>
      </c>
      <c r="D925" s="1">
        <v>2021</v>
      </c>
      <c r="E925" s="1" t="s">
        <v>31</v>
      </c>
      <c r="F925" s="1">
        <v>4</v>
      </c>
      <c r="G925" s="1" t="s">
        <v>32</v>
      </c>
      <c r="H925" s="1" t="s">
        <v>62</v>
      </c>
      <c r="I925" s="1">
        <v>169000</v>
      </c>
      <c r="J925" s="1">
        <v>154000</v>
      </c>
      <c r="K925" s="1">
        <v>15000</v>
      </c>
      <c r="L925" s="1">
        <v>0</v>
      </c>
      <c r="M925" s="1" t="s">
        <v>34</v>
      </c>
      <c r="N925" s="1" t="s">
        <v>70</v>
      </c>
      <c r="O925" s="1" t="s">
        <v>78</v>
      </c>
      <c r="P925" s="1" t="s">
        <v>79</v>
      </c>
      <c r="Q925" s="1" t="s">
        <v>38</v>
      </c>
      <c r="R925" s="1" t="s">
        <v>3079</v>
      </c>
      <c r="S925" s="3">
        <v>918314000000</v>
      </c>
      <c r="T925" s="1" t="s">
        <v>40</v>
      </c>
      <c r="U925" s="1">
        <v>74</v>
      </c>
      <c r="V925" s="1">
        <v>82</v>
      </c>
      <c r="W925" s="1" t="s">
        <v>41</v>
      </c>
      <c r="X925" s="1">
        <v>326598</v>
      </c>
      <c r="Y925" s="2">
        <v>37956</v>
      </c>
      <c r="Z925" s="1">
        <v>-0.82102628285356605</v>
      </c>
      <c r="AA925" s="1">
        <v>20</v>
      </c>
      <c r="AB925" s="1">
        <v>676000</v>
      </c>
      <c r="AC925" s="1">
        <f t="shared" si="14"/>
        <v>736000</v>
      </c>
    </row>
    <row r="926" spans="1:29" x14ac:dyDescent="0.25">
      <c r="A926" s="1" t="s">
        <v>3110</v>
      </c>
      <c r="B926" s="1" t="s">
        <v>3111</v>
      </c>
      <c r="C926" s="1" t="s">
        <v>3112</v>
      </c>
      <c r="D926" s="1">
        <v>2021</v>
      </c>
      <c r="E926" s="1" t="s">
        <v>45</v>
      </c>
      <c r="F926" s="1">
        <v>2</v>
      </c>
      <c r="G926" s="1" t="s">
        <v>46</v>
      </c>
      <c r="H926" s="1" t="s">
        <v>102</v>
      </c>
      <c r="I926" s="1">
        <v>92000</v>
      </c>
      <c r="J926" s="1">
        <v>77000</v>
      </c>
      <c r="K926" s="1">
        <v>15000</v>
      </c>
      <c r="L926" s="1">
        <v>0</v>
      </c>
      <c r="M926" s="1" t="s">
        <v>34</v>
      </c>
      <c r="N926" s="1" t="s">
        <v>63</v>
      </c>
      <c r="O926" s="1" t="s">
        <v>71</v>
      </c>
      <c r="P926" s="1" t="s">
        <v>72</v>
      </c>
      <c r="Q926" s="1" t="s">
        <v>38</v>
      </c>
      <c r="R926" s="1" t="s">
        <v>3113</v>
      </c>
      <c r="S926" s="3">
        <v>919812000000</v>
      </c>
      <c r="T926" s="1" t="s">
        <v>98</v>
      </c>
      <c r="U926" s="1">
        <v>74</v>
      </c>
      <c r="V926" s="1">
        <v>88</v>
      </c>
      <c r="W926" s="1" t="s">
        <v>41</v>
      </c>
      <c r="X926" s="1">
        <v>659085</v>
      </c>
      <c r="Y926" s="2">
        <v>36065</v>
      </c>
      <c r="Z926" s="1">
        <v>-0.82102628285356605</v>
      </c>
      <c r="AA926" s="1">
        <v>25</v>
      </c>
      <c r="AB926" s="1">
        <v>184000</v>
      </c>
      <c r="AC926" s="1">
        <f t="shared" si="14"/>
        <v>214000</v>
      </c>
    </row>
    <row r="927" spans="1:29" x14ac:dyDescent="0.25">
      <c r="A927" s="1" t="s">
        <v>3118</v>
      </c>
      <c r="B927" s="1" t="s">
        <v>3119</v>
      </c>
      <c r="C927" s="1" t="s">
        <v>3120</v>
      </c>
      <c r="D927" s="1">
        <v>2021</v>
      </c>
      <c r="E927" s="1" t="s">
        <v>31</v>
      </c>
      <c r="F927" s="1">
        <v>4</v>
      </c>
      <c r="G927" s="1" t="s">
        <v>32</v>
      </c>
      <c r="H927" s="1" t="s">
        <v>151</v>
      </c>
      <c r="I927" s="1">
        <v>169000</v>
      </c>
      <c r="J927" s="1">
        <v>154000</v>
      </c>
      <c r="K927" s="1">
        <v>15000</v>
      </c>
      <c r="L927" s="1">
        <v>0</v>
      </c>
      <c r="M927" s="1" t="s">
        <v>34</v>
      </c>
      <c r="N927" s="1" t="s">
        <v>70</v>
      </c>
      <c r="O927" s="1" t="s">
        <v>57</v>
      </c>
      <c r="P927" s="1" t="s">
        <v>57</v>
      </c>
      <c r="Q927" s="1" t="s">
        <v>38</v>
      </c>
      <c r="R927" s="1" t="s">
        <v>3121</v>
      </c>
      <c r="S927" s="3">
        <v>918577000000</v>
      </c>
      <c r="T927" s="1" t="s">
        <v>86</v>
      </c>
      <c r="U927" s="1">
        <v>74</v>
      </c>
      <c r="V927" s="1">
        <v>89</v>
      </c>
      <c r="W927" s="1" t="s">
        <v>52</v>
      </c>
      <c r="X927" s="1">
        <v>125332</v>
      </c>
      <c r="Y927" s="2">
        <v>38858</v>
      </c>
      <c r="Z927" s="1">
        <v>-0.82102628285356605</v>
      </c>
      <c r="AA927" s="1">
        <v>18</v>
      </c>
      <c r="AB927" s="1">
        <v>676000</v>
      </c>
      <c r="AC927" s="1">
        <f t="shared" si="14"/>
        <v>736000</v>
      </c>
    </row>
    <row r="928" spans="1:29" x14ac:dyDescent="0.25">
      <c r="A928" s="1" t="s">
        <v>3122</v>
      </c>
      <c r="B928" s="1" t="s">
        <v>3123</v>
      </c>
      <c r="C928" s="1" t="s">
        <v>3124</v>
      </c>
      <c r="D928" s="1">
        <v>2021</v>
      </c>
      <c r="E928" s="1" t="s">
        <v>31</v>
      </c>
      <c r="F928" s="1">
        <v>4</v>
      </c>
      <c r="G928" s="1" t="s">
        <v>32</v>
      </c>
      <c r="H928" s="1" t="s">
        <v>113</v>
      </c>
      <c r="I928" s="1">
        <v>169000</v>
      </c>
      <c r="J928" s="1">
        <v>154000</v>
      </c>
      <c r="K928" s="1">
        <v>15000</v>
      </c>
      <c r="L928" s="1">
        <v>0</v>
      </c>
      <c r="M928" s="1" t="s">
        <v>34</v>
      </c>
      <c r="N928" s="1" t="s">
        <v>35</v>
      </c>
      <c r="O928" s="1" t="s">
        <v>103</v>
      </c>
      <c r="P928" s="1" t="s">
        <v>104</v>
      </c>
      <c r="Q928" s="1" t="s">
        <v>38</v>
      </c>
      <c r="R928" s="1" t="s">
        <v>3125</v>
      </c>
      <c r="S928" s="3">
        <v>917219000000</v>
      </c>
      <c r="T928" s="1" t="s">
        <v>74</v>
      </c>
      <c r="U928" s="1">
        <v>74</v>
      </c>
      <c r="V928" s="1">
        <v>79</v>
      </c>
      <c r="W928" s="1" t="s">
        <v>52</v>
      </c>
      <c r="X928" s="1">
        <v>110946</v>
      </c>
      <c r="Y928" s="2">
        <v>38483</v>
      </c>
      <c r="Z928" s="1">
        <v>-0.82102628285356605</v>
      </c>
      <c r="AA928" s="1">
        <v>19</v>
      </c>
      <c r="AB928" s="1">
        <v>676000</v>
      </c>
      <c r="AC928" s="1">
        <f t="shared" si="14"/>
        <v>736000</v>
      </c>
    </row>
    <row r="929" spans="1:29" x14ac:dyDescent="0.25">
      <c r="A929" s="1" t="s">
        <v>3130</v>
      </c>
      <c r="B929" s="1" t="s">
        <v>871</v>
      </c>
      <c r="C929" s="1" t="s">
        <v>872</v>
      </c>
      <c r="D929" s="1">
        <v>2021</v>
      </c>
      <c r="E929" s="1" t="s">
        <v>45</v>
      </c>
      <c r="F929" s="1">
        <v>2</v>
      </c>
      <c r="G929" s="1" t="s">
        <v>46</v>
      </c>
      <c r="H929" s="1" t="s">
        <v>113</v>
      </c>
      <c r="I929" s="1">
        <v>92000</v>
      </c>
      <c r="J929" s="1">
        <v>77000</v>
      </c>
      <c r="K929" s="1">
        <v>15000</v>
      </c>
      <c r="L929" s="1">
        <v>0</v>
      </c>
      <c r="M929" s="1" t="s">
        <v>34</v>
      </c>
      <c r="N929" s="1" t="s">
        <v>63</v>
      </c>
      <c r="O929" s="1" t="s">
        <v>71</v>
      </c>
      <c r="P929" s="1" t="s">
        <v>72</v>
      </c>
      <c r="Q929" s="1" t="s">
        <v>38</v>
      </c>
      <c r="R929" s="1" t="s">
        <v>3131</v>
      </c>
      <c r="S929" s="3">
        <v>918323000000</v>
      </c>
      <c r="T929" s="1" t="s">
        <v>86</v>
      </c>
      <c r="U929" s="1">
        <v>74</v>
      </c>
      <c r="V929" s="1">
        <v>81</v>
      </c>
      <c r="W929" s="1" t="s">
        <v>41</v>
      </c>
      <c r="X929" s="1">
        <v>546705</v>
      </c>
      <c r="Y929" s="2">
        <v>36894</v>
      </c>
      <c r="Z929" s="1">
        <v>-0.82102628285356605</v>
      </c>
      <c r="AA929" s="1">
        <v>23</v>
      </c>
      <c r="AB929" s="1">
        <v>184000</v>
      </c>
      <c r="AC929" s="1">
        <f t="shared" si="14"/>
        <v>214000</v>
      </c>
    </row>
    <row r="930" spans="1:29" x14ac:dyDescent="0.25">
      <c r="A930" s="1" t="s">
        <v>3134</v>
      </c>
      <c r="B930" s="1" t="s">
        <v>1860</v>
      </c>
      <c r="C930" s="1" t="s">
        <v>1861</v>
      </c>
      <c r="D930" s="1">
        <v>2021</v>
      </c>
      <c r="E930" s="1" t="s">
        <v>45</v>
      </c>
      <c r="F930" s="1">
        <v>2</v>
      </c>
      <c r="G930" s="1" t="s">
        <v>46</v>
      </c>
      <c r="H930" s="1" t="s">
        <v>47</v>
      </c>
      <c r="I930" s="1">
        <v>92000</v>
      </c>
      <c r="J930" s="1">
        <v>77000</v>
      </c>
      <c r="K930" s="1">
        <v>15000</v>
      </c>
      <c r="L930" s="1">
        <v>0</v>
      </c>
      <c r="M930" s="1" t="s">
        <v>34</v>
      </c>
      <c r="N930" s="1" t="s">
        <v>35</v>
      </c>
      <c r="O930" s="1" t="s">
        <v>188</v>
      </c>
      <c r="P930" s="1" t="s">
        <v>189</v>
      </c>
      <c r="Q930" s="1" t="s">
        <v>38</v>
      </c>
      <c r="R930" s="1" t="s">
        <v>3135</v>
      </c>
      <c r="S930" s="3">
        <v>919790000000</v>
      </c>
      <c r="T930" s="1" t="s">
        <v>40</v>
      </c>
      <c r="U930" s="1">
        <v>74</v>
      </c>
      <c r="V930" s="1">
        <v>63</v>
      </c>
      <c r="W930" s="1" t="s">
        <v>52</v>
      </c>
      <c r="X930" s="1">
        <v>290144</v>
      </c>
      <c r="Y930" s="2">
        <v>36944</v>
      </c>
      <c r="Z930" s="1">
        <v>-0.82102628285356605</v>
      </c>
      <c r="AA930" s="1">
        <v>23</v>
      </c>
      <c r="AB930" s="1">
        <v>184000</v>
      </c>
      <c r="AC930" s="1">
        <f t="shared" si="14"/>
        <v>214000</v>
      </c>
    </row>
    <row r="931" spans="1:29" x14ac:dyDescent="0.25">
      <c r="A931" s="1" t="s">
        <v>3142</v>
      </c>
      <c r="B931" s="1" t="s">
        <v>3143</v>
      </c>
      <c r="C931" s="1" t="s">
        <v>3144</v>
      </c>
      <c r="D931" s="1">
        <v>2021</v>
      </c>
      <c r="E931" s="1" t="s">
        <v>31</v>
      </c>
      <c r="F931" s="1">
        <v>4</v>
      </c>
      <c r="G931" s="1" t="s">
        <v>32</v>
      </c>
      <c r="H931" s="1" t="s">
        <v>33</v>
      </c>
      <c r="I931" s="1">
        <v>169000</v>
      </c>
      <c r="J931" s="1">
        <v>154000</v>
      </c>
      <c r="K931" s="1">
        <v>15000</v>
      </c>
      <c r="L931" s="1">
        <v>0</v>
      </c>
      <c r="M931" s="1" t="s">
        <v>34</v>
      </c>
      <c r="N931" s="1" t="s">
        <v>35</v>
      </c>
      <c r="O931" s="1" t="s">
        <v>36</v>
      </c>
      <c r="P931" s="1" t="s">
        <v>37</v>
      </c>
      <c r="Q931" s="1" t="s">
        <v>38</v>
      </c>
      <c r="R931" s="1" t="s">
        <v>3145</v>
      </c>
      <c r="S931" s="3">
        <v>917694000000</v>
      </c>
      <c r="T931" s="1" t="s">
        <v>74</v>
      </c>
      <c r="U931" s="1">
        <v>74</v>
      </c>
      <c r="V931" s="1">
        <v>72</v>
      </c>
      <c r="W931" s="1" t="s">
        <v>41</v>
      </c>
      <c r="X931" s="1">
        <v>371402</v>
      </c>
      <c r="Y931" s="2">
        <v>37199</v>
      </c>
      <c r="Z931" s="1">
        <v>-0.82102628285356605</v>
      </c>
      <c r="AA931" s="1">
        <v>22</v>
      </c>
      <c r="AB931" s="1">
        <v>676000</v>
      </c>
      <c r="AC931" s="1">
        <f t="shared" si="14"/>
        <v>736000</v>
      </c>
    </row>
    <row r="932" spans="1:29" x14ac:dyDescent="0.25">
      <c r="A932" s="1" t="s">
        <v>3160</v>
      </c>
      <c r="B932" s="1" t="s">
        <v>3161</v>
      </c>
      <c r="C932" s="1" t="s">
        <v>3162</v>
      </c>
      <c r="D932" s="1">
        <v>2021</v>
      </c>
      <c r="E932" s="1" t="s">
        <v>31</v>
      </c>
      <c r="F932" s="1">
        <v>4</v>
      </c>
      <c r="G932" s="1" t="s">
        <v>32</v>
      </c>
      <c r="H932" s="1" t="s">
        <v>90</v>
      </c>
      <c r="I932" s="1">
        <v>169000</v>
      </c>
      <c r="J932" s="1">
        <v>154000</v>
      </c>
      <c r="K932" s="1">
        <v>15000</v>
      </c>
      <c r="L932" s="1">
        <v>0</v>
      </c>
      <c r="M932" s="1" t="s">
        <v>34</v>
      </c>
      <c r="N932" s="1" t="s">
        <v>63</v>
      </c>
      <c r="O932" s="1" t="s">
        <v>91</v>
      </c>
      <c r="P932" s="1" t="s">
        <v>92</v>
      </c>
      <c r="Q932" s="1" t="s">
        <v>38</v>
      </c>
      <c r="R932" s="1" t="s">
        <v>3163</v>
      </c>
      <c r="S932" s="3">
        <v>917304000000</v>
      </c>
      <c r="T932" s="1" t="s">
        <v>40</v>
      </c>
      <c r="U932" s="1">
        <v>74</v>
      </c>
      <c r="V932" s="1">
        <v>74</v>
      </c>
      <c r="W932" s="1" t="s">
        <v>41</v>
      </c>
      <c r="X932" s="1">
        <v>739926</v>
      </c>
      <c r="Y932" s="2">
        <v>36910</v>
      </c>
      <c r="Z932" s="1">
        <v>-0.82102628285356605</v>
      </c>
      <c r="AA932" s="1">
        <v>23</v>
      </c>
      <c r="AB932" s="1">
        <v>676000</v>
      </c>
      <c r="AC932" s="1">
        <f t="shared" si="14"/>
        <v>736000</v>
      </c>
    </row>
    <row r="933" spans="1:29" x14ac:dyDescent="0.25">
      <c r="A933" s="1" t="s">
        <v>3184</v>
      </c>
      <c r="B933" s="1" t="s">
        <v>3185</v>
      </c>
      <c r="C933" s="1" t="s">
        <v>3186</v>
      </c>
      <c r="D933" s="1">
        <v>2021</v>
      </c>
      <c r="E933" s="1" t="s">
        <v>45</v>
      </c>
      <c r="F933" s="1">
        <v>2</v>
      </c>
      <c r="G933" s="1" t="s">
        <v>46</v>
      </c>
      <c r="H933" s="1" t="s">
        <v>90</v>
      </c>
      <c r="I933" s="1">
        <v>92000</v>
      </c>
      <c r="J933" s="1">
        <v>77000</v>
      </c>
      <c r="K933" s="1">
        <v>15000</v>
      </c>
      <c r="L933" s="1">
        <v>0</v>
      </c>
      <c r="M933" s="1" t="s">
        <v>34</v>
      </c>
      <c r="N933" s="1" t="s">
        <v>70</v>
      </c>
      <c r="O933" s="1" t="s">
        <v>91</v>
      </c>
      <c r="P933" s="1" t="s">
        <v>92</v>
      </c>
      <c r="Q933" s="1" t="s">
        <v>38</v>
      </c>
      <c r="R933" s="1" t="s">
        <v>3187</v>
      </c>
      <c r="S933" s="3">
        <v>918091000000</v>
      </c>
      <c r="T933" s="1" t="s">
        <v>74</v>
      </c>
      <c r="U933" s="1">
        <v>74</v>
      </c>
      <c r="V933" s="1">
        <v>82</v>
      </c>
      <c r="W933" s="1" t="s">
        <v>52</v>
      </c>
      <c r="X933" s="1">
        <v>739707</v>
      </c>
      <c r="Y933" s="2">
        <v>36795</v>
      </c>
      <c r="Z933" s="1">
        <v>-0.82102628285356605</v>
      </c>
      <c r="AA933" s="1">
        <v>23</v>
      </c>
      <c r="AB933" s="1">
        <v>184000</v>
      </c>
      <c r="AC933" s="1">
        <f t="shared" si="14"/>
        <v>214000</v>
      </c>
    </row>
    <row r="934" spans="1:29" x14ac:dyDescent="0.25">
      <c r="A934" s="1" t="s">
        <v>3198</v>
      </c>
      <c r="B934" s="1" t="s">
        <v>3199</v>
      </c>
      <c r="C934" s="1" t="s">
        <v>3200</v>
      </c>
      <c r="D934" s="1">
        <v>2021</v>
      </c>
      <c r="E934" s="1" t="s">
        <v>31</v>
      </c>
      <c r="F934" s="1">
        <v>4</v>
      </c>
      <c r="G934" s="1" t="s">
        <v>32</v>
      </c>
      <c r="H934" s="1" t="s">
        <v>151</v>
      </c>
      <c r="I934" s="1">
        <v>169000</v>
      </c>
      <c r="J934" s="1">
        <v>154000</v>
      </c>
      <c r="K934" s="1">
        <v>15000</v>
      </c>
      <c r="L934" s="1">
        <v>0</v>
      </c>
      <c r="M934" s="1" t="s">
        <v>34</v>
      </c>
      <c r="N934" s="1" t="s">
        <v>35</v>
      </c>
      <c r="O934" s="1" t="s">
        <v>103</v>
      </c>
      <c r="P934" s="1" t="s">
        <v>104</v>
      </c>
      <c r="Q934" s="1" t="s">
        <v>38</v>
      </c>
      <c r="R934" s="1" t="s">
        <v>3201</v>
      </c>
      <c r="S934" s="3">
        <v>919270000000</v>
      </c>
      <c r="T934" s="1" t="s">
        <v>86</v>
      </c>
      <c r="U934" s="1">
        <v>74</v>
      </c>
      <c r="V934" s="1">
        <v>63</v>
      </c>
      <c r="W934" s="1" t="s">
        <v>41</v>
      </c>
      <c r="X934" s="1">
        <v>492681</v>
      </c>
      <c r="Y934" s="2">
        <v>38838</v>
      </c>
      <c r="Z934" s="1">
        <v>-0.82102628285356605</v>
      </c>
      <c r="AA934" s="1">
        <v>18</v>
      </c>
      <c r="AB934" s="1">
        <v>676000</v>
      </c>
      <c r="AC934" s="1">
        <f t="shared" si="14"/>
        <v>736000</v>
      </c>
    </row>
    <row r="935" spans="1:29" x14ac:dyDescent="0.25">
      <c r="A935" s="1" t="s">
        <v>3218</v>
      </c>
      <c r="B935" s="1" t="s">
        <v>3219</v>
      </c>
      <c r="C935" s="1" t="s">
        <v>3220</v>
      </c>
      <c r="D935" s="1">
        <v>2021</v>
      </c>
      <c r="E935" s="1" t="s">
        <v>31</v>
      </c>
      <c r="F935" s="1">
        <v>4</v>
      </c>
      <c r="G935" s="1" t="s">
        <v>32</v>
      </c>
      <c r="H935" s="1" t="s">
        <v>102</v>
      </c>
      <c r="I935" s="1">
        <v>169000</v>
      </c>
      <c r="J935" s="1">
        <v>154000</v>
      </c>
      <c r="K935" s="1">
        <v>15000</v>
      </c>
      <c r="L935" s="1">
        <v>0</v>
      </c>
      <c r="M935" s="1" t="s">
        <v>34</v>
      </c>
      <c r="N935" s="1" t="s">
        <v>35</v>
      </c>
      <c r="O935" s="1" t="s">
        <v>48</v>
      </c>
      <c r="P935" s="1" t="s">
        <v>49</v>
      </c>
      <c r="Q935" s="1" t="s">
        <v>38</v>
      </c>
      <c r="R935" s="1" t="s">
        <v>3221</v>
      </c>
      <c r="S935" s="3">
        <v>918632000000</v>
      </c>
      <c r="T935" s="1" t="s">
        <v>74</v>
      </c>
      <c r="U935" s="1">
        <v>74</v>
      </c>
      <c r="V935" s="1">
        <v>66</v>
      </c>
      <c r="W935" s="1" t="s">
        <v>52</v>
      </c>
      <c r="X935" s="1">
        <v>399510</v>
      </c>
      <c r="Y935" s="2">
        <v>38026</v>
      </c>
      <c r="Z935" s="1">
        <v>-0.82102628285356605</v>
      </c>
      <c r="AA935" s="1">
        <v>20</v>
      </c>
      <c r="AB935" s="1">
        <v>676000</v>
      </c>
      <c r="AC935" s="1">
        <f t="shared" si="14"/>
        <v>736000</v>
      </c>
    </row>
    <row r="936" spans="1:29" x14ac:dyDescent="0.25">
      <c r="A936" s="1" t="s">
        <v>3230</v>
      </c>
      <c r="B936" s="1" t="s">
        <v>3231</v>
      </c>
      <c r="C936" s="1" t="s">
        <v>3232</v>
      </c>
      <c r="D936" s="1">
        <v>2021</v>
      </c>
      <c r="E936" s="1" t="s">
        <v>31</v>
      </c>
      <c r="F936" s="1">
        <v>4</v>
      </c>
      <c r="G936" s="1" t="s">
        <v>32</v>
      </c>
      <c r="H936" s="1" t="s">
        <v>33</v>
      </c>
      <c r="I936" s="1">
        <v>169000</v>
      </c>
      <c r="J936" s="1">
        <v>154000</v>
      </c>
      <c r="K936" s="1">
        <v>15000</v>
      </c>
      <c r="L936" s="1">
        <v>0</v>
      </c>
      <c r="M936" s="1" t="s">
        <v>34</v>
      </c>
      <c r="N936" s="1" t="s">
        <v>70</v>
      </c>
      <c r="O936" s="1" t="s">
        <v>78</v>
      </c>
      <c r="P936" s="1" t="s">
        <v>79</v>
      </c>
      <c r="Q936" s="1" t="s">
        <v>38</v>
      </c>
      <c r="R936" s="1" t="s">
        <v>3233</v>
      </c>
      <c r="S936" s="3">
        <v>917110000000</v>
      </c>
      <c r="T936" s="1" t="s">
        <v>98</v>
      </c>
      <c r="U936" s="1">
        <v>74</v>
      </c>
      <c r="V936" s="1">
        <v>84</v>
      </c>
      <c r="W936" s="1" t="s">
        <v>52</v>
      </c>
      <c r="X936" s="1">
        <v>765458</v>
      </c>
      <c r="Y936" s="2">
        <v>38150</v>
      </c>
      <c r="Z936" s="1">
        <v>-0.82102628285356605</v>
      </c>
      <c r="AA936" s="1">
        <v>20</v>
      </c>
      <c r="AB936" s="1">
        <v>676000</v>
      </c>
      <c r="AC936" s="1">
        <f t="shared" si="14"/>
        <v>736000</v>
      </c>
    </row>
    <row r="937" spans="1:29" x14ac:dyDescent="0.25">
      <c r="A937" s="1" t="s">
        <v>3234</v>
      </c>
      <c r="B937" s="1" t="s">
        <v>3235</v>
      </c>
      <c r="C937" s="1" t="s">
        <v>3236</v>
      </c>
      <c r="D937" s="1">
        <v>2021</v>
      </c>
      <c r="E937" s="1" t="s">
        <v>31</v>
      </c>
      <c r="F937" s="1">
        <v>4</v>
      </c>
      <c r="G937" s="1" t="s">
        <v>32</v>
      </c>
      <c r="H937" s="1" t="s">
        <v>210</v>
      </c>
      <c r="I937" s="1">
        <v>169000</v>
      </c>
      <c r="J937" s="1">
        <v>154000</v>
      </c>
      <c r="K937" s="1">
        <v>15000</v>
      </c>
      <c r="L937" s="1">
        <v>0</v>
      </c>
      <c r="M937" s="1" t="s">
        <v>34</v>
      </c>
      <c r="N937" s="1" t="s">
        <v>70</v>
      </c>
      <c r="O937" s="1" t="s">
        <v>36</v>
      </c>
      <c r="P937" s="1" t="s">
        <v>37</v>
      </c>
      <c r="Q937" s="1" t="s">
        <v>38</v>
      </c>
      <c r="R937" s="1" t="s">
        <v>3237</v>
      </c>
      <c r="S937" s="3">
        <v>917772000000</v>
      </c>
      <c r="T937" s="1" t="s">
        <v>98</v>
      </c>
      <c r="U937" s="1">
        <v>74</v>
      </c>
      <c r="V937" s="1">
        <v>61</v>
      </c>
      <c r="W937" s="1" t="s">
        <v>41</v>
      </c>
      <c r="X937" s="1">
        <v>538281</v>
      </c>
      <c r="Y937" s="2">
        <v>38865</v>
      </c>
      <c r="Z937" s="1">
        <v>-0.82102628285356605</v>
      </c>
      <c r="AA937" s="1">
        <v>18</v>
      </c>
      <c r="AB937" s="1">
        <v>676000</v>
      </c>
      <c r="AC937" s="1">
        <f t="shared" si="14"/>
        <v>736000</v>
      </c>
    </row>
    <row r="938" spans="1:29" x14ac:dyDescent="0.25">
      <c r="A938" s="1" t="s">
        <v>3250</v>
      </c>
      <c r="B938" s="1" t="s">
        <v>3251</v>
      </c>
      <c r="C938" s="1" t="s">
        <v>3252</v>
      </c>
      <c r="D938" s="1">
        <v>2021</v>
      </c>
      <c r="E938" s="1" t="s">
        <v>31</v>
      </c>
      <c r="F938" s="1">
        <v>4</v>
      </c>
      <c r="G938" s="1" t="s">
        <v>32</v>
      </c>
      <c r="H938" s="1" t="s">
        <v>90</v>
      </c>
      <c r="I938" s="1">
        <v>169000</v>
      </c>
      <c r="J938" s="1">
        <v>154000</v>
      </c>
      <c r="K938" s="1">
        <v>15000</v>
      </c>
      <c r="L938" s="1">
        <v>0</v>
      </c>
      <c r="M938" s="1" t="s">
        <v>34</v>
      </c>
      <c r="N938" s="1" t="s">
        <v>35</v>
      </c>
      <c r="O938" s="1" t="s">
        <v>36</v>
      </c>
      <c r="P938" s="1" t="s">
        <v>37</v>
      </c>
      <c r="Q938" s="1" t="s">
        <v>38</v>
      </c>
      <c r="R938" s="1" t="s">
        <v>2432</v>
      </c>
      <c r="S938" s="3">
        <v>917955000000</v>
      </c>
      <c r="T938" s="1" t="s">
        <v>98</v>
      </c>
      <c r="U938" s="1">
        <v>74</v>
      </c>
      <c r="V938" s="1">
        <v>71</v>
      </c>
      <c r="W938" s="1" t="s">
        <v>52</v>
      </c>
      <c r="X938" s="1">
        <v>105880</v>
      </c>
      <c r="Y938" s="2">
        <v>38867</v>
      </c>
      <c r="Z938" s="1">
        <v>-0.82102628285356605</v>
      </c>
      <c r="AA938" s="1">
        <v>18</v>
      </c>
      <c r="AB938" s="1">
        <v>676000</v>
      </c>
      <c r="AC938" s="1">
        <f t="shared" si="14"/>
        <v>736000</v>
      </c>
    </row>
    <row r="939" spans="1:29" x14ac:dyDescent="0.25">
      <c r="A939" s="1" t="s">
        <v>3267</v>
      </c>
      <c r="B939" s="1" t="s">
        <v>3268</v>
      </c>
      <c r="C939" s="1" t="s">
        <v>3269</v>
      </c>
      <c r="D939" s="1">
        <v>2021</v>
      </c>
      <c r="E939" s="1" t="s">
        <v>31</v>
      </c>
      <c r="F939" s="1">
        <v>4</v>
      </c>
      <c r="G939" s="1" t="s">
        <v>32</v>
      </c>
      <c r="H939" s="1" t="s">
        <v>122</v>
      </c>
      <c r="I939" s="1">
        <v>169000</v>
      </c>
      <c r="J939" s="1">
        <v>154000</v>
      </c>
      <c r="K939" s="1">
        <v>15000</v>
      </c>
      <c r="L939" s="1">
        <v>0</v>
      </c>
      <c r="M939" s="1" t="s">
        <v>34</v>
      </c>
      <c r="N939" s="1" t="s">
        <v>63</v>
      </c>
      <c r="O939" s="1" t="s">
        <v>64</v>
      </c>
      <c r="P939" s="1" t="s">
        <v>65</v>
      </c>
      <c r="Q939" s="1" t="s">
        <v>38</v>
      </c>
      <c r="R939" s="1" t="s">
        <v>3270</v>
      </c>
      <c r="S939" s="3">
        <v>917383000000</v>
      </c>
      <c r="T939" s="1" t="s">
        <v>74</v>
      </c>
      <c r="U939" s="1">
        <v>74</v>
      </c>
      <c r="V939" s="1">
        <v>67</v>
      </c>
      <c r="W939" s="1" t="s">
        <v>41</v>
      </c>
      <c r="X939" s="1">
        <v>124961</v>
      </c>
      <c r="Y939" s="2">
        <v>37999</v>
      </c>
      <c r="Z939" s="1">
        <v>-0.82102628285356605</v>
      </c>
      <c r="AA939" s="1">
        <v>20</v>
      </c>
      <c r="AB939" s="1">
        <v>676000</v>
      </c>
      <c r="AC939" s="1">
        <f t="shared" si="14"/>
        <v>736000</v>
      </c>
    </row>
    <row r="940" spans="1:29" x14ac:dyDescent="0.25">
      <c r="A940" s="1" t="s">
        <v>3271</v>
      </c>
      <c r="B940" s="1" t="s">
        <v>3272</v>
      </c>
      <c r="C940" s="1" t="s">
        <v>3273</v>
      </c>
      <c r="D940" s="1">
        <v>2021</v>
      </c>
      <c r="E940" s="1" t="s">
        <v>31</v>
      </c>
      <c r="F940" s="1">
        <v>4</v>
      </c>
      <c r="G940" s="1" t="s">
        <v>32</v>
      </c>
      <c r="H940" s="1" t="s">
        <v>62</v>
      </c>
      <c r="I940" s="1">
        <v>169000</v>
      </c>
      <c r="J940" s="1">
        <v>154000</v>
      </c>
      <c r="K940" s="1">
        <v>15000</v>
      </c>
      <c r="L940" s="1">
        <v>0</v>
      </c>
      <c r="M940" s="1" t="s">
        <v>34</v>
      </c>
      <c r="N940" s="1" t="s">
        <v>63</v>
      </c>
      <c r="O940" s="1" t="s">
        <v>188</v>
      </c>
      <c r="P940" s="1" t="s">
        <v>189</v>
      </c>
      <c r="Q940" s="1" t="s">
        <v>38</v>
      </c>
      <c r="R940" s="1" t="s">
        <v>3274</v>
      </c>
      <c r="S940" s="3">
        <v>917234000000</v>
      </c>
      <c r="T940" s="1" t="s">
        <v>74</v>
      </c>
      <c r="U940" s="1">
        <v>74</v>
      </c>
      <c r="V940" s="1">
        <v>60</v>
      </c>
      <c r="W940" s="1" t="s">
        <v>52</v>
      </c>
      <c r="X940" s="1">
        <v>137825</v>
      </c>
      <c r="Y940" s="2">
        <v>38075</v>
      </c>
      <c r="Z940" s="1">
        <v>-0.82102628285356605</v>
      </c>
      <c r="AA940" s="1">
        <v>20</v>
      </c>
      <c r="AB940" s="1">
        <v>676000</v>
      </c>
      <c r="AC940" s="1">
        <f t="shared" si="14"/>
        <v>736000</v>
      </c>
    </row>
    <row r="941" spans="1:29" x14ac:dyDescent="0.25">
      <c r="A941" s="1" t="s">
        <v>3287</v>
      </c>
      <c r="B941" s="1" t="s">
        <v>3288</v>
      </c>
      <c r="C941" s="1" t="s">
        <v>3289</v>
      </c>
      <c r="D941" s="1">
        <v>2021</v>
      </c>
      <c r="E941" s="1" t="s">
        <v>31</v>
      </c>
      <c r="F941" s="1">
        <v>4</v>
      </c>
      <c r="G941" s="1" t="s">
        <v>32</v>
      </c>
      <c r="H941" s="1" t="s">
        <v>33</v>
      </c>
      <c r="I941" s="1">
        <v>169000</v>
      </c>
      <c r="J941" s="1">
        <v>154000</v>
      </c>
      <c r="K941" s="1">
        <v>15000</v>
      </c>
      <c r="L941" s="1">
        <v>0</v>
      </c>
      <c r="M941" s="1" t="s">
        <v>34</v>
      </c>
      <c r="N941" s="1" t="s">
        <v>35</v>
      </c>
      <c r="O941" s="1" t="s">
        <v>91</v>
      </c>
      <c r="P941" s="1" t="s">
        <v>92</v>
      </c>
      <c r="Q941" s="1" t="s">
        <v>38</v>
      </c>
      <c r="R941" s="1" t="s">
        <v>3290</v>
      </c>
      <c r="S941" s="3">
        <v>918553000000</v>
      </c>
      <c r="T941" s="1" t="s">
        <v>98</v>
      </c>
      <c r="U941" s="1">
        <v>74</v>
      </c>
      <c r="V941" s="1">
        <v>76</v>
      </c>
      <c r="W941" s="1" t="s">
        <v>41</v>
      </c>
      <c r="X941" s="1">
        <v>788690</v>
      </c>
      <c r="Y941" s="2">
        <v>38251</v>
      </c>
      <c r="Z941" s="1">
        <v>-0.82102628285356605</v>
      </c>
      <c r="AA941" s="1">
        <v>19</v>
      </c>
      <c r="AB941" s="1">
        <v>676000</v>
      </c>
      <c r="AC941" s="1">
        <f t="shared" si="14"/>
        <v>736000</v>
      </c>
    </row>
    <row r="942" spans="1:29" x14ac:dyDescent="0.25">
      <c r="A942" s="1" t="s">
        <v>3321</v>
      </c>
      <c r="B942" s="1" t="s">
        <v>2889</v>
      </c>
      <c r="C942" s="1" t="s">
        <v>2890</v>
      </c>
      <c r="D942" s="1">
        <v>2021</v>
      </c>
      <c r="E942" s="1" t="s">
        <v>31</v>
      </c>
      <c r="F942" s="1">
        <v>4</v>
      </c>
      <c r="G942" s="1" t="s">
        <v>32</v>
      </c>
      <c r="H942" s="1" t="s">
        <v>90</v>
      </c>
      <c r="I942" s="1">
        <v>169000</v>
      </c>
      <c r="J942" s="1">
        <v>154000</v>
      </c>
      <c r="K942" s="1">
        <v>15000</v>
      </c>
      <c r="L942" s="1">
        <v>0</v>
      </c>
      <c r="M942" s="1" t="s">
        <v>34</v>
      </c>
      <c r="N942" s="1" t="s">
        <v>35</v>
      </c>
      <c r="O942" s="1" t="s">
        <v>91</v>
      </c>
      <c r="P942" s="1" t="s">
        <v>92</v>
      </c>
      <c r="Q942" s="1" t="s">
        <v>38</v>
      </c>
      <c r="R942" s="1" t="s">
        <v>3322</v>
      </c>
      <c r="S942" s="3">
        <v>919100000000</v>
      </c>
      <c r="T942" s="1" t="s">
        <v>51</v>
      </c>
      <c r="U942" s="1">
        <v>73</v>
      </c>
      <c r="V942" s="1">
        <v>81</v>
      </c>
      <c r="W942" s="1" t="s">
        <v>41</v>
      </c>
      <c r="X942" s="1">
        <v>549637</v>
      </c>
      <c r="Y942" s="2">
        <v>38800</v>
      </c>
      <c r="Z942" s="1">
        <v>-1.8210262828535599</v>
      </c>
      <c r="AA942" s="1">
        <v>18</v>
      </c>
      <c r="AB942" s="1">
        <v>676000</v>
      </c>
      <c r="AC942" s="1">
        <f t="shared" si="14"/>
        <v>736000</v>
      </c>
    </row>
    <row r="943" spans="1:29" x14ac:dyDescent="0.25">
      <c r="A943" s="1" t="s">
        <v>3327</v>
      </c>
      <c r="B943" s="1" t="s">
        <v>3328</v>
      </c>
      <c r="C943" s="1" t="s">
        <v>3329</v>
      </c>
      <c r="D943" s="1">
        <v>2021</v>
      </c>
      <c r="E943" s="1" t="s">
        <v>31</v>
      </c>
      <c r="F943" s="1">
        <v>4</v>
      </c>
      <c r="G943" s="1" t="s">
        <v>32</v>
      </c>
      <c r="H943" s="1" t="s">
        <v>62</v>
      </c>
      <c r="I943" s="1">
        <v>169000</v>
      </c>
      <c r="J943" s="1">
        <v>154000</v>
      </c>
      <c r="K943" s="1">
        <v>15000</v>
      </c>
      <c r="L943" s="1">
        <v>0</v>
      </c>
      <c r="M943" s="1" t="s">
        <v>34</v>
      </c>
      <c r="N943" s="1" t="s">
        <v>70</v>
      </c>
      <c r="O943" s="1" t="s">
        <v>64</v>
      </c>
      <c r="P943" s="1" t="s">
        <v>65</v>
      </c>
      <c r="Q943" s="1" t="s">
        <v>38</v>
      </c>
      <c r="R943" s="1" t="s">
        <v>3330</v>
      </c>
      <c r="S943" s="3">
        <v>919724000000</v>
      </c>
      <c r="T943" s="1" t="s">
        <v>74</v>
      </c>
      <c r="U943" s="1">
        <v>73</v>
      </c>
      <c r="V943" s="1">
        <v>92</v>
      </c>
      <c r="W943" s="1" t="s">
        <v>52</v>
      </c>
      <c r="X943" s="1">
        <v>690553</v>
      </c>
      <c r="Y943" s="2">
        <v>37116</v>
      </c>
      <c r="Z943" s="1">
        <v>-1.8210262828535599</v>
      </c>
      <c r="AA943" s="1">
        <v>22</v>
      </c>
      <c r="AB943" s="1">
        <v>676000</v>
      </c>
      <c r="AC943" s="1">
        <f t="shared" si="14"/>
        <v>736000</v>
      </c>
    </row>
    <row r="944" spans="1:29" x14ac:dyDescent="0.25">
      <c r="A944" s="1" t="s">
        <v>3384</v>
      </c>
      <c r="B944" s="1" t="s">
        <v>2142</v>
      </c>
      <c r="C944" s="1" t="s">
        <v>2143</v>
      </c>
      <c r="D944" s="1">
        <v>2021</v>
      </c>
      <c r="E944" s="1" t="s">
        <v>31</v>
      </c>
      <c r="F944" s="1">
        <v>4</v>
      </c>
      <c r="G944" s="1" t="s">
        <v>32</v>
      </c>
      <c r="H944" s="1" t="s">
        <v>47</v>
      </c>
      <c r="I944" s="1">
        <v>169000</v>
      </c>
      <c r="J944" s="1">
        <v>154000</v>
      </c>
      <c r="K944" s="1">
        <v>15000</v>
      </c>
      <c r="L944" s="1">
        <v>0</v>
      </c>
      <c r="M944" s="1" t="s">
        <v>34</v>
      </c>
      <c r="N944" s="1" t="s">
        <v>63</v>
      </c>
      <c r="O944" s="1" t="s">
        <v>57</v>
      </c>
      <c r="P944" s="1" t="s">
        <v>57</v>
      </c>
      <c r="Q944" s="1" t="s">
        <v>38</v>
      </c>
      <c r="R944" s="1" t="s">
        <v>3385</v>
      </c>
      <c r="S944" s="3">
        <v>918417000000</v>
      </c>
      <c r="T944" s="1" t="s">
        <v>74</v>
      </c>
      <c r="U944" s="1">
        <v>73</v>
      </c>
      <c r="V944" s="1">
        <v>84</v>
      </c>
      <c r="W944" s="1" t="s">
        <v>41</v>
      </c>
      <c r="X944" s="1">
        <v>567131</v>
      </c>
      <c r="Y944" s="2">
        <v>37627</v>
      </c>
      <c r="Z944" s="1">
        <v>-1.8210262828535599</v>
      </c>
      <c r="AA944" s="1">
        <v>21</v>
      </c>
      <c r="AB944" s="1">
        <v>676000</v>
      </c>
      <c r="AC944" s="1">
        <f t="shared" si="14"/>
        <v>736000</v>
      </c>
    </row>
    <row r="945" spans="1:29" x14ac:dyDescent="0.25">
      <c r="A945" s="1" t="s">
        <v>3400</v>
      </c>
      <c r="B945" s="1" t="s">
        <v>174</v>
      </c>
      <c r="C945" s="1" t="s">
        <v>175</v>
      </c>
      <c r="D945" s="1">
        <v>2021</v>
      </c>
      <c r="E945" s="1" t="s">
        <v>31</v>
      </c>
      <c r="F945" s="1">
        <v>4</v>
      </c>
      <c r="G945" s="1" t="s">
        <v>32</v>
      </c>
      <c r="H945" s="1" t="s">
        <v>122</v>
      </c>
      <c r="I945" s="1">
        <v>169000</v>
      </c>
      <c r="J945" s="1">
        <v>154000</v>
      </c>
      <c r="K945" s="1">
        <v>15000</v>
      </c>
      <c r="L945" s="1">
        <v>0</v>
      </c>
      <c r="M945" s="1" t="s">
        <v>34</v>
      </c>
      <c r="N945" s="1" t="s">
        <v>63</v>
      </c>
      <c r="O945" s="1" t="s">
        <v>84</v>
      </c>
      <c r="P945" s="1" t="s">
        <v>65</v>
      </c>
      <c r="Q945" s="1" t="s">
        <v>38</v>
      </c>
      <c r="R945" s="1" t="s">
        <v>3401</v>
      </c>
      <c r="S945" s="3">
        <v>917458000000</v>
      </c>
      <c r="T945" s="1" t="s">
        <v>98</v>
      </c>
      <c r="U945" s="1">
        <v>73</v>
      </c>
      <c r="V945" s="1">
        <v>63</v>
      </c>
      <c r="W945" s="1" t="s">
        <v>41</v>
      </c>
      <c r="X945" s="1">
        <v>497395</v>
      </c>
      <c r="Y945" s="2">
        <v>37099</v>
      </c>
      <c r="Z945" s="1">
        <v>-1.8210262828535599</v>
      </c>
      <c r="AA945" s="1">
        <v>22</v>
      </c>
      <c r="AB945" s="1">
        <v>676000</v>
      </c>
      <c r="AC945" s="1">
        <f t="shared" si="14"/>
        <v>736000</v>
      </c>
    </row>
    <row r="946" spans="1:29" x14ac:dyDescent="0.25">
      <c r="A946" s="1" t="s">
        <v>3410</v>
      </c>
      <c r="B946" s="1" t="s">
        <v>1261</v>
      </c>
      <c r="C946" s="1" t="s">
        <v>1262</v>
      </c>
      <c r="D946" s="1">
        <v>2021</v>
      </c>
      <c r="E946" s="1" t="s">
        <v>45</v>
      </c>
      <c r="F946" s="1">
        <v>2</v>
      </c>
      <c r="G946" s="1" t="s">
        <v>46</v>
      </c>
      <c r="H946" s="1" t="s">
        <v>47</v>
      </c>
      <c r="I946" s="1">
        <v>92000</v>
      </c>
      <c r="J946" s="1">
        <v>77000</v>
      </c>
      <c r="K946" s="1">
        <v>15000</v>
      </c>
      <c r="L946" s="1">
        <v>0</v>
      </c>
      <c r="M946" s="1" t="s">
        <v>34</v>
      </c>
      <c r="N946" s="1" t="s">
        <v>63</v>
      </c>
      <c r="O946" s="1" t="s">
        <v>48</v>
      </c>
      <c r="P946" s="1" t="s">
        <v>49</v>
      </c>
      <c r="Q946" s="1" t="s">
        <v>38</v>
      </c>
      <c r="R946" s="1" t="s">
        <v>3411</v>
      </c>
      <c r="S946" s="3">
        <v>917103000000</v>
      </c>
      <c r="T946" s="1" t="s">
        <v>40</v>
      </c>
      <c r="U946" s="1">
        <v>73</v>
      </c>
      <c r="V946" s="1">
        <v>61</v>
      </c>
      <c r="W946" s="1" t="s">
        <v>52</v>
      </c>
      <c r="X946" s="1">
        <v>480974</v>
      </c>
      <c r="Y946" s="2">
        <v>35722</v>
      </c>
      <c r="Z946" s="1">
        <v>-1.8210262828535599</v>
      </c>
      <c r="AA946" s="1">
        <v>26</v>
      </c>
      <c r="AB946" s="1">
        <v>184000</v>
      </c>
      <c r="AC946" s="1">
        <f t="shared" si="14"/>
        <v>214000</v>
      </c>
    </row>
    <row r="947" spans="1:29" x14ac:dyDescent="0.25">
      <c r="A947" s="1" t="s">
        <v>3435</v>
      </c>
      <c r="B947" s="1" t="s">
        <v>2682</v>
      </c>
      <c r="C947" s="1" t="s">
        <v>2683</v>
      </c>
      <c r="D947" s="1">
        <v>2021</v>
      </c>
      <c r="E947" s="1" t="s">
        <v>31</v>
      </c>
      <c r="F947" s="1">
        <v>4</v>
      </c>
      <c r="G947" s="1" t="s">
        <v>32</v>
      </c>
      <c r="H947" s="1" t="s">
        <v>47</v>
      </c>
      <c r="I947" s="1">
        <v>169000</v>
      </c>
      <c r="J947" s="1">
        <v>154000</v>
      </c>
      <c r="K947" s="1">
        <v>15000</v>
      </c>
      <c r="L947" s="1">
        <v>0</v>
      </c>
      <c r="M947" s="1" t="s">
        <v>34</v>
      </c>
      <c r="N947" s="1" t="s">
        <v>35</v>
      </c>
      <c r="O947" s="1" t="s">
        <v>188</v>
      </c>
      <c r="P947" s="1" t="s">
        <v>189</v>
      </c>
      <c r="Q947" s="1" t="s">
        <v>38</v>
      </c>
      <c r="R947" s="1" t="s">
        <v>3436</v>
      </c>
      <c r="S947" s="3">
        <v>919622000000</v>
      </c>
      <c r="T947" s="1" t="s">
        <v>51</v>
      </c>
      <c r="U947" s="1">
        <v>73</v>
      </c>
      <c r="V947" s="1">
        <v>62</v>
      </c>
      <c r="W947" s="1" t="s">
        <v>41</v>
      </c>
      <c r="X947" s="1">
        <v>110437</v>
      </c>
      <c r="Y947" s="2">
        <v>37274</v>
      </c>
      <c r="Z947" s="1">
        <v>-1.8210262828535599</v>
      </c>
      <c r="AA947" s="1">
        <v>22</v>
      </c>
      <c r="AB947" s="1">
        <v>676000</v>
      </c>
      <c r="AC947" s="1">
        <f t="shared" si="14"/>
        <v>736000</v>
      </c>
    </row>
    <row r="948" spans="1:29" x14ac:dyDescent="0.25">
      <c r="A948" s="1" t="s">
        <v>3439</v>
      </c>
      <c r="B948" s="1" t="s">
        <v>333</v>
      </c>
      <c r="C948" s="1" t="s">
        <v>334</v>
      </c>
      <c r="D948" s="1">
        <v>2021</v>
      </c>
      <c r="E948" s="1" t="s">
        <v>31</v>
      </c>
      <c r="F948" s="1">
        <v>4</v>
      </c>
      <c r="G948" s="1" t="s">
        <v>32</v>
      </c>
      <c r="H948" s="1" t="s">
        <v>122</v>
      </c>
      <c r="I948" s="1">
        <v>169000</v>
      </c>
      <c r="J948" s="1">
        <v>154000</v>
      </c>
      <c r="K948" s="1">
        <v>15000</v>
      </c>
      <c r="L948" s="1">
        <v>0</v>
      </c>
      <c r="M948" s="1" t="s">
        <v>34</v>
      </c>
      <c r="N948" s="1" t="s">
        <v>35</v>
      </c>
      <c r="O948" s="1" t="s">
        <v>71</v>
      </c>
      <c r="P948" s="1" t="s">
        <v>72</v>
      </c>
      <c r="Q948" s="1" t="s">
        <v>38</v>
      </c>
      <c r="R948" s="1" t="s">
        <v>3440</v>
      </c>
      <c r="S948" s="3">
        <v>919904000000</v>
      </c>
      <c r="T948" s="1" t="s">
        <v>98</v>
      </c>
      <c r="U948" s="1">
        <v>73</v>
      </c>
      <c r="V948" s="1">
        <v>84</v>
      </c>
      <c r="W948" s="1" t="s">
        <v>41</v>
      </c>
      <c r="X948" s="1">
        <v>425087</v>
      </c>
      <c r="Y948" s="2">
        <v>37623</v>
      </c>
      <c r="Z948" s="1">
        <v>-1.8210262828535599</v>
      </c>
      <c r="AA948" s="1">
        <v>21</v>
      </c>
      <c r="AB948" s="1">
        <v>676000</v>
      </c>
      <c r="AC948" s="1">
        <f t="shared" si="14"/>
        <v>736000</v>
      </c>
    </row>
    <row r="949" spans="1:29" x14ac:dyDescent="0.25">
      <c r="A949" s="1" t="s">
        <v>3479</v>
      </c>
      <c r="B949" s="1" t="s">
        <v>3480</v>
      </c>
      <c r="C949" s="1" t="s">
        <v>3481</v>
      </c>
      <c r="D949" s="1">
        <v>2021</v>
      </c>
      <c r="E949" s="1" t="s">
        <v>31</v>
      </c>
      <c r="F949" s="1">
        <v>4</v>
      </c>
      <c r="G949" s="1" t="s">
        <v>32</v>
      </c>
      <c r="H949" s="1" t="s">
        <v>62</v>
      </c>
      <c r="I949" s="1">
        <v>169000</v>
      </c>
      <c r="J949" s="1">
        <v>154000</v>
      </c>
      <c r="K949" s="1">
        <v>15000</v>
      </c>
      <c r="L949" s="1">
        <v>0</v>
      </c>
      <c r="M949" s="1" t="s">
        <v>34</v>
      </c>
      <c r="N949" s="1" t="s">
        <v>35</v>
      </c>
      <c r="O949" s="1" t="s">
        <v>188</v>
      </c>
      <c r="P949" s="1" t="s">
        <v>189</v>
      </c>
      <c r="Q949" s="1" t="s">
        <v>38</v>
      </c>
      <c r="R949" s="1" t="s">
        <v>3482</v>
      </c>
      <c r="S949" s="3">
        <v>919739000000</v>
      </c>
      <c r="T949" s="1" t="s">
        <v>51</v>
      </c>
      <c r="U949" s="1">
        <v>72</v>
      </c>
      <c r="V949" s="1">
        <v>67</v>
      </c>
      <c r="W949" s="1" t="s">
        <v>52</v>
      </c>
      <c r="X949" s="1">
        <v>287465</v>
      </c>
      <c r="Y949" s="2">
        <v>36953</v>
      </c>
      <c r="Z949" s="1">
        <v>-2.8210262828535599</v>
      </c>
      <c r="AA949" s="1">
        <v>23</v>
      </c>
      <c r="AB949" s="1">
        <v>676000</v>
      </c>
      <c r="AC949" s="1">
        <f t="shared" si="14"/>
        <v>736000</v>
      </c>
    </row>
    <row r="950" spans="1:29" x14ac:dyDescent="0.25">
      <c r="A950" s="1" t="s">
        <v>3483</v>
      </c>
      <c r="B950" s="1" t="s">
        <v>3484</v>
      </c>
      <c r="C950" s="1" t="s">
        <v>3485</v>
      </c>
      <c r="D950" s="1">
        <v>2021</v>
      </c>
      <c r="E950" s="1" t="s">
        <v>31</v>
      </c>
      <c r="F950" s="1">
        <v>4</v>
      </c>
      <c r="G950" s="1" t="s">
        <v>32</v>
      </c>
      <c r="H950" s="1" t="s">
        <v>102</v>
      </c>
      <c r="I950" s="1">
        <v>169000</v>
      </c>
      <c r="J950" s="1">
        <v>154000</v>
      </c>
      <c r="K950" s="1">
        <v>15000</v>
      </c>
      <c r="L950" s="1">
        <v>0</v>
      </c>
      <c r="M950" s="1" t="s">
        <v>34</v>
      </c>
      <c r="N950" s="1" t="s">
        <v>63</v>
      </c>
      <c r="O950" s="1" t="s">
        <v>36</v>
      </c>
      <c r="P950" s="1" t="s">
        <v>37</v>
      </c>
      <c r="Q950" s="1" t="s">
        <v>38</v>
      </c>
      <c r="R950" s="1" t="s">
        <v>3486</v>
      </c>
      <c r="S950" s="3">
        <v>917202000000</v>
      </c>
      <c r="T950" s="1" t="s">
        <v>74</v>
      </c>
      <c r="U950" s="1">
        <v>72</v>
      </c>
      <c r="V950" s="1">
        <v>87</v>
      </c>
      <c r="W950" s="1" t="s">
        <v>52</v>
      </c>
      <c r="X950" s="1">
        <v>294548</v>
      </c>
      <c r="Y950" s="2">
        <v>38225</v>
      </c>
      <c r="Z950" s="1">
        <v>-2.8210262828535599</v>
      </c>
      <c r="AA950" s="1">
        <v>19</v>
      </c>
      <c r="AB950" s="1">
        <v>676000</v>
      </c>
      <c r="AC950" s="1">
        <f t="shared" si="14"/>
        <v>736000</v>
      </c>
    </row>
    <row r="951" spans="1:29" x14ac:dyDescent="0.25">
      <c r="A951" s="1" t="s">
        <v>3493</v>
      </c>
      <c r="B951" s="1" t="s">
        <v>3494</v>
      </c>
      <c r="C951" s="1" t="s">
        <v>3495</v>
      </c>
      <c r="D951" s="1">
        <v>2021</v>
      </c>
      <c r="E951" s="1" t="s">
        <v>31</v>
      </c>
      <c r="F951" s="1">
        <v>4</v>
      </c>
      <c r="G951" s="1" t="s">
        <v>32</v>
      </c>
      <c r="H951" s="1" t="s">
        <v>102</v>
      </c>
      <c r="I951" s="1">
        <v>169000</v>
      </c>
      <c r="J951" s="1">
        <v>154000</v>
      </c>
      <c r="K951" s="1">
        <v>15000</v>
      </c>
      <c r="L951" s="1">
        <v>0</v>
      </c>
      <c r="M951" s="1" t="s">
        <v>34</v>
      </c>
      <c r="N951" s="1" t="s">
        <v>63</v>
      </c>
      <c r="O951" s="1" t="s">
        <v>91</v>
      </c>
      <c r="P951" s="1" t="s">
        <v>92</v>
      </c>
      <c r="Q951" s="1" t="s">
        <v>38</v>
      </c>
      <c r="R951" s="1" t="s">
        <v>3496</v>
      </c>
      <c r="S951" s="3">
        <v>918348000000</v>
      </c>
      <c r="T951" s="1" t="s">
        <v>98</v>
      </c>
      <c r="U951" s="1">
        <v>72</v>
      </c>
      <c r="V951" s="1">
        <v>65</v>
      </c>
      <c r="W951" s="1" t="s">
        <v>52</v>
      </c>
      <c r="X951" s="1">
        <v>124734</v>
      </c>
      <c r="Y951" s="2">
        <v>37067</v>
      </c>
      <c r="Z951" s="1">
        <v>-2.8210262828535599</v>
      </c>
      <c r="AA951" s="1">
        <v>23</v>
      </c>
      <c r="AB951" s="1">
        <v>676000</v>
      </c>
      <c r="AC951" s="1">
        <f t="shared" si="14"/>
        <v>736000</v>
      </c>
    </row>
    <row r="952" spans="1:29" x14ac:dyDescent="0.25">
      <c r="A952" s="1" t="s">
        <v>3501</v>
      </c>
      <c r="B952" s="1" t="s">
        <v>1597</v>
      </c>
      <c r="C952" s="1" t="s">
        <v>1598</v>
      </c>
      <c r="D952" s="1">
        <v>2021</v>
      </c>
      <c r="E952" s="1" t="s">
        <v>31</v>
      </c>
      <c r="F952" s="1">
        <v>4</v>
      </c>
      <c r="G952" s="1" t="s">
        <v>32</v>
      </c>
      <c r="H952" s="1" t="s">
        <v>210</v>
      </c>
      <c r="I952" s="1">
        <v>169000</v>
      </c>
      <c r="J952" s="1">
        <v>154000</v>
      </c>
      <c r="K952" s="1">
        <v>15000</v>
      </c>
      <c r="L952" s="1">
        <v>0</v>
      </c>
      <c r="M952" s="1" t="s">
        <v>34</v>
      </c>
      <c r="N952" s="1" t="s">
        <v>35</v>
      </c>
      <c r="O952" s="1" t="s">
        <v>188</v>
      </c>
      <c r="P952" s="1" t="s">
        <v>189</v>
      </c>
      <c r="Q952" s="1" t="s">
        <v>38</v>
      </c>
      <c r="R952" s="1" t="s">
        <v>3502</v>
      </c>
      <c r="S952" s="3">
        <v>917010000000</v>
      </c>
      <c r="T952" s="1" t="s">
        <v>98</v>
      </c>
      <c r="U952" s="1">
        <v>72</v>
      </c>
      <c r="V952" s="1">
        <v>76</v>
      </c>
      <c r="W952" s="1" t="s">
        <v>41</v>
      </c>
      <c r="X952" s="1">
        <v>102902</v>
      </c>
      <c r="Y952" s="2">
        <v>37445</v>
      </c>
      <c r="Z952" s="1">
        <v>-2.8210262828535599</v>
      </c>
      <c r="AA952" s="1">
        <v>22</v>
      </c>
      <c r="AB952" s="1">
        <v>676000</v>
      </c>
      <c r="AC952" s="1">
        <f t="shared" si="14"/>
        <v>736000</v>
      </c>
    </row>
    <row r="953" spans="1:29" x14ac:dyDescent="0.25">
      <c r="A953" s="1" t="s">
        <v>3517</v>
      </c>
      <c r="B953" s="1" t="s">
        <v>1125</v>
      </c>
      <c r="C953" s="1" t="s">
        <v>1126</v>
      </c>
      <c r="D953" s="1">
        <v>2021</v>
      </c>
      <c r="E953" s="1" t="s">
        <v>45</v>
      </c>
      <c r="F953" s="1">
        <v>2</v>
      </c>
      <c r="G953" s="1" t="s">
        <v>46</v>
      </c>
      <c r="H953" s="1" t="s">
        <v>113</v>
      </c>
      <c r="I953" s="1">
        <v>92000</v>
      </c>
      <c r="J953" s="1">
        <v>77000</v>
      </c>
      <c r="K953" s="1">
        <v>15000</v>
      </c>
      <c r="L953" s="1">
        <v>0</v>
      </c>
      <c r="M953" s="1" t="s">
        <v>34</v>
      </c>
      <c r="N953" s="1" t="s">
        <v>70</v>
      </c>
      <c r="O953" s="1" t="s">
        <v>36</v>
      </c>
      <c r="P953" s="1" t="s">
        <v>37</v>
      </c>
      <c r="Q953" s="1" t="s">
        <v>38</v>
      </c>
      <c r="R953" s="1" t="s">
        <v>3518</v>
      </c>
      <c r="S953" s="3">
        <v>918410000000</v>
      </c>
      <c r="T953" s="1" t="s">
        <v>98</v>
      </c>
      <c r="U953" s="1">
        <v>72</v>
      </c>
      <c r="V953" s="1">
        <v>83</v>
      </c>
      <c r="W953" s="1" t="s">
        <v>41</v>
      </c>
      <c r="X953" s="1">
        <v>703323</v>
      </c>
      <c r="Y953" s="2">
        <v>37272</v>
      </c>
      <c r="Z953" s="1">
        <v>-2.8210262828535599</v>
      </c>
      <c r="AA953" s="1">
        <v>22</v>
      </c>
      <c r="AB953" s="1">
        <v>184000</v>
      </c>
      <c r="AC953" s="1">
        <f t="shared" si="14"/>
        <v>214000</v>
      </c>
    </row>
    <row r="954" spans="1:29" x14ac:dyDescent="0.25">
      <c r="A954" s="1" t="s">
        <v>3587</v>
      </c>
      <c r="B954" s="1" t="s">
        <v>1567</v>
      </c>
      <c r="C954" s="1" t="s">
        <v>1568</v>
      </c>
      <c r="D954" s="1">
        <v>2021</v>
      </c>
      <c r="E954" s="1" t="s">
        <v>45</v>
      </c>
      <c r="F954" s="1">
        <v>2</v>
      </c>
      <c r="G954" s="1" t="s">
        <v>46</v>
      </c>
      <c r="H954" s="1" t="s">
        <v>102</v>
      </c>
      <c r="I954" s="1">
        <v>92000</v>
      </c>
      <c r="J954" s="1">
        <v>77000</v>
      </c>
      <c r="K954" s="1">
        <v>15000</v>
      </c>
      <c r="L954" s="1">
        <v>0</v>
      </c>
      <c r="M954" s="1" t="s">
        <v>34</v>
      </c>
      <c r="N954" s="1" t="s">
        <v>35</v>
      </c>
      <c r="O954" s="1" t="s">
        <v>91</v>
      </c>
      <c r="P954" s="1" t="s">
        <v>92</v>
      </c>
      <c r="Q954" s="1" t="s">
        <v>38</v>
      </c>
      <c r="R954" s="1" t="s">
        <v>3588</v>
      </c>
      <c r="S954" s="3">
        <v>918512000000</v>
      </c>
      <c r="T954" s="1" t="s">
        <v>86</v>
      </c>
      <c r="U954" s="1">
        <v>72</v>
      </c>
      <c r="V954" s="1">
        <v>63</v>
      </c>
      <c r="W954" s="1" t="s">
        <v>41</v>
      </c>
      <c r="X954" s="1">
        <v>413491</v>
      </c>
      <c r="Y954" s="2">
        <v>36531</v>
      </c>
      <c r="Z954" s="1">
        <v>-2.8210262828535599</v>
      </c>
      <c r="AA954" s="1">
        <v>24</v>
      </c>
      <c r="AB954" s="1">
        <v>184000</v>
      </c>
      <c r="AC954" s="1">
        <f t="shared" si="14"/>
        <v>214000</v>
      </c>
    </row>
    <row r="955" spans="1:29" x14ac:dyDescent="0.25">
      <c r="A955" s="1" t="s">
        <v>3602</v>
      </c>
      <c r="B955" s="1" t="s">
        <v>3603</v>
      </c>
      <c r="C955" s="1" t="s">
        <v>3604</v>
      </c>
      <c r="D955" s="1">
        <v>2021</v>
      </c>
      <c r="E955" s="1" t="s">
        <v>31</v>
      </c>
      <c r="F955" s="1">
        <v>4</v>
      </c>
      <c r="G955" s="1" t="s">
        <v>32</v>
      </c>
      <c r="H955" s="1" t="s">
        <v>151</v>
      </c>
      <c r="I955" s="1">
        <v>169000</v>
      </c>
      <c r="J955" s="1">
        <v>154000</v>
      </c>
      <c r="K955" s="1">
        <v>15000</v>
      </c>
      <c r="L955" s="1">
        <v>0</v>
      </c>
      <c r="M955" s="1" t="s">
        <v>34</v>
      </c>
      <c r="N955" s="1" t="s">
        <v>70</v>
      </c>
      <c r="O955" s="1" t="s">
        <v>57</v>
      </c>
      <c r="P955" s="1" t="s">
        <v>57</v>
      </c>
      <c r="Q955" s="1" t="s">
        <v>38</v>
      </c>
      <c r="R955" s="1" t="s">
        <v>3605</v>
      </c>
      <c r="S955" s="3">
        <v>919852000000</v>
      </c>
      <c r="T955" s="1" t="s">
        <v>51</v>
      </c>
      <c r="U955" s="1">
        <v>72</v>
      </c>
      <c r="V955" s="1">
        <v>64</v>
      </c>
      <c r="W955" s="1" t="s">
        <v>52</v>
      </c>
      <c r="X955" s="1">
        <v>716111</v>
      </c>
      <c r="Y955" s="2">
        <v>38800</v>
      </c>
      <c r="Z955" s="1">
        <v>-2.8210262828535599</v>
      </c>
      <c r="AA955" s="1">
        <v>18</v>
      </c>
      <c r="AB955" s="1">
        <v>676000</v>
      </c>
      <c r="AC955" s="1">
        <f t="shared" si="14"/>
        <v>736000</v>
      </c>
    </row>
    <row r="956" spans="1:29" x14ac:dyDescent="0.25">
      <c r="A956" s="1" t="s">
        <v>3626</v>
      </c>
      <c r="B956" s="1" t="s">
        <v>3627</v>
      </c>
      <c r="C956" s="1" t="s">
        <v>3628</v>
      </c>
      <c r="D956" s="1">
        <v>2021</v>
      </c>
      <c r="E956" s="1" t="s">
        <v>31</v>
      </c>
      <c r="F956" s="1">
        <v>4</v>
      </c>
      <c r="G956" s="1" t="s">
        <v>32</v>
      </c>
      <c r="H956" s="1" t="s">
        <v>33</v>
      </c>
      <c r="I956" s="1">
        <v>169000</v>
      </c>
      <c r="J956" s="1">
        <v>154000</v>
      </c>
      <c r="K956" s="1">
        <v>15000</v>
      </c>
      <c r="L956" s="1">
        <v>0</v>
      </c>
      <c r="M956" s="1" t="s">
        <v>34</v>
      </c>
      <c r="N956" s="1" t="s">
        <v>63</v>
      </c>
      <c r="O956" s="1" t="s">
        <v>64</v>
      </c>
      <c r="P956" s="1" t="s">
        <v>65</v>
      </c>
      <c r="Q956" s="1" t="s">
        <v>38</v>
      </c>
      <c r="R956" s="1" t="s">
        <v>3629</v>
      </c>
      <c r="S956" s="3">
        <v>917526000000</v>
      </c>
      <c r="T956" s="1" t="s">
        <v>98</v>
      </c>
      <c r="U956" s="1">
        <v>72</v>
      </c>
      <c r="V956" s="1">
        <v>62</v>
      </c>
      <c r="W956" s="1" t="s">
        <v>41</v>
      </c>
      <c r="X956" s="1">
        <v>321434</v>
      </c>
      <c r="Y956" s="2">
        <v>36991</v>
      </c>
      <c r="Z956" s="1">
        <v>-2.8210262828535599</v>
      </c>
      <c r="AA956" s="1">
        <v>23</v>
      </c>
      <c r="AB956" s="1">
        <v>676000</v>
      </c>
      <c r="AC956" s="1">
        <f t="shared" si="14"/>
        <v>736000</v>
      </c>
    </row>
    <row r="957" spans="1:29" x14ac:dyDescent="0.25">
      <c r="A957" s="1" t="s">
        <v>3648</v>
      </c>
      <c r="B957" s="1" t="s">
        <v>3649</v>
      </c>
      <c r="C957" s="1" t="s">
        <v>3650</v>
      </c>
      <c r="D957" s="1">
        <v>2021</v>
      </c>
      <c r="E957" s="1" t="s">
        <v>31</v>
      </c>
      <c r="F957" s="1">
        <v>4</v>
      </c>
      <c r="G957" s="1" t="s">
        <v>32</v>
      </c>
      <c r="H957" s="1" t="s">
        <v>62</v>
      </c>
      <c r="I957" s="1">
        <v>169000</v>
      </c>
      <c r="J957" s="1">
        <v>154000</v>
      </c>
      <c r="K957" s="1">
        <v>15000</v>
      </c>
      <c r="L957" s="1">
        <v>0</v>
      </c>
      <c r="M957" s="1" t="s">
        <v>34</v>
      </c>
      <c r="N957" s="1" t="s">
        <v>63</v>
      </c>
      <c r="O957" s="1" t="s">
        <v>48</v>
      </c>
      <c r="P957" s="1" t="s">
        <v>49</v>
      </c>
      <c r="Q957" s="1" t="s">
        <v>38</v>
      </c>
      <c r="R957" s="1" t="s">
        <v>3651</v>
      </c>
      <c r="S957" s="3">
        <v>919618000000</v>
      </c>
      <c r="T957" s="1" t="s">
        <v>51</v>
      </c>
      <c r="U957" s="1">
        <v>72</v>
      </c>
      <c r="V957" s="1">
        <v>76</v>
      </c>
      <c r="W957" s="1" t="s">
        <v>41</v>
      </c>
      <c r="X957" s="1">
        <v>686310</v>
      </c>
      <c r="Y957" s="2">
        <v>37928</v>
      </c>
      <c r="Z957" s="1">
        <v>-2.8210262828535599</v>
      </c>
      <c r="AA957" s="1">
        <v>20</v>
      </c>
      <c r="AB957" s="1">
        <v>676000</v>
      </c>
      <c r="AC957" s="1">
        <f t="shared" si="14"/>
        <v>736000</v>
      </c>
    </row>
    <row r="958" spans="1:29" x14ac:dyDescent="0.25">
      <c r="A958" s="1" t="s">
        <v>3658</v>
      </c>
      <c r="B958" s="1" t="s">
        <v>3659</v>
      </c>
      <c r="C958" s="1" t="s">
        <v>3660</v>
      </c>
      <c r="D958" s="1">
        <v>2021</v>
      </c>
      <c r="E958" s="1" t="s">
        <v>31</v>
      </c>
      <c r="F958" s="1">
        <v>4</v>
      </c>
      <c r="G958" s="1" t="s">
        <v>32</v>
      </c>
      <c r="H958" s="1" t="s">
        <v>90</v>
      </c>
      <c r="I958" s="1">
        <v>169000</v>
      </c>
      <c r="J958" s="1">
        <v>154000</v>
      </c>
      <c r="K958" s="1">
        <v>15000</v>
      </c>
      <c r="L958" s="1">
        <v>0</v>
      </c>
      <c r="M958" s="1" t="s">
        <v>34</v>
      </c>
      <c r="N958" s="1" t="s">
        <v>70</v>
      </c>
      <c r="O958" s="1" t="s">
        <v>84</v>
      </c>
      <c r="P958" s="1" t="s">
        <v>65</v>
      </c>
      <c r="Q958" s="1" t="s">
        <v>38</v>
      </c>
      <c r="R958" s="1" t="s">
        <v>3661</v>
      </c>
      <c r="S958" s="3">
        <v>918679000000</v>
      </c>
      <c r="T958" s="1" t="s">
        <v>51</v>
      </c>
      <c r="U958" s="1">
        <v>72</v>
      </c>
      <c r="V958" s="1">
        <v>74</v>
      </c>
      <c r="W958" s="1" t="s">
        <v>41</v>
      </c>
      <c r="X958" s="1">
        <v>332435</v>
      </c>
      <c r="Y958" s="2">
        <v>38632</v>
      </c>
      <c r="Z958" s="1">
        <v>-2.8210262828535599</v>
      </c>
      <c r="AA958" s="1">
        <v>18</v>
      </c>
      <c r="AB958" s="1">
        <v>676000</v>
      </c>
      <c r="AC958" s="1">
        <f t="shared" si="14"/>
        <v>736000</v>
      </c>
    </row>
    <row r="959" spans="1:29" x14ac:dyDescent="0.25">
      <c r="A959" s="1" t="s">
        <v>3672</v>
      </c>
      <c r="B959" s="1" t="s">
        <v>237</v>
      </c>
      <c r="C959" s="1" t="s">
        <v>238</v>
      </c>
      <c r="D959" s="1">
        <v>2021</v>
      </c>
      <c r="E959" s="1" t="s">
        <v>31</v>
      </c>
      <c r="F959" s="1">
        <v>4</v>
      </c>
      <c r="G959" s="1" t="s">
        <v>32</v>
      </c>
      <c r="H959" s="1" t="s">
        <v>122</v>
      </c>
      <c r="I959" s="1">
        <v>169000</v>
      </c>
      <c r="J959" s="1">
        <v>154000</v>
      </c>
      <c r="K959" s="1">
        <v>15000</v>
      </c>
      <c r="L959" s="1">
        <v>0</v>
      </c>
      <c r="M959" s="1" t="s">
        <v>34</v>
      </c>
      <c r="N959" s="1" t="s">
        <v>35</v>
      </c>
      <c r="O959" s="1" t="s">
        <v>48</v>
      </c>
      <c r="P959" s="1" t="s">
        <v>49</v>
      </c>
      <c r="Q959" s="1" t="s">
        <v>38</v>
      </c>
      <c r="R959" s="1" t="s">
        <v>3673</v>
      </c>
      <c r="S959" s="3">
        <v>918631000000</v>
      </c>
      <c r="T959" s="1" t="s">
        <v>51</v>
      </c>
      <c r="U959" s="1">
        <v>72</v>
      </c>
      <c r="V959" s="1">
        <v>60</v>
      </c>
      <c r="W959" s="1" t="s">
        <v>52</v>
      </c>
      <c r="X959" s="1">
        <v>137841</v>
      </c>
      <c r="Y959" s="2">
        <v>36986</v>
      </c>
      <c r="Z959" s="1">
        <v>-2.8210262828535599</v>
      </c>
      <c r="AA959" s="1">
        <v>23</v>
      </c>
      <c r="AB959" s="1">
        <v>676000</v>
      </c>
      <c r="AC959" s="1">
        <f t="shared" si="14"/>
        <v>736000</v>
      </c>
    </row>
    <row r="960" spans="1:29" x14ac:dyDescent="0.25">
      <c r="A960" s="1" t="s">
        <v>3691</v>
      </c>
      <c r="B960" s="1" t="s">
        <v>3692</v>
      </c>
      <c r="C960" s="1" t="s">
        <v>3693</v>
      </c>
      <c r="D960" s="1">
        <v>2021</v>
      </c>
      <c r="E960" s="1" t="s">
        <v>31</v>
      </c>
      <c r="F960" s="1">
        <v>4</v>
      </c>
      <c r="G960" s="1" t="s">
        <v>32</v>
      </c>
      <c r="H960" s="1" t="s">
        <v>33</v>
      </c>
      <c r="I960" s="1">
        <v>169000</v>
      </c>
      <c r="J960" s="1">
        <v>154000</v>
      </c>
      <c r="K960" s="1">
        <v>15000</v>
      </c>
      <c r="L960" s="1">
        <v>0</v>
      </c>
      <c r="M960" s="1" t="s">
        <v>34</v>
      </c>
      <c r="N960" s="1" t="s">
        <v>70</v>
      </c>
      <c r="O960" s="1" t="s">
        <v>71</v>
      </c>
      <c r="P960" s="1" t="s">
        <v>72</v>
      </c>
      <c r="Q960" s="1" t="s">
        <v>38</v>
      </c>
      <c r="R960" s="1" t="s">
        <v>3694</v>
      </c>
      <c r="S960" s="3">
        <v>917349000000</v>
      </c>
      <c r="T960" s="1" t="s">
        <v>40</v>
      </c>
      <c r="U960" s="1">
        <v>71</v>
      </c>
      <c r="V960" s="1">
        <v>66</v>
      </c>
      <c r="W960" s="1" t="s">
        <v>52</v>
      </c>
      <c r="X960" s="1">
        <v>398677</v>
      </c>
      <c r="Y960" s="2">
        <v>37401</v>
      </c>
      <c r="Z960" s="1">
        <v>-3.8210262828535599</v>
      </c>
      <c r="AA960" s="1">
        <v>22</v>
      </c>
      <c r="AB960" s="1">
        <v>676000</v>
      </c>
      <c r="AC960" s="1">
        <f t="shared" si="14"/>
        <v>736000</v>
      </c>
    </row>
    <row r="961" spans="1:29" x14ac:dyDescent="0.25">
      <c r="A961" s="1" t="s">
        <v>3699</v>
      </c>
      <c r="B961" s="1" t="s">
        <v>3700</v>
      </c>
      <c r="C961" s="1" t="s">
        <v>3701</v>
      </c>
      <c r="D961" s="1">
        <v>2021</v>
      </c>
      <c r="E961" s="1" t="s">
        <v>31</v>
      </c>
      <c r="F961" s="1">
        <v>4</v>
      </c>
      <c r="G961" s="1" t="s">
        <v>32</v>
      </c>
      <c r="H961" s="1" t="s">
        <v>47</v>
      </c>
      <c r="I961" s="1">
        <v>169000</v>
      </c>
      <c r="J961" s="1">
        <v>154000</v>
      </c>
      <c r="K961" s="1">
        <v>15000</v>
      </c>
      <c r="L961" s="1">
        <v>0</v>
      </c>
      <c r="M961" s="1" t="s">
        <v>34</v>
      </c>
      <c r="N961" s="1" t="s">
        <v>35</v>
      </c>
      <c r="O961" s="1" t="s">
        <v>48</v>
      </c>
      <c r="P961" s="1" t="s">
        <v>49</v>
      </c>
      <c r="Q961" s="1" t="s">
        <v>38</v>
      </c>
      <c r="R961" s="1" t="s">
        <v>3702</v>
      </c>
      <c r="S961" s="3">
        <v>919580000000</v>
      </c>
      <c r="T961" s="1" t="s">
        <v>40</v>
      </c>
      <c r="U961" s="1">
        <v>71</v>
      </c>
      <c r="V961" s="1">
        <v>90</v>
      </c>
      <c r="W961" s="1" t="s">
        <v>52</v>
      </c>
      <c r="X961" s="1">
        <v>320181</v>
      </c>
      <c r="Y961" s="2">
        <v>38456</v>
      </c>
      <c r="Z961" s="1">
        <v>-3.8210262828535599</v>
      </c>
      <c r="AA961" s="1">
        <v>19</v>
      </c>
      <c r="AB961" s="1">
        <v>676000</v>
      </c>
      <c r="AC961" s="1">
        <f t="shared" si="14"/>
        <v>736000</v>
      </c>
    </row>
    <row r="962" spans="1:29" x14ac:dyDescent="0.25">
      <c r="A962" s="1" t="s">
        <v>3735</v>
      </c>
      <c r="B962" s="1" t="s">
        <v>1091</v>
      </c>
      <c r="C962" s="1" t="s">
        <v>1092</v>
      </c>
      <c r="D962" s="1">
        <v>2021</v>
      </c>
      <c r="E962" s="1" t="s">
        <v>31</v>
      </c>
      <c r="F962" s="1">
        <v>4</v>
      </c>
      <c r="G962" s="1" t="s">
        <v>32</v>
      </c>
      <c r="H962" s="1" t="s">
        <v>33</v>
      </c>
      <c r="I962" s="1">
        <v>169000</v>
      </c>
      <c r="J962" s="1">
        <v>154000</v>
      </c>
      <c r="K962" s="1">
        <v>15000</v>
      </c>
      <c r="L962" s="1">
        <v>0</v>
      </c>
      <c r="M962" s="1" t="s">
        <v>34</v>
      </c>
      <c r="N962" s="1" t="s">
        <v>70</v>
      </c>
      <c r="O962" s="1" t="s">
        <v>91</v>
      </c>
      <c r="P962" s="1" t="s">
        <v>92</v>
      </c>
      <c r="Q962" s="1" t="s">
        <v>38</v>
      </c>
      <c r="R962" s="1" t="s">
        <v>3736</v>
      </c>
      <c r="S962" s="3">
        <v>918048000000</v>
      </c>
      <c r="T962" s="1" t="s">
        <v>86</v>
      </c>
      <c r="U962" s="1">
        <v>71</v>
      </c>
      <c r="V962" s="1">
        <v>64</v>
      </c>
      <c r="W962" s="1" t="s">
        <v>52</v>
      </c>
      <c r="X962" s="1">
        <v>420853</v>
      </c>
      <c r="Y962" s="2">
        <v>38863</v>
      </c>
      <c r="Z962" s="1">
        <v>-3.8210262828535599</v>
      </c>
      <c r="AA962" s="1">
        <v>18</v>
      </c>
      <c r="AB962" s="1">
        <v>676000</v>
      </c>
      <c r="AC962" s="1">
        <f t="shared" si="14"/>
        <v>736000</v>
      </c>
    </row>
    <row r="963" spans="1:29" x14ac:dyDescent="0.25">
      <c r="A963" s="1" t="s">
        <v>3749</v>
      </c>
      <c r="B963" s="1" t="s">
        <v>3750</v>
      </c>
      <c r="C963" s="1" t="s">
        <v>3751</v>
      </c>
      <c r="D963" s="1">
        <v>2021</v>
      </c>
      <c r="E963" s="1" t="s">
        <v>31</v>
      </c>
      <c r="F963" s="1">
        <v>4</v>
      </c>
      <c r="G963" s="1" t="s">
        <v>32</v>
      </c>
      <c r="H963" s="1" t="s">
        <v>62</v>
      </c>
      <c r="I963" s="1">
        <v>169000</v>
      </c>
      <c r="J963" s="1">
        <v>154000</v>
      </c>
      <c r="K963" s="1">
        <v>15000</v>
      </c>
      <c r="L963" s="1">
        <v>0</v>
      </c>
      <c r="M963" s="1" t="s">
        <v>34</v>
      </c>
      <c r="N963" s="1" t="s">
        <v>35</v>
      </c>
      <c r="O963" s="1" t="s">
        <v>36</v>
      </c>
      <c r="P963" s="1" t="s">
        <v>37</v>
      </c>
      <c r="Q963" s="1" t="s">
        <v>38</v>
      </c>
      <c r="R963" s="1" t="s">
        <v>3752</v>
      </c>
      <c r="S963" s="3">
        <v>919079000000</v>
      </c>
      <c r="T963" s="1" t="s">
        <v>40</v>
      </c>
      <c r="U963" s="1">
        <v>71</v>
      </c>
      <c r="V963" s="1">
        <v>87</v>
      </c>
      <c r="W963" s="1" t="s">
        <v>41</v>
      </c>
      <c r="X963" s="1">
        <v>594431</v>
      </c>
      <c r="Y963" s="2">
        <v>36920</v>
      </c>
      <c r="Z963" s="1">
        <v>-3.8210262828535599</v>
      </c>
      <c r="AA963" s="1">
        <v>23</v>
      </c>
      <c r="AB963" s="1">
        <v>676000</v>
      </c>
      <c r="AC963" s="1">
        <f t="shared" si="14"/>
        <v>736000</v>
      </c>
    </row>
    <row r="964" spans="1:29" x14ac:dyDescent="0.25">
      <c r="A964" s="1" t="s">
        <v>3801</v>
      </c>
      <c r="B964" s="1" t="s">
        <v>3802</v>
      </c>
      <c r="C964" s="1" t="s">
        <v>3803</v>
      </c>
      <c r="D964" s="1">
        <v>2021</v>
      </c>
      <c r="E964" s="1" t="s">
        <v>31</v>
      </c>
      <c r="F964" s="1">
        <v>4</v>
      </c>
      <c r="G964" s="1" t="s">
        <v>32</v>
      </c>
      <c r="H964" s="1" t="s">
        <v>102</v>
      </c>
      <c r="I964" s="1">
        <v>169000</v>
      </c>
      <c r="J964" s="1">
        <v>154000</v>
      </c>
      <c r="K964" s="1">
        <v>15000</v>
      </c>
      <c r="L964" s="1">
        <v>0</v>
      </c>
      <c r="M964" s="1" t="s">
        <v>34</v>
      </c>
      <c r="N964" s="1" t="s">
        <v>35</v>
      </c>
      <c r="O964" s="1" t="s">
        <v>48</v>
      </c>
      <c r="P964" s="1" t="s">
        <v>49</v>
      </c>
      <c r="Q964" s="1" t="s">
        <v>38</v>
      </c>
      <c r="R964" s="1" t="s">
        <v>3804</v>
      </c>
      <c r="S964" s="3">
        <v>919550000000</v>
      </c>
      <c r="T964" s="1" t="s">
        <v>98</v>
      </c>
      <c r="U964" s="1">
        <v>71</v>
      </c>
      <c r="V964" s="1">
        <v>69</v>
      </c>
      <c r="W964" s="1" t="s">
        <v>41</v>
      </c>
      <c r="X964" s="1">
        <v>652009</v>
      </c>
      <c r="Y964" s="2">
        <v>37773</v>
      </c>
      <c r="Z964" s="1">
        <v>-3.8210262828535599</v>
      </c>
      <c r="AA964" s="1">
        <v>21</v>
      </c>
      <c r="AB964" s="1">
        <v>676000</v>
      </c>
      <c r="AC964" s="1">
        <f t="shared" si="14"/>
        <v>736000</v>
      </c>
    </row>
    <row r="965" spans="1:29" x14ac:dyDescent="0.25">
      <c r="A965" s="1" t="s">
        <v>3805</v>
      </c>
      <c r="B965" s="1" t="s">
        <v>3806</v>
      </c>
      <c r="C965" s="1" t="s">
        <v>3807</v>
      </c>
      <c r="D965" s="1">
        <v>2021</v>
      </c>
      <c r="E965" s="1" t="s">
        <v>31</v>
      </c>
      <c r="F965" s="1">
        <v>4</v>
      </c>
      <c r="G965" s="1" t="s">
        <v>32</v>
      </c>
      <c r="H965" s="1" t="s">
        <v>210</v>
      </c>
      <c r="I965" s="1">
        <v>169000</v>
      </c>
      <c r="J965" s="1">
        <v>154000</v>
      </c>
      <c r="K965" s="1">
        <v>15000</v>
      </c>
      <c r="L965" s="1">
        <v>0</v>
      </c>
      <c r="M965" s="1" t="s">
        <v>34</v>
      </c>
      <c r="N965" s="1" t="s">
        <v>35</v>
      </c>
      <c r="O965" s="1" t="s">
        <v>57</v>
      </c>
      <c r="P965" s="1" t="s">
        <v>57</v>
      </c>
      <c r="Q965" s="1" t="s">
        <v>38</v>
      </c>
      <c r="R965" s="1" t="s">
        <v>3808</v>
      </c>
      <c r="S965" s="3">
        <v>917453000000</v>
      </c>
      <c r="T965" s="1" t="s">
        <v>51</v>
      </c>
      <c r="U965" s="1">
        <v>71</v>
      </c>
      <c r="V965" s="1">
        <v>62</v>
      </c>
      <c r="W965" s="1" t="s">
        <v>52</v>
      </c>
      <c r="X965" s="1">
        <v>674790</v>
      </c>
      <c r="Y965" s="2">
        <v>38375</v>
      </c>
      <c r="Z965" s="1">
        <v>-3.8210262828535599</v>
      </c>
      <c r="AA965" s="1">
        <v>19</v>
      </c>
      <c r="AB965" s="1">
        <v>676000</v>
      </c>
      <c r="AC965" s="1">
        <f t="shared" si="14"/>
        <v>736000</v>
      </c>
    </row>
    <row r="966" spans="1:29" x14ac:dyDescent="0.25">
      <c r="A966" s="1" t="s">
        <v>3815</v>
      </c>
      <c r="B966" s="1" t="s">
        <v>3816</v>
      </c>
      <c r="C966" s="1" t="s">
        <v>3817</v>
      </c>
      <c r="D966" s="1">
        <v>2021</v>
      </c>
      <c r="E966" s="1" t="s">
        <v>45</v>
      </c>
      <c r="F966" s="1">
        <v>2</v>
      </c>
      <c r="G966" s="1" t="s">
        <v>46</v>
      </c>
      <c r="H966" s="1" t="s">
        <v>113</v>
      </c>
      <c r="I966" s="1">
        <v>92000</v>
      </c>
      <c r="J966" s="1">
        <v>77000</v>
      </c>
      <c r="K966" s="1">
        <v>15000</v>
      </c>
      <c r="L966" s="1">
        <v>0</v>
      </c>
      <c r="M966" s="1" t="s">
        <v>34</v>
      </c>
      <c r="N966" s="1" t="s">
        <v>63</v>
      </c>
      <c r="O966" s="1" t="s">
        <v>48</v>
      </c>
      <c r="P966" s="1" t="s">
        <v>49</v>
      </c>
      <c r="Q966" s="1" t="s">
        <v>38</v>
      </c>
      <c r="R966" s="1" t="s">
        <v>3818</v>
      </c>
      <c r="S966" s="3">
        <v>918404000000</v>
      </c>
      <c r="T966" s="1" t="s">
        <v>74</v>
      </c>
      <c r="U966" s="1">
        <v>71</v>
      </c>
      <c r="V966" s="1">
        <v>67</v>
      </c>
      <c r="W966" s="1" t="s">
        <v>52</v>
      </c>
      <c r="X966" s="1">
        <v>429685</v>
      </c>
      <c r="Y966" s="2">
        <v>37083</v>
      </c>
      <c r="Z966" s="1">
        <v>-3.8210262828535599</v>
      </c>
      <c r="AA966" s="1">
        <v>22</v>
      </c>
      <c r="AB966" s="1">
        <v>184000</v>
      </c>
      <c r="AC966" s="1">
        <f t="shared" ref="AC966:AC1029" si="15">IF(F966 = 2, AB966+30000,AB966+60000)</f>
        <v>214000</v>
      </c>
    </row>
    <row r="967" spans="1:29" x14ac:dyDescent="0.25">
      <c r="A967" s="1" t="s">
        <v>3829</v>
      </c>
      <c r="B967" s="1" t="s">
        <v>1451</v>
      </c>
      <c r="C967" s="1" t="s">
        <v>1452</v>
      </c>
      <c r="D967" s="1">
        <v>2021</v>
      </c>
      <c r="E967" s="1" t="s">
        <v>45</v>
      </c>
      <c r="F967" s="1">
        <v>2</v>
      </c>
      <c r="G967" s="1" t="s">
        <v>46</v>
      </c>
      <c r="H967" s="1" t="s">
        <v>47</v>
      </c>
      <c r="I967" s="1">
        <v>92000</v>
      </c>
      <c r="J967" s="1">
        <v>77000</v>
      </c>
      <c r="K967" s="1">
        <v>15000</v>
      </c>
      <c r="L967" s="1">
        <v>0</v>
      </c>
      <c r="M967" s="1" t="s">
        <v>34</v>
      </c>
      <c r="N967" s="1" t="s">
        <v>70</v>
      </c>
      <c r="O967" s="1" t="s">
        <v>78</v>
      </c>
      <c r="P967" s="1" t="s">
        <v>79</v>
      </c>
      <c r="Q967" s="1" t="s">
        <v>38</v>
      </c>
      <c r="R967" s="1" t="s">
        <v>3830</v>
      </c>
      <c r="S967" s="3">
        <v>918081000000</v>
      </c>
      <c r="T967" s="1" t="s">
        <v>98</v>
      </c>
      <c r="U967" s="1">
        <v>71</v>
      </c>
      <c r="V967" s="1">
        <v>71</v>
      </c>
      <c r="W967" s="1" t="s">
        <v>52</v>
      </c>
      <c r="X967" s="1">
        <v>456978</v>
      </c>
      <c r="Y967" s="2">
        <v>37013</v>
      </c>
      <c r="Z967" s="1">
        <v>-3.8210262828535599</v>
      </c>
      <c r="AA967" s="1">
        <v>23</v>
      </c>
      <c r="AB967" s="1">
        <v>184000</v>
      </c>
      <c r="AC967" s="1">
        <f t="shared" si="15"/>
        <v>214000</v>
      </c>
    </row>
    <row r="968" spans="1:29" x14ac:dyDescent="0.25">
      <c r="A968" s="1" t="s">
        <v>3843</v>
      </c>
      <c r="B968" s="1" t="s">
        <v>1751</v>
      </c>
      <c r="C968" s="1" t="s">
        <v>1752</v>
      </c>
      <c r="D968" s="1">
        <v>2021</v>
      </c>
      <c r="E968" s="1" t="s">
        <v>45</v>
      </c>
      <c r="F968" s="1">
        <v>2</v>
      </c>
      <c r="G968" s="1" t="s">
        <v>46</v>
      </c>
      <c r="H968" s="1" t="s">
        <v>47</v>
      </c>
      <c r="I968" s="1">
        <v>92000</v>
      </c>
      <c r="J968" s="1">
        <v>77000</v>
      </c>
      <c r="K968" s="1">
        <v>15000</v>
      </c>
      <c r="L968" s="1">
        <v>0</v>
      </c>
      <c r="M968" s="1" t="s">
        <v>34</v>
      </c>
      <c r="N968" s="1" t="s">
        <v>35</v>
      </c>
      <c r="O968" s="1" t="s">
        <v>91</v>
      </c>
      <c r="P968" s="1" t="s">
        <v>92</v>
      </c>
      <c r="Q968" s="1" t="s">
        <v>38</v>
      </c>
      <c r="R968" s="1" t="s">
        <v>3844</v>
      </c>
      <c r="S968" s="3">
        <v>918882000000</v>
      </c>
      <c r="T968" s="1" t="s">
        <v>74</v>
      </c>
      <c r="U968" s="1">
        <v>70</v>
      </c>
      <c r="V968" s="1">
        <v>82</v>
      </c>
      <c r="W968" s="1" t="s">
        <v>52</v>
      </c>
      <c r="X968" s="1">
        <v>493205</v>
      </c>
      <c r="Y968" s="2">
        <v>36822</v>
      </c>
      <c r="Z968" s="1">
        <v>-4.8210262828535599</v>
      </c>
      <c r="AA968" s="1">
        <v>23</v>
      </c>
      <c r="AB968" s="1">
        <v>184000</v>
      </c>
      <c r="AC968" s="1">
        <f t="shared" si="15"/>
        <v>214000</v>
      </c>
    </row>
    <row r="969" spans="1:29" x14ac:dyDescent="0.25">
      <c r="A969" s="1" t="s">
        <v>3845</v>
      </c>
      <c r="B969" s="1" t="s">
        <v>3510</v>
      </c>
      <c r="C969" s="1" t="s">
        <v>3511</v>
      </c>
      <c r="D969" s="1">
        <v>2021</v>
      </c>
      <c r="E969" s="1" t="s">
        <v>45</v>
      </c>
      <c r="F969" s="1">
        <v>2</v>
      </c>
      <c r="G969" s="1" t="s">
        <v>46</v>
      </c>
      <c r="H969" s="1" t="s">
        <v>90</v>
      </c>
      <c r="I969" s="1">
        <v>92000</v>
      </c>
      <c r="J969" s="1">
        <v>77000</v>
      </c>
      <c r="K969" s="1">
        <v>15000</v>
      </c>
      <c r="L969" s="1">
        <v>0</v>
      </c>
      <c r="M969" s="1" t="s">
        <v>34</v>
      </c>
      <c r="N969" s="1" t="s">
        <v>35</v>
      </c>
      <c r="O969" s="1" t="s">
        <v>71</v>
      </c>
      <c r="P969" s="1" t="s">
        <v>72</v>
      </c>
      <c r="Q969" s="1" t="s">
        <v>38</v>
      </c>
      <c r="R969" s="1" t="s">
        <v>3846</v>
      </c>
      <c r="S969" s="3">
        <v>917323000000</v>
      </c>
      <c r="T969" s="1" t="s">
        <v>74</v>
      </c>
      <c r="U969" s="1">
        <v>70</v>
      </c>
      <c r="V969" s="1">
        <v>68</v>
      </c>
      <c r="W969" s="1" t="s">
        <v>41</v>
      </c>
      <c r="X969" s="1">
        <v>204492</v>
      </c>
      <c r="Y969" s="2">
        <v>35872</v>
      </c>
      <c r="Z969" s="1">
        <v>-4.8210262828535599</v>
      </c>
      <c r="AA969" s="1">
        <v>26</v>
      </c>
      <c r="AB969" s="1">
        <v>184000</v>
      </c>
      <c r="AC969" s="1">
        <f t="shared" si="15"/>
        <v>214000</v>
      </c>
    </row>
    <row r="970" spans="1:29" x14ac:dyDescent="0.25">
      <c r="A970" s="1" t="s">
        <v>3859</v>
      </c>
      <c r="B970" s="1" t="s">
        <v>3860</v>
      </c>
      <c r="C970" s="1" t="s">
        <v>3861</v>
      </c>
      <c r="D970" s="1">
        <v>2021</v>
      </c>
      <c r="E970" s="1" t="s">
        <v>31</v>
      </c>
      <c r="F970" s="1">
        <v>4</v>
      </c>
      <c r="G970" s="1" t="s">
        <v>32</v>
      </c>
      <c r="H970" s="1" t="s">
        <v>122</v>
      </c>
      <c r="I970" s="1">
        <v>169000</v>
      </c>
      <c r="J970" s="1">
        <v>154000</v>
      </c>
      <c r="K970" s="1">
        <v>15000</v>
      </c>
      <c r="L970" s="1">
        <v>0</v>
      </c>
      <c r="M970" s="1" t="s">
        <v>34</v>
      </c>
      <c r="N970" s="1" t="s">
        <v>70</v>
      </c>
      <c r="O970" s="1" t="s">
        <v>48</v>
      </c>
      <c r="P970" s="1" t="s">
        <v>49</v>
      </c>
      <c r="Q970" s="1" t="s">
        <v>38</v>
      </c>
      <c r="R970" s="1" t="s">
        <v>3862</v>
      </c>
      <c r="S970" s="3">
        <v>918926000000</v>
      </c>
      <c r="T970" s="1" t="s">
        <v>74</v>
      </c>
      <c r="U970" s="1">
        <v>70</v>
      </c>
      <c r="V970" s="1">
        <v>84</v>
      </c>
      <c r="W970" s="1" t="s">
        <v>52</v>
      </c>
      <c r="X970" s="1">
        <v>410979</v>
      </c>
      <c r="Y970" s="2">
        <v>37105</v>
      </c>
      <c r="Z970" s="1">
        <v>-4.8210262828535599</v>
      </c>
      <c r="AA970" s="1">
        <v>22</v>
      </c>
      <c r="AB970" s="1">
        <v>676000</v>
      </c>
      <c r="AC970" s="1">
        <f t="shared" si="15"/>
        <v>736000</v>
      </c>
    </row>
    <row r="971" spans="1:29" x14ac:dyDescent="0.25">
      <c r="A971" s="1" t="s">
        <v>3873</v>
      </c>
      <c r="B971" s="1" t="s">
        <v>3874</v>
      </c>
      <c r="C971" s="1" t="s">
        <v>3875</v>
      </c>
      <c r="D971" s="1">
        <v>2021</v>
      </c>
      <c r="E971" s="1" t="s">
        <v>31</v>
      </c>
      <c r="F971" s="1">
        <v>4</v>
      </c>
      <c r="G971" s="1" t="s">
        <v>32</v>
      </c>
      <c r="H971" s="1" t="s">
        <v>113</v>
      </c>
      <c r="I971" s="1">
        <v>169000</v>
      </c>
      <c r="J971" s="1">
        <v>154000</v>
      </c>
      <c r="K971" s="1">
        <v>15000</v>
      </c>
      <c r="L971" s="1">
        <v>0</v>
      </c>
      <c r="M971" s="1" t="s">
        <v>34</v>
      </c>
      <c r="N971" s="1" t="s">
        <v>35</v>
      </c>
      <c r="O971" s="1" t="s">
        <v>64</v>
      </c>
      <c r="P971" s="1" t="s">
        <v>65</v>
      </c>
      <c r="Q971" s="1" t="s">
        <v>38</v>
      </c>
      <c r="R971" s="1" t="s">
        <v>3876</v>
      </c>
      <c r="S971" s="3">
        <v>919734000000</v>
      </c>
      <c r="T971" s="1" t="s">
        <v>74</v>
      </c>
      <c r="U971" s="1">
        <v>70</v>
      </c>
      <c r="V971" s="1">
        <v>73</v>
      </c>
      <c r="W971" s="1" t="s">
        <v>52</v>
      </c>
      <c r="X971" s="1">
        <v>546216</v>
      </c>
      <c r="Y971" s="2">
        <v>37255</v>
      </c>
      <c r="Z971" s="1">
        <v>-4.8210262828535599</v>
      </c>
      <c r="AA971" s="1">
        <v>22</v>
      </c>
      <c r="AB971" s="1">
        <v>676000</v>
      </c>
      <c r="AC971" s="1">
        <f t="shared" si="15"/>
        <v>736000</v>
      </c>
    </row>
    <row r="972" spans="1:29" x14ac:dyDescent="0.25">
      <c r="A972" s="1" t="s">
        <v>3897</v>
      </c>
      <c r="B972" s="1" t="s">
        <v>3898</v>
      </c>
      <c r="C972" s="1" t="s">
        <v>3899</v>
      </c>
      <c r="D972" s="1">
        <v>2021</v>
      </c>
      <c r="E972" s="1" t="s">
        <v>31</v>
      </c>
      <c r="F972" s="1">
        <v>4</v>
      </c>
      <c r="G972" s="1" t="s">
        <v>32</v>
      </c>
      <c r="H972" s="1" t="s">
        <v>62</v>
      </c>
      <c r="I972" s="1">
        <v>169000</v>
      </c>
      <c r="J972" s="1">
        <v>154000</v>
      </c>
      <c r="K972" s="1">
        <v>15000</v>
      </c>
      <c r="L972" s="1">
        <v>0</v>
      </c>
      <c r="M972" s="1" t="s">
        <v>34</v>
      </c>
      <c r="N972" s="1" t="s">
        <v>70</v>
      </c>
      <c r="O972" s="1" t="s">
        <v>64</v>
      </c>
      <c r="P972" s="1" t="s">
        <v>65</v>
      </c>
      <c r="Q972" s="1" t="s">
        <v>38</v>
      </c>
      <c r="R972" s="1" t="s">
        <v>3900</v>
      </c>
      <c r="S972" s="3">
        <v>919281000000</v>
      </c>
      <c r="T972" s="1" t="s">
        <v>51</v>
      </c>
      <c r="U972" s="1">
        <v>70</v>
      </c>
      <c r="V972" s="1">
        <v>69</v>
      </c>
      <c r="W972" s="1" t="s">
        <v>41</v>
      </c>
      <c r="X972" s="1">
        <v>273434</v>
      </c>
      <c r="Y972" s="2">
        <v>37477</v>
      </c>
      <c r="Z972" s="1">
        <v>-4.8210262828535599</v>
      </c>
      <c r="AA972" s="1">
        <v>21</v>
      </c>
      <c r="AB972" s="1">
        <v>676000</v>
      </c>
      <c r="AC972" s="1">
        <f t="shared" si="15"/>
        <v>736000</v>
      </c>
    </row>
    <row r="973" spans="1:29" x14ac:dyDescent="0.25">
      <c r="A973" s="1" t="s">
        <v>3905</v>
      </c>
      <c r="B973" s="1" t="s">
        <v>3906</v>
      </c>
      <c r="C973" s="1" t="s">
        <v>3907</v>
      </c>
      <c r="D973" s="1">
        <v>2021</v>
      </c>
      <c r="E973" s="1" t="s">
        <v>31</v>
      </c>
      <c r="F973" s="1">
        <v>4</v>
      </c>
      <c r="G973" s="1" t="s">
        <v>32</v>
      </c>
      <c r="H973" s="1" t="s">
        <v>56</v>
      </c>
      <c r="I973" s="1">
        <v>169000</v>
      </c>
      <c r="J973" s="1">
        <v>154000</v>
      </c>
      <c r="K973" s="1">
        <v>15000</v>
      </c>
      <c r="L973" s="1">
        <v>0</v>
      </c>
      <c r="M973" s="1" t="s">
        <v>34</v>
      </c>
      <c r="N973" s="1" t="s">
        <v>35</v>
      </c>
      <c r="O973" s="1" t="s">
        <v>64</v>
      </c>
      <c r="P973" s="1" t="s">
        <v>65</v>
      </c>
      <c r="Q973" s="1" t="s">
        <v>38</v>
      </c>
      <c r="R973" s="1" t="s">
        <v>3908</v>
      </c>
      <c r="S973" s="3">
        <v>919778000000</v>
      </c>
      <c r="T973" s="1" t="s">
        <v>51</v>
      </c>
      <c r="U973" s="1">
        <v>70</v>
      </c>
      <c r="V973" s="1">
        <v>72</v>
      </c>
      <c r="W973" s="1" t="s">
        <v>52</v>
      </c>
      <c r="X973" s="1">
        <v>694439</v>
      </c>
      <c r="Y973" s="2">
        <v>38116</v>
      </c>
      <c r="Z973" s="1">
        <v>-4.8210262828535599</v>
      </c>
      <c r="AA973" s="1">
        <v>20</v>
      </c>
      <c r="AB973" s="1">
        <v>676000</v>
      </c>
      <c r="AC973" s="1">
        <f t="shared" si="15"/>
        <v>736000</v>
      </c>
    </row>
    <row r="974" spans="1:29" x14ac:dyDescent="0.25">
      <c r="A974" s="1" t="s">
        <v>3911</v>
      </c>
      <c r="B974" s="1" t="s">
        <v>3912</v>
      </c>
      <c r="C974" s="1" t="s">
        <v>3913</v>
      </c>
      <c r="D974" s="1">
        <v>2021</v>
      </c>
      <c r="E974" s="1" t="s">
        <v>31</v>
      </c>
      <c r="F974" s="1">
        <v>4</v>
      </c>
      <c r="G974" s="1" t="s">
        <v>32</v>
      </c>
      <c r="H974" s="1" t="s">
        <v>90</v>
      </c>
      <c r="I974" s="1">
        <v>169000</v>
      </c>
      <c r="J974" s="1">
        <v>154000</v>
      </c>
      <c r="K974" s="1">
        <v>15000</v>
      </c>
      <c r="L974" s="1">
        <v>0</v>
      </c>
      <c r="M974" s="1" t="s">
        <v>34</v>
      </c>
      <c r="N974" s="1" t="s">
        <v>63</v>
      </c>
      <c r="O974" s="1" t="s">
        <v>71</v>
      </c>
      <c r="P974" s="1" t="s">
        <v>72</v>
      </c>
      <c r="Q974" s="1" t="s">
        <v>38</v>
      </c>
      <c r="R974" s="1" t="s">
        <v>3914</v>
      </c>
      <c r="S974" s="3">
        <v>919731000000</v>
      </c>
      <c r="T974" s="1" t="s">
        <v>86</v>
      </c>
      <c r="U974" s="1">
        <v>70</v>
      </c>
      <c r="V974" s="1">
        <v>74</v>
      </c>
      <c r="W974" s="1" t="s">
        <v>41</v>
      </c>
      <c r="X974" s="1">
        <v>710321</v>
      </c>
      <c r="Y974" s="2">
        <v>38278</v>
      </c>
      <c r="Z974" s="1">
        <v>-4.8210262828535599</v>
      </c>
      <c r="AA974" s="1">
        <v>19</v>
      </c>
      <c r="AB974" s="1">
        <v>676000</v>
      </c>
      <c r="AC974" s="1">
        <f t="shared" si="15"/>
        <v>736000</v>
      </c>
    </row>
    <row r="975" spans="1:29" x14ac:dyDescent="0.25">
      <c r="A975" s="1" t="s">
        <v>3925</v>
      </c>
      <c r="B975" s="1" t="s">
        <v>3536</v>
      </c>
      <c r="C975" s="1" t="s">
        <v>3537</v>
      </c>
      <c r="D975" s="1">
        <v>2021</v>
      </c>
      <c r="E975" s="1" t="s">
        <v>31</v>
      </c>
      <c r="F975" s="1">
        <v>4</v>
      </c>
      <c r="G975" s="1" t="s">
        <v>32</v>
      </c>
      <c r="H975" s="1" t="s">
        <v>102</v>
      </c>
      <c r="I975" s="1">
        <v>169000</v>
      </c>
      <c r="J975" s="1">
        <v>154000</v>
      </c>
      <c r="K975" s="1">
        <v>15000</v>
      </c>
      <c r="L975" s="1">
        <v>0</v>
      </c>
      <c r="M975" s="1" t="s">
        <v>34</v>
      </c>
      <c r="N975" s="1" t="s">
        <v>63</v>
      </c>
      <c r="O975" s="1" t="s">
        <v>78</v>
      </c>
      <c r="P975" s="1" t="s">
        <v>79</v>
      </c>
      <c r="Q975" s="1" t="s">
        <v>38</v>
      </c>
      <c r="R975" s="1" t="s">
        <v>3926</v>
      </c>
      <c r="S975" s="3">
        <v>918874000000</v>
      </c>
      <c r="T975" s="1" t="s">
        <v>74</v>
      </c>
      <c r="U975" s="1">
        <v>70</v>
      </c>
      <c r="V975" s="1">
        <v>84</v>
      </c>
      <c r="W975" s="1" t="s">
        <v>41</v>
      </c>
      <c r="X975" s="1">
        <v>394507</v>
      </c>
      <c r="Y975" s="2">
        <v>37323</v>
      </c>
      <c r="Z975" s="1">
        <v>-4.8210262828535599</v>
      </c>
      <c r="AA975" s="1">
        <v>22</v>
      </c>
      <c r="AB975" s="1">
        <v>676000</v>
      </c>
      <c r="AC975" s="1">
        <f t="shared" si="15"/>
        <v>736000</v>
      </c>
    </row>
    <row r="976" spans="1:29" x14ac:dyDescent="0.25">
      <c r="A976" s="1" t="s">
        <v>3933</v>
      </c>
      <c r="B976" s="1" t="s">
        <v>3934</v>
      </c>
      <c r="C976" s="1" t="s">
        <v>3935</v>
      </c>
      <c r="D976" s="1">
        <v>2021</v>
      </c>
      <c r="E976" s="1" t="s">
        <v>31</v>
      </c>
      <c r="F976" s="1">
        <v>4</v>
      </c>
      <c r="G976" s="1" t="s">
        <v>32</v>
      </c>
      <c r="H976" s="1" t="s">
        <v>62</v>
      </c>
      <c r="I976" s="1">
        <v>169000</v>
      </c>
      <c r="J976" s="1">
        <v>154000</v>
      </c>
      <c r="K976" s="1">
        <v>15000</v>
      </c>
      <c r="L976" s="1">
        <v>0</v>
      </c>
      <c r="M976" s="1" t="s">
        <v>34</v>
      </c>
      <c r="N976" s="1" t="s">
        <v>63</v>
      </c>
      <c r="O976" s="1" t="s">
        <v>84</v>
      </c>
      <c r="P976" s="1" t="s">
        <v>65</v>
      </c>
      <c r="Q976" s="1" t="s">
        <v>38</v>
      </c>
      <c r="R976" s="1" t="s">
        <v>3936</v>
      </c>
      <c r="S976" s="3">
        <v>919851000000</v>
      </c>
      <c r="T976" s="1" t="s">
        <v>51</v>
      </c>
      <c r="U976" s="1">
        <v>70</v>
      </c>
      <c r="V976" s="1">
        <v>84</v>
      </c>
      <c r="W976" s="1" t="s">
        <v>41</v>
      </c>
      <c r="X976" s="1">
        <v>601985</v>
      </c>
      <c r="Y976" s="2">
        <v>37627</v>
      </c>
      <c r="Z976" s="1">
        <v>-4.8210262828535599</v>
      </c>
      <c r="AA976" s="1">
        <v>21</v>
      </c>
      <c r="AB976" s="1">
        <v>676000</v>
      </c>
      <c r="AC976" s="1">
        <f t="shared" si="15"/>
        <v>736000</v>
      </c>
    </row>
    <row r="977" spans="1:29" x14ac:dyDescent="0.25">
      <c r="A977" s="1" t="s">
        <v>3937</v>
      </c>
      <c r="B977" s="1" t="s">
        <v>3938</v>
      </c>
      <c r="C977" s="1" t="s">
        <v>3939</v>
      </c>
      <c r="D977" s="1">
        <v>2021</v>
      </c>
      <c r="E977" s="1" t="s">
        <v>31</v>
      </c>
      <c r="F977" s="1">
        <v>4</v>
      </c>
      <c r="G977" s="1" t="s">
        <v>32</v>
      </c>
      <c r="H977" s="1" t="s">
        <v>113</v>
      </c>
      <c r="I977" s="1">
        <v>169000</v>
      </c>
      <c r="J977" s="1">
        <v>154000</v>
      </c>
      <c r="K977" s="1">
        <v>15000</v>
      </c>
      <c r="L977" s="1">
        <v>0</v>
      </c>
      <c r="M977" s="1" t="s">
        <v>34</v>
      </c>
      <c r="N977" s="1" t="s">
        <v>70</v>
      </c>
      <c r="O977" s="1" t="s">
        <v>91</v>
      </c>
      <c r="P977" s="1" t="s">
        <v>92</v>
      </c>
      <c r="Q977" s="1" t="s">
        <v>38</v>
      </c>
      <c r="R977" s="1" t="s">
        <v>3940</v>
      </c>
      <c r="S977" s="3">
        <v>919933000000</v>
      </c>
      <c r="T977" s="1" t="s">
        <v>74</v>
      </c>
      <c r="U977" s="1">
        <v>70</v>
      </c>
      <c r="V977" s="1">
        <v>78</v>
      </c>
      <c r="W977" s="1" t="s">
        <v>41</v>
      </c>
      <c r="X977" s="1">
        <v>398726</v>
      </c>
      <c r="Y977" s="2">
        <v>38810</v>
      </c>
      <c r="Z977" s="1">
        <v>-4.8210262828535599</v>
      </c>
      <c r="AA977" s="1">
        <v>18</v>
      </c>
      <c r="AB977" s="1">
        <v>676000</v>
      </c>
      <c r="AC977" s="1">
        <f t="shared" si="15"/>
        <v>736000</v>
      </c>
    </row>
    <row r="978" spans="1:29" x14ac:dyDescent="0.25">
      <c r="A978" s="1" t="s">
        <v>3961</v>
      </c>
      <c r="B978" s="1" t="s">
        <v>3962</v>
      </c>
      <c r="C978" s="1" t="s">
        <v>3963</v>
      </c>
      <c r="D978" s="1">
        <v>2021</v>
      </c>
      <c r="E978" s="1" t="s">
        <v>31</v>
      </c>
      <c r="F978" s="1">
        <v>4</v>
      </c>
      <c r="G978" s="1" t="s">
        <v>32</v>
      </c>
      <c r="H978" s="1" t="s">
        <v>151</v>
      </c>
      <c r="I978" s="1">
        <v>169000</v>
      </c>
      <c r="J978" s="1">
        <v>154000</v>
      </c>
      <c r="K978" s="1">
        <v>15000</v>
      </c>
      <c r="L978" s="1">
        <v>0</v>
      </c>
      <c r="M978" s="1" t="s">
        <v>34</v>
      </c>
      <c r="N978" s="1" t="s">
        <v>70</v>
      </c>
      <c r="O978" s="1" t="s">
        <v>188</v>
      </c>
      <c r="P978" s="1" t="s">
        <v>189</v>
      </c>
      <c r="Q978" s="1" t="s">
        <v>38</v>
      </c>
      <c r="R978" s="1" t="s">
        <v>3964</v>
      </c>
      <c r="S978" s="3">
        <v>918176000000</v>
      </c>
      <c r="T978" s="1" t="s">
        <v>98</v>
      </c>
      <c r="U978" s="1">
        <v>70</v>
      </c>
      <c r="V978" s="1">
        <v>81</v>
      </c>
      <c r="W978" s="1" t="s">
        <v>52</v>
      </c>
      <c r="X978" s="1">
        <v>602126</v>
      </c>
      <c r="Y978" s="2">
        <v>37680</v>
      </c>
      <c r="Z978" s="1">
        <v>-4.8210262828535599</v>
      </c>
      <c r="AA978" s="1">
        <v>21</v>
      </c>
      <c r="AB978" s="1">
        <v>676000</v>
      </c>
      <c r="AC978" s="1">
        <f t="shared" si="15"/>
        <v>736000</v>
      </c>
    </row>
    <row r="979" spans="1:29" x14ac:dyDescent="0.25">
      <c r="A979" s="1" t="s">
        <v>3969</v>
      </c>
      <c r="B979" s="1" t="s">
        <v>3970</v>
      </c>
      <c r="C979" s="1" t="s">
        <v>3971</v>
      </c>
      <c r="D979" s="1">
        <v>2021</v>
      </c>
      <c r="E979" s="1" t="s">
        <v>31</v>
      </c>
      <c r="F979" s="1">
        <v>4</v>
      </c>
      <c r="G979" s="1" t="s">
        <v>32</v>
      </c>
      <c r="H979" s="1" t="s">
        <v>90</v>
      </c>
      <c r="I979" s="1">
        <v>169000</v>
      </c>
      <c r="J979" s="1">
        <v>154000</v>
      </c>
      <c r="K979" s="1">
        <v>15000</v>
      </c>
      <c r="L979" s="1">
        <v>0</v>
      </c>
      <c r="M979" s="1" t="s">
        <v>34</v>
      </c>
      <c r="N979" s="1" t="s">
        <v>70</v>
      </c>
      <c r="O979" s="1" t="s">
        <v>78</v>
      </c>
      <c r="P979" s="1" t="s">
        <v>79</v>
      </c>
      <c r="Q979" s="1" t="s">
        <v>38</v>
      </c>
      <c r="R979" s="1" t="s">
        <v>3972</v>
      </c>
      <c r="S979" s="3">
        <v>918327000000</v>
      </c>
      <c r="T979" s="1" t="s">
        <v>51</v>
      </c>
      <c r="U979" s="1">
        <v>70</v>
      </c>
      <c r="V979" s="1">
        <v>87</v>
      </c>
      <c r="W979" s="1" t="s">
        <v>41</v>
      </c>
      <c r="X979" s="1">
        <v>565989</v>
      </c>
      <c r="Y979" s="2">
        <v>37617</v>
      </c>
      <c r="Z979" s="1">
        <v>-4.8210262828535599</v>
      </c>
      <c r="AA979" s="1">
        <v>21</v>
      </c>
      <c r="AB979" s="1">
        <v>676000</v>
      </c>
      <c r="AC979" s="1">
        <f t="shared" si="15"/>
        <v>736000</v>
      </c>
    </row>
    <row r="980" spans="1:29" x14ac:dyDescent="0.25">
      <c r="A980" s="1" t="s">
        <v>3989</v>
      </c>
      <c r="B980" s="1" t="s">
        <v>3990</v>
      </c>
      <c r="C980" s="1" t="s">
        <v>3991</v>
      </c>
      <c r="D980" s="1">
        <v>2021</v>
      </c>
      <c r="E980" s="1" t="s">
        <v>31</v>
      </c>
      <c r="F980" s="1">
        <v>4</v>
      </c>
      <c r="G980" s="1" t="s">
        <v>32</v>
      </c>
      <c r="H980" s="1" t="s">
        <v>102</v>
      </c>
      <c r="I980" s="1">
        <v>169000</v>
      </c>
      <c r="J980" s="1">
        <v>154000</v>
      </c>
      <c r="K980" s="1">
        <v>15000</v>
      </c>
      <c r="L980" s="1">
        <v>0</v>
      </c>
      <c r="M980" s="1" t="s">
        <v>34</v>
      </c>
      <c r="N980" s="1" t="s">
        <v>70</v>
      </c>
      <c r="O980" s="1" t="s">
        <v>71</v>
      </c>
      <c r="P980" s="1" t="s">
        <v>72</v>
      </c>
      <c r="Q980" s="1" t="s">
        <v>38</v>
      </c>
      <c r="R980" s="1" t="s">
        <v>3992</v>
      </c>
      <c r="S980" s="3">
        <v>917513000000</v>
      </c>
      <c r="T980" s="1" t="s">
        <v>86</v>
      </c>
      <c r="U980" s="1">
        <v>69</v>
      </c>
      <c r="V980" s="1">
        <v>81</v>
      </c>
      <c r="W980" s="1" t="s">
        <v>52</v>
      </c>
      <c r="X980" s="1">
        <v>232792</v>
      </c>
      <c r="Y980" s="2">
        <v>37557</v>
      </c>
      <c r="Z980" s="1">
        <v>-5.8210262828535599</v>
      </c>
      <c r="AA980" s="1">
        <v>21</v>
      </c>
      <c r="AB980" s="1">
        <v>676000</v>
      </c>
      <c r="AC980" s="1">
        <f t="shared" si="15"/>
        <v>736000</v>
      </c>
    </row>
    <row r="981" spans="1:29" x14ac:dyDescent="0.25">
      <c r="A981" s="1" t="s">
        <v>4043</v>
      </c>
      <c r="B981" s="1" t="s">
        <v>4044</v>
      </c>
      <c r="C981" s="1" t="s">
        <v>4045</v>
      </c>
      <c r="D981" s="1">
        <v>2021</v>
      </c>
      <c r="E981" s="1" t="s">
        <v>31</v>
      </c>
      <c r="F981" s="1">
        <v>4</v>
      </c>
      <c r="G981" s="1" t="s">
        <v>32</v>
      </c>
      <c r="H981" s="1" t="s">
        <v>47</v>
      </c>
      <c r="I981" s="1">
        <v>169000</v>
      </c>
      <c r="J981" s="1">
        <v>154000</v>
      </c>
      <c r="K981" s="1">
        <v>15000</v>
      </c>
      <c r="L981" s="1">
        <v>0</v>
      </c>
      <c r="M981" s="1" t="s">
        <v>34</v>
      </c>
      <c r="N981" s="1" t="s">
        <v>35</v>
      </c>
      <c r="O981" s="1" t="s">
        <v>91</v>
      </c>
      <c r="P981" s="1" t="s">
        <v>92</v>
      </c>
      <c r="Q981" s="1" t="s">
        <v>38</v>
      </c>
      <c r="R981" s="1" t="s">
        <v>4046</v>
      </c>
      <c r="S981" s="3">
        <v>919073000000</v>
      </c>
      <c r="T981" s="1" t="s">
        <v>51</v>
      </c>
      <c r="U981" s="1">
        <v>69</v>
      </c>
      <c r="V981" s="1">
        <v>67</v>
      </c>
      <c r="W981" s="1" t="s">
        <v>41</v>
      </c>
      <c r="X981" s="1">
        <v>505317</v>
      </c>
      <c r="Y981" s="2">
        <v>37923</v>
      </c>
      <c r="Z981" s="1">
        <v>-5.8210262828535599</v>
      </c>
      <c r="AA981" s="1">
        <v>20</v>
      </c>
      <c r="AB981" s="1">
        <v>676000</v>
      </c>
      <c r="AC981" s="1">
        <f t="shared" si="15"/>
        <v>736000</v>
      </c>
    </row>
    <row r="982" spans="1:29" x14ac:dyDescent="0.25">
      <c r="A982" s="1" t="s">
        <v>4072</v>
      </c>
      <c r="B982" s="1" t="s">
        <v>1539</v>
      </c>
      <c r="C982" s="1" t="s">
        <v>1540</v>
      </c>
      <c r="D982" s="1">
        <v>2021</v>
      </c>
      <c r="E982" s="1" t="s">
        <v>45</v>
      </c>
      <c r="F982" s="1">
        <v>2</v>
      </c>
      <c r="G982" s="1" t="s">
        <v>46</v>
      </c>
      <c r="H982" s="1" t="s">
        <v>62</v>
      </c>
      <c r="I982" s="1">
        <v>92000</v>
      </c>
      <c r="J982" s="1">
        <v>77000</v>
      </c>
      <c r="K982" s="1">
        <v>15000</v>
      </c>
      <c r="L982" s="1">
        <v>0</v>
      </c>
      <c r="M982" s="1" t="s">
        <v>34</v>
      </c>
      <c r="N982" s="1" t="s">
        <v>70</v>
      </c>
      <c r="O982" s="1" t="s">
        <v>84</v>
      </c>
      <c r="P982" s="1" t="s">
        <v>65</v>
      </c>
      <c r="Q982" s="1" t="s">
        <v>38</v>
      </c>
      <c r="R982" s="1" t="s">
        <v>4073</v>
      </c>
      <c r="S982" s="3">
        <v>917789000000</v>
      </c>
      <c r="T982" s="1" t="s">
        <v>98</v>
      </c>
      <c r="U982" s="1">
        <v>69</v>
      </c>
      <c r="V982" s="1">
        <v>84</v>
      </c>
      <c r="W982" s="1" t="s">
        <v>52</v>
      </c>
      <c r="X982" s="1">
        <v>750071</v>
      </c>
      <c r="Y982" s="2">
        <v>35746</v>
      </c>
      <c r="Z982" s="1">
        <v>-5.8210262828535599</v>
      </c>
      <c r="AA982" s="1">
        <v>26</v>
      </c>
      <c r="AB982" s="1">
        <v>184000</v>
      </c>
      <c r="AC982" s="1">
        <f t="shared" si="15"/>
        <v>214000</v>
      </c>
    </row>
    <row r="983" spans="1:29" x14ac:dyDescent="0.25">
      <c r="A983" s="1" t="s">
        <v>4088</v>
      </c>
      <c r="B983" s="1" t="s">
        <v>4089</v>
      </c>
      <c r="C983" s="1" t="s">
        <v>4090</v>
      </c>
      <c r="D983" s="1">
        <v>2021</v>
      </c>
      <c r="E983" s="1" t="s">
        <v>31</v>
      </c>
      <c r="F983" s="1">
        <v>4</v>
      </c>
      <c r="G983" s="1" t="s">
        <v>32</v>
      </c>
      <c r="H983" s="1" t="s">
        <v>90</v>
      </c>
      <c r="I983" s="1">
        <v>169000</v>
      </c>
      <c r="J983" s="1">
        <v>154000</v>
      </c>
      <c r="K983" s="1">
        <v>15000</v>
      </c>
      <c r="L983" s="1">
        <v>0</v>
      </c>
      <c r="M983" s="1" t="s">
        <v>34</v>
      </c>
      <c r="N983" s="1" t="s">
        <v>63</v>
      </c>
      <c r="O983" s="1" t="s">
        <v>84</v>
      </c>
      <c r="P983" s="1" t="s">
        <v>65</v>
      </c>
      <c r="Q983" s="1" t="s">
        <v>38</v>
      </c>
      <c r="R983" s="1" t="s">
        <v>4091</v>
      </c>
      <c r="S983" s="3">
        <v>917674000000</v>
      </c>
      <c r="T983" s="1" t="s">
        <v>86</v>
      </c>
      <c r="U983" s="1">
        <v>69</v>
      </c>
      <c r="V983" s="1">
        <v>68</v>
      </c>
      <c r="W983" s="1" t="s">
        <v>41</v>
      </c>
      <c r="X983" s="1">
        <v>127614</v>
      </c>
      <c r="Y983" s="2">
        <v>38249</v>
      </c>
      <c r="Z983" s="1">
        <v>-5.8210262828535599</v>
      </c>
      <c r="AA983" s="1">
        <v>19</v>
      </c>
      <c r="AB983" s="1">
        <v>676000</v>
      </c>
      <c r="AC983" s="1">
        <f t="shared" si="15"/>
        <v>736000</v>
      </c>
    </row>
    <row r="984" spans="1:29" x14ac:dyDescent="0.25">
      <c r="A984" s="1" t="s">
        <v>4120</v>
      </c>
      <c r="B984" s="1" t="s">
        <v>4121</v>
      </c>
      <c r="C984" s="1" t="s">
        <v>4122</v>
      </c>
      <c r="D984" s="1">
        <v>2021</v>
      </c>
      <c r="E984" s="1" t="s">
        <v>31</v>
      </c>
      <c r="F984" s="1">
        <v>4</v>
      </c>
      <c r="G984" s="1" t="s">
        <v>32</v>
      </c>
      <c r="H984" s="1" t="s">
        <v>210</v>
      </c>
      <c r="I984" s="1">
        <v>169000</v>
      </c>
      <c r="J984" s="1">
        <v>154000</v>
      </c>
      <c r="K984" s="1">
        <v>15000</v>
      </c>
      <c r="L984" s="1">
        <v>0</v>
      </c>
      <c r="M984" s="1" t="s">
        <v>34</v>
      </c>
      <c r="N984" s="1" t="s">
        <v>63</v>
      </c>
      <c r="O984" s="1" t="s">
        <v>71</v>
      </c>
      <c r="P984" s="1" t="s">
        <v>72</v>
      </c>
      <c r="Q984" s="1" t="s">
        <v>38</v>
      </c>
      <c r="R984" s="1" t="s">
        <v>4123</v>
      </c>
      <c r="S984" s="3">
        <v>919914000000</v>
      </c>
      <c r="T984" s="1" t="s">
        <v>98</v>
      </c>
      <c r="U984" s="1">
        <v>69</v>
      </c>
      <c r="V984" s="1">
        <v>73</v>
      </c>
      <c r="W984" s="1" t="s">
        <v>41</v>
      </c>
      <c r="X984" s="1">
        <v>155157</v>
      </c>
      <c r="Y984" s="2">
        <v>38162</v>
      </c>
      <c r="Z984" s="1">
        <v>-5.8210262828535599</v>
      </c>
      <c r="AA984" s="1">
        <v>20</v>
      </c>
      <c r="AB984" s="1">
        <v>676000</v>
      </c>
      <c r="AC984" s="1">
        <f t="shared" si="15"/>
        <v>736000</v>
      </c>
    </row>
    <row r="985" spans="1:29" x14ac:dyDescent="0.25">
      <c r="A985" s="1" t="s">
        <v>4159</v>
      </c>
      <c r="B985" s="1" t="s">
        <v>4160</v>
      </c>
      <c r="C985" s="1" t="s">
        <v>4161</v>
      </c>
      <c r="D985" s="1">
        <v>2021</v>
      </c>
      <c r="E985" s="1" t="s">
        <v>31</v>
      </c>
      <c r="F985" s="1">
        <v>4</v>
      </c>
      <c r="G985" s="1" t="s">
        <v>32</v>
      </c>
      <c r="H985" s="1" t="s">
        <v>33</v>
      </c>
      <c r="I985" s="1">
        <v>169000</v>
      </c>
      <c r="J985" s="1">
        <v>154000</v>
      </c>
      <c r="K985" s="1">
        <v>15000</v>
      </c>
      <c r="L985" s="1">
        <v>0</v>
      </c>
      <c r="M985" s="1" t="s">
        <v>34</v>
      </c>
      <c r="N985" s="1" t="s">
        <v>63</v>
      </c>
      <c r="O985" s="1" t="s">
        <v>91</v>
      </c>
      <c r="P985" s="1" t="s">
        <v>92</v>
      </c>
      <c r="Q985" s="1" t="s">
        <v>38</v>
      </c>
      <c r="R985" s="1" t="s">
        <v>4162</v>
      </c>
      <c r="S985" s="3">
        <v>917063000000</v>
      </c>
      <c r="T985" s="1" t="s">
        <v>40</v>
      </c>
      <c r="U985" s="1">
        <v>68</v>
      </c>
      <c r="V985" s="1">
        <v>65</v>
      </c>
      <c r="W985" s="1" t="s">
        <v>52</v>
      </c>
      <c r="X985" s="1">
        <v>564864</v>
      </c>
      <c r="Y985" s="2">
        <v>38818</v>
      </c>
      <c r="Z985" s="1">
        <v>-6.8210262828535599</v>
      </c>
      <c r="AA985" s="1">
        <v>18</v>
      </c>
      <c r="AB985" s="1">
        <v>676000</v>
      </c>
      <c r="AC985" s="1">
        <f t="shared" si="15"/>
        <v>736000</v>
      </c>
    </row>
    <row r="986" spans="1:29" x14ac:dyDescent="0.25">
      <c r="A986" s="1" t="s">
        <v>4163</v>
      </c>
      <c r="B986" s="1" t="s">
        <v>4164</v>
      </c>
      <c r="C986" s="1" t="s">
        <v>4165</v>
      </c>
      <c r="D986" s="1">
        <v>2021</v>
      </c>
      <c r="E986" s="1" t="s">
        <v>31</v>
      </c>
      <c r="F986" s="1">
        <v>4</v>
      </c>
      <c r="G986" s="1" t="s">
        <v>32</v>
      </c>
      <c r="H986" s="1" t="s">
        <v>102</v>
      </c>
      <c r="I986" s="1">
        <v>169000</v>
      </c>
      <c r="J986" s="1">
        <v>154000</v>
      </c>
      <c r="K986" s="1">
        <v>15000</v>
      </c>
      <c r="L986" s="1">
        <v>0</v>
      </c>
      <c r="M986" s="1" t="s">
        <v>34</v>
      </c>
      <c r="N986" s="1" t="s">
        <v>63</v>
      </c>
      <c r="O986" s="1" t="s">
        <v>57</v>
      </c>
      <c r="P986" s="1" t="s">
        <v>57</v>
      </c>
      <c r="Q986" s="1" t="s">
        <v>38</v>
      </c>
      <c r="R986" s="1" t="s">
        <v>4166</v>
      </c>
      <c r="S986" s="3">
        <v>918575000000</v>
      </c>
      <c r="T986" s="1" t="s">
        <v>51</v>
      </c>
      <c r="U986" s="1">
        <v>68</v>
      </c>
      <c r="V986" s="1">
        <v>66</v>
      </c>
      <c r="W986" s="1" t="s">
        <v>41</v>
      </c>
      <c r="X986" s="1">
        <v>681647</v>
      </c>
      <c r="Y986" s="2">
        <v>37121</v>
      </c>
      <c r="Z986" s="1">
        <v>-6.8210262828535599</v>
      </c>
      <c r="AA986" s="1">
        <v>22</v>
      </c>
      <c r="AB986" s="1">
        <v>676000</v>
      </c>
      <c r="AC986" s="1">
        <f t="shared" si="15"/>
        <v>736000</v>
      </c>
    </row>
    <row r="987" spans="1:29" x14ac:dyDescent="0.25">
      <c r="A987" s="1" t="s">
        <v>4195</v>
      </c>
      <c r="B987" s="1" t="s">
        <v>4196</v>
      </c>
      <c r="C987" s="1" t="s">
        <v>4197</v>
      </c>
      <c r="D987" s="1">
        <v>2021</v>
      </c>
      <c r="E987" s="1" t="s">
        <v>31</v>
      </c>
      <c r="F987" s="1">
        <v>4</v>
      </c>
      <c r="G987" s="1" t="s">
        <v>32</v>
      </c>
      <c r="H987" s="1" t="s">
        <v>90</v>
      </c>
      <c r="I987" s="1">
        <v>169000</v>
      </c>
      <c r="J987" s="1">
        <v>154000</v>
      </c>
      <c r="K987" s="1">
        <v>15000</v>
      </c>
      <c r="L987" s="1">
        <v>0</v>
      </c>
      <c r="M987" s="1" t="s">
        <v>34</v>
      </c>
      <c r="N987" s="1" t="s">
        <v>35</v>
      </c>
      <c r="O987" s="1" t="s">
        <v>57</v>
      </c>
      <c r="P987" s="1" t="s">
        <v>57</v>
      </c>
      <c r="Q987" s="1" t="s">
        <v>38</v>
      </c>
      <c r="R987" s="1" t="s">
        <v>4198</v>
      </c>
      <c r="S987" s="3">
        <v>918365000000</v>
      </c>
      <c r="T987" s="1" t="s">
        <v>51</v>
      </c>
      <c r="U987" s="1">
        <v>68</v>
      </c>
      <c r="V987" s="1">
        <v>62</v>
      </c>
      <c r="W987" s="1" t="s">
        <v>52</v>
      </c>
      <c r="X987" s="1">
        <v>482089</v>
      </c>
      <c r="Y987" s="2">
        <v>38534</v>
      </c>
      <c r="Z987" s="1">
        <v>-6.8210262828535599</v>
      </c>
      <c r="AA987" s="1">
        <v>19</v>
      </c>
      <c r="AB987" s="1">
        <v>676000</v>
      </c>
      <c r="AC987" s="1">
        <f t="shared" si="15"/>
        <v>736000</v>
      </c>
    </row>
    <row r="988" spans="1:29" x14ac:dyDescent="0.25">
      <c r="A988" s="1" t="s">
        <v>4203</v>
      </c>
      <c r="B988" s="1" t="s">
        <v>4204</v>
      </c>
      <c r="C988" s="1" t="s">
        <v>4205</v>
      </c>
      <c r="D988" s="1">
        <v>2021</v>
      </c>
      <c r="E988" s="1" t="s">
        <v>31</v>
      </c>
      <c r="F988" s="1">
        <v>4</v>
      </c>
      <c r="G988" s="1" t="s">
        <v>32</v>
      </c>
      <c r="H988" s="1" t="s">
        <v>33</v>
      </c>
      <c r="I988" s="1">
        <v>169000</v>
      </c>
      <c r="J988" s="1">
        <v>154000</v>
      </c>
      <c r="K988" s="1">
        <v>15000</v>
      </c>
      <c r="L988" s="1">
        <v>0</v>
      </c>
      <c r="M988" s="1" t="s">
        <v>34</v>
      </c>
      <c r="N988" s="1" t="s">
        <v>35</v>
      </c>
      <c r="O988" s="1" t="s">
        <v>103</v>
      </c>
      <c r="P988" s="1" t="s">
        <v>104</v>
      </c>
      <c r="Q988" s="1" t="s">
        <v>38</v>
      </c>
      <c r="R988" s="1" t="s">
        <v>4206</v>
      </c>
      <c r="S988" s="3">
        <v>917031000000</v>
      </c>
      <c r="T988" s="1" t="s">
        <v>86</v>
      </c>
      <c r="U988" s="1">
        <v>68</v>
      </c>
      <c r="V988" s="1">
        <v>69</v>
      </c>
      <c r="W988" s="1" t="s">
        <v>52</v>
      </c>
      <c r="X988" s="1">
        <v>739578</v>
      </c>
      <c r="Y988" s="2">
        <v>37877</v>
      </c>
      <c r="Z988" s="1">
        <v>-6.8210262828535599</v>
      </c>
      <c r="AA988" s="1">
        <v>20</v>
      </c>
      <c r="AB988" s="1">
        <v>676000</v>
      </c>
      <c r="AC988" s="1">
        <f t="shared" si="15"/>
        <v>736000</v>
      </c>
    </row>
    <row r="989" spans="1:29" x14ac:dyDescent="0.25">
      <c r="A989" s="1" t="s">
        <v>4209</v>
      </c>
      <c r="B989" s="1" t="s">
        <v>4210</v>
      </c>
      <c r="C989" s="1" t="s">
        <v>4211</v>
      </c>
      <c r="D989" s="1">
        <v>2021</v>
      </c>
      <c r="E989" s="1" t="s">
        <v>31</v>
      </c>
      <c r="F989" s="1">
        <v>4</v>
      </c>
      <c r="G989" s="1" t="s">
        <v>32</v>
      </c>
      <c r="H989" s="1" t="s">
        <v>151</v>
      </c>
      <c r="I989" s="1">
        <v>169000</v>
      </c>
      <c r="J989" s="1">
        <v>154000</v>
      </c>
      <c r="K989" s="1">
        <v>15000</v>
      </c>
      <c r="L989" s="1">
        <v>0</v>
      </c>
      <c r="M989" s="1" t="s">
        <v>34</v>
      </c>
      <c r="N989" s="1" t="s">
        <v>63</v>
      </c>
      <c r="O989" s="1" t="s">
        <v>36</v>
      </c>
      <c r="P989" s="1" t="s">
        <v>37</v>
      </c>
      <c r="Q989" s="1" t="s">
        <v>38</v>
      </c>
      <c r="R989" s="1" t="s">
        <v>4212</v>
      </c>
      <c r="S989" s="3">
        <v>919171000000</v>
      </c>
      <c r="T989" s="1" t="s">
        <v>74</v>
      </c>
      <c r="U989" s="1">
        <v>68</v>
      </c>
      <c r="V989" s="1">
        <v>74</v>
      </c>
      <c r="W989" s="1" t="s">
        <v>52</v>
      </c>
      <c r="X989" s="1">
        <v>659171</v>
      </c>
      <c r="Y989" s="2">
        <v>37113</v>
      </c>
      <c r="Z989" s="1">
        <v>-6.8210262828535599</v>
      </c>
      <c r="AA989" s="1">
        <v>22</v>
      </c>
      <c r="AB989" s="1">
        <v>676000</v>
      </c>
      <c r="AC989" s="1">
        <f t="shared" si="15"/>
        <v>736000</v>
      </c>
    </row>
    <row r="990" spans="1:29" x14ac:dyDescent="0.25">
      <c r="A990" s="1" t="s">
        <v>4235</v>
      </c>
      <c r="B990" s="1" t="s">
        <v>3356</v>
      </c>
      <c r="C990" s="1" t="s">
        <v>3357</v>
      </c>
      <c r="D990" s="1">
        <v>2021</v>
      </c>
      <c r="E990" s="1" t="s">
        <v>31</v>
      </c>
      <c r="F990" s="1">
        <v>4</v>
      </c>
      <c r="G990" s="1" t="s">
        <v>32</v>
      </c>
      <c r="H990" s="1" t="s">
        <v>90</v>
      </c>
      <c r="I990" s="1">
        <v>169000</v>
      </c>
      <c r="J990" s="1">
        <v>154000</v>
      </c>
      <c r="K990" s="1">
        <v>15000</v>
      </c>
      <c r="L990" s="1">
        <v>0</v>
      </c>
      <c r="M990" s="1" t="s">
        <v>34</v>
      </c>
      <c r="N990" s="1" t="s">
        <v>35</v>
      </c>
      <c r="O990" s="1" t="s">
        <v>57</v>
      </c>
      <c r="P990" s="1" t="s">
        <v>57</v>
      </c>
      <c r="Q990" s="1" t="s">
        <v>38</v>
      </c>
      <c r="R990" s="1" t="s">
        <v>4236</v>
      </c>
      <c r="S990" s="3">
        <v>918258000000</v>
      </c>
      <c r="T990" s="1" t="s">
        <v>51</v>
      </c>
      <c r="U990" s="1">
        <v>68</v>
      </c>
      <c r="V990" s="1">
        <v>91</v>
      </c>
      <c r="W990" s="1" t="s">
        <v>41</v>
      </c>
      <c r="X990" s="1">
        <v>102836</v>
      </c>
      <c r="Y990" s="2">
        <v>37392</v>
      </c>
      <c r="Z990" s="1">
        <v>-6.8210262828535599</v>
      </c>
      <c r="AA990" s="1">
        <v>22</v>
      </c>
      <c r="AB990" s="1">
        <v>676000</v>
      </c>
      <c r="AC990" s="1">
        <f t="shared" si="15"/>
        <v>736000</v>
      </c>
    </row>
    <row r="991" spans="1:29" x14ac:dyDescent="0.25">
      <c r="A991" s="1" t="s">
        <v>4257</v>
      </c>
      <c r="B991" s="1" t="s">
        <v>1864</v>
      </c>
      <c r="C991" s="1" t="s">
        <v>1865</v>
      </c>
      <c r="D991" s="1">
        <v>2021</v>
      </c>
      <c r="E991" s="1" t="s">
        <v>31</v>
      </c>
      <c r="F991" s="1">
        <v>4</v>
      </c>
      <c r="G991" s="1" t="s">
        <v>32</v>
      </c>
      <c r="H991" s="1" t="s">
        <v>122</v>
      </c>
      <c r="I991" s="1">
        <v>169000</v>
      </c>
      <c r="J991" s="1">
        <v>154000</v>
      </c>
      <c r="K991" s="1">
        <v>15000</v>
      </c>
      <c r="L991" s="1">
        <v>0</v>
      </c>
      <c r="M991" s="1" t="s">
        <v>34</v>
      </c>
      <c r="N991" s="1" t="s">
        <v>70</v>
      </c>
      <c r="O991" s="1" t="s">
        <v>71</v>
      </c>
      <c r="P991" s="1" t="s">
        <v>72</v>
      </c>
      <c r="Q991" s="1" t="s">
        <v>38</v>
      </c>
      <c r="R991" s="1" t="s">
        <v>4258</v>
      </c>
      <c r="S991" s="3">
        <v>917252000000</v>
      </c>
      <c r="T991" s="1" t="s">
        <v>86</v>
      </c>
      <c r="U991" s="1">
        <v>68</v>
      </c>
      <c r="V991" s="1">
        <v>84</v>
      </c>
      <c r="W991" s="1" t="s">
        <v>52</v>
      </c>
      <c r="X991" s="1">
        <v>485237</v>
      </c>
      <c r="Y991" s="2">
        <v>36827</v>
      </c>
      <c r="Z991" s="1">
        <v>-6.8210262828535599</v>
      </c>
      <c r="AA991" s="1">
        <v>23</v>
      </c>
      <c r="AB991" s="1">
        <v>676000</v>
      </c>
      <c r="AC991" s="1">
        <f t="shared" si="15"/>
        <v>736000</v>
      </c>
    </row>
    <row r="992" spans="1:29" x14ac:dyDescent="0.25">
      <c r="A992" s="1" t="s">
        <v>4273</v>
      </c>
      <c r="B992" s="1" t="s">
        <v>4274</v>
      </c>
      <c r="C992" s="1" t="s">
        <v>4275</v>
      </c>
      <c r="D992" s="1">
        <v>2021</v>
      </c>
      <c r="E992" s="1" t="s">
        <v>45</v>
      </c>
      <c r="F992" s="1">
        <v>2</v>
      </c>
      <c r="G992" s="1" t="s">
        <v>46</v>
      </c>
      <c r="H992" s="1" t="s">
        <v>33</v>
      </c>
      <c r="I992" s="1">
        <v>92000</v>
      </c>
      <c r="J992" s="1">
        <v>77000</v>
      </c>
      <c r="K992" s="1">
        <v>15000</v>
      </c>
      <c r="L992" s="1">
        <v>0</v>
      </c>
      <c r="M992" s="1" t="s">
        <v>34</v>
      </c>
      <c r="N992" s="1" t="s">
        <v>63</v>
      </c>
      <c r="O992" s="1" t="s">
        <v>36</v>
      </c>
      <c r="P992" s="1" t="s">
        <v>37</v>
      </c>
      <c r="Q992" s="1" t="s">
        <v>38</v>
      </c>
      <c r="R992" s="1" t="s">
        <v>4276</v>
      </c>
      <c r="S992" s="3">
        <v>918456000000</v>
      </c>
      <c r="T992" s="1" t="s">
        <v>51</v>
      </c>
      <c r="U992" s="1">
        <v>68</v>
      </c>
      <c r="V992" s="1">
        <v>60</v>
      </c>
      <c r="W992" s="1" t="s">
        <v>52</v>
      </c>
      <c r="X992" s="1">
        <v>782307</v>
      </c>
      <c r="Y992" s="2">
        <v>35893</v>
      </c>
      <c r="Z992" s="1">
        <v>-6.8210262828535599</v>
      </c>
      <c r="AA992" s="1">
        <v>26</v>
      </c>
      <c r="AB992" s="1">
        <v>184000</v>
      </c>
      <c r="AC992" s="1">
        <f t="shared" si="15"/>
        <v>214000</v>
      </c>
    </row>
    <row r="993" spans="1:29" x14ac:dyDescent="0.25">
      <c r="A993" s="1" t="s">
        <v>4336</v>
      </c>
      <c r="B993" s="1" t="s">
        <v>4337</v>
      </c>
      <c r="C993" s="1" t="s">
        <v>4338</v>
      </c>
      <c r="D993" s="1">
        <v>2021</v>
      </c>
      <c r="E993" s="1" t="s">
        <v>31</v>
      </c>
      <c r="F993" s="1">
        <v>4</v>
      </c>
      <c r="G993" s="1" t="s">
        <v>32</v>
      </c>
      <c r="H993" s="1" t="s">
        <v>210</v>
      </c>
      <c r="I993" s="1">
        <v>169000</v>
      </c>
      <c r="J993" s="1">
        <v>154000</v>
      </c>
      <c r="K993" s="1">
        <v>15000</v>
      </c>
      <c r="L993" s="1">
        <v>0</v>
      </c>
      <c r="M993" s="1" t="s">
        <v>34</v>
      </c>
      <c r="N993" s="1" t="s">
        <v>35</v>
      </c>
      <c r="O993" s="1" t="s">
        <v>84</v>
      </c>
      <c r="P993" s="1" t="s">
        <v>65</v>
      </c>
      <c r="Q993" s="1" t="s">
        <v>38</v>
      </c>
      <c r="R993" s="1" t="s">
        <v>4339</v>
      </c>
      <c r="S993" s="3">
        <v>919528000000</v>
      </c>
      <c r="T993" s="1" t="s">
        <v>86</v>
      </c>
      <c r="U993" s="1">
        <v>67</v>
      </c>
      <c r="V993" s="1">
        <v>82</v>
      </c>
      <c r="W993" s="1" t="s">
        <v>41</v>
      </c>
      <c r="X993" s="1">
        <v>542964</v>
      </c>
      <c r="Y993" s="2">
        <v>37884</v>
      </c>
      <c r="Z993" s="1">
        <v>-7.8210262828535599</v>
      </c>
      <c r="AA993" s="1">
        <v>20</v>
      </c>
      <c r="AB993" s="1">
        <v>676000</v>
      </c>
      <c r="AC993" s="1">
        <f t="shared" si="15"/>
        <v>736000</v>
      </c>
    </row>
    <row r="994" spans="1:29" x14ac:dyDescent="0.25">
      <c r="A994" s="1" t="s">
        <v>4346</v>
      </c>
      <c r="B994" s="1" t="s">
        <v>4347</v>
      </c>
      <c r="C994" s="1" t="s">
        <v>4348</v>
      </c>
      <c r="D994" s="1">
        <v>2021</v>
      </c>
      <c r="E994" s="1" t="s">
        <v>31</v>
      </c>
      <c r="F994" s="1">
        <v>4</v>
      </c>
      <c r="G994" s="1" t="s">
        <v>32</v>
      </c>
      <c r="H994" s="1" t="s">
        <v>47</v>
      </c>
      <c r="I994" s="1">
        <v>169000</v>
      </c>
      <c r="J994" s="1">
        <v>154000</v>
      </c>
      <c r="K994" s="1">
        <v>15000</v>
      </c>
      <c r="L994" s="1">
        <v>0</v>
      </c>
      <c r="M994" s="1" t="s">
        <v>34</v>
      </c>
      <c r="N994" s="1" t="s">
        <v>70</v>
      </c>
      <c r="O994" s="1" t="s">
        <v>84</v>
      </c>
      <c r="P994" s="1" t="s">
        <v>65</v>
      </c>
      <c r="Q994" s="1" t="s">
        <v>38</v>
      </c>
      <c r="R994" s="1" t="s">
        <v>4349</v>
      </c>
      <c r="S994" s="3">
        <v>917428000000</v>
      </c>
      <c r="T994" s="1" t="s">
        <v>86</v>
      </c>
      <c r="U994" s="1">
        <v>67</v>
      </c>
      <c r="V994" s="1">
        <v>83</v>
      </c>
      <c r="W994" s="1" t="s">
        <v>41</v>
      </c>
      <c r="X994" s="1">
        <v>399437</v>
      </c>
      <c r="Y994" s="2">
        <v>37311</v>
      </c>
      <c r="Z994" s="1">
        <v>-7.8210262828535599</v>
      </c>
      <c r="AA994" s="1">
        <v>22</v>
      </c>
      <c r="AB994" s="1">
        <v>676000</v>
      </c>
      <c r="AC994" s="1">
        <f t="shared" si="15"/>
        <v>736000</v>
      </c>
    </row>
    <row r="995" spans="1:29" x14ac:dyDescent="0.25">
      <c r="A995" s="1" t="s">
        <v>4366</v>
      </c>
      <c r="B995" s="1" t="s">
        <v>4367</v>
      </c>
      <c r="C995" s="1" t="s">
        <v>4368</v>
      </c>
      <c r="D995" s="1">
        <v>2021</v>
      </c>
      <c r="E995" s="1" t="s">
        <v>31</v>
      </c>
      <c r="F995" s="1">
        <v>4</v>
      </c>
      <c r="G995" s="1" t="s">
        <v>32</v>
      </c>
      <c r="H995" s="1" t="s">
        <v>56</v>
      </c>
      <c r="I995" s="1">
        <v>169000</v>
      </c>
      <c r="J995" s="1">
        <v>154000</v>
      </c>
      <c r="K995" s="1">
        <v>15000</v>
      </c>
      <c r="L995" s="1">
        <v>0</v>
      </c>
      <c r="M995" s="1" t="s">
        <v>34</v>
      </c>
      <c r="N995" s="1" t="s">
        <v>35</v>
      </c>
      <c r="O995" s="1" t="s">
        <v>64</v>
      </c>
      <c r="P995" s="1" t="s">
        <v>65</v>
      </c>
      <c r="Q995" s="1" t="s">
        <v>38</v>
      </c>
      <c r="R995" s="1" t="s">
        <v>4369</v>
      </c>
      <c r="S995" s="3">
        <v>917459000000</v>
      </c>
      <c r="T995" s="1" t="s">
        <v>98</v>
      </c>
      <c r="U995" s="1">
        <v>67</v>
      </c>
      <c r="V995" s="1">
        <v>67</v>
      </c>
      <c r="W995" s="1" t="s">
        <v>52</v>
      </c>
      <c r="X995" s="1">
        <v>148860</v>
      </c>
      <c r="Y995" s="2">
        <v>37423</v>
      </c>
      <c r="Z995" s="1">
        <v>-7.8210262828535599</v>
      </c>
      <c r="AA995" s="1">
        <v>22</v>
      </c>
      <c r="AB995" s="1">
        <v>676000</v>
      </c>
      <c r="AC995" s="1">
        <f t="shared" si="15"/>
        <v>736000</v>
      </c>
    </row>
    <row r="996" spans="1:29" x14ac:dyDescent="0.25">
      <c r="A996" s="1" t="s">
        <v>1566</v>
      </c>
      <c r="B996" s="1" t="s">
        <v>4370</v>
      </c>
      <c r="C996" s="1" t="s">
        <v>4371</v>
      </c>
      <c r="D996" s="1">
        <v>2021</v>
      </c>
      <c r="E996" s="1" t="s">
        <v>31</v>
      </c>
      <c r="F996" s="1">
        <v>4</v>
      </c>
      <c r="G996" s="1" t="s">
        <v>32</v>
      </c>
      <c r="H996" s="1" t="s">
        <v>56</v>
      </c>
      <c r="I996" s="1">
        <v>169000</v>
      </c>
      <c r="J996" s="1">
        <v>154000</v>
      </c>
      <c r="K996" s="1">
        <v>15000</v>
      </c>
      <c r="L996" s="1">
        <v>0</v>
      </c>
      <c r="M996" s="1" t="s">
        <v>34</v>
      </c>
      <c r="N996" s="1" t="s">
        <v>35</v>
      </c>
      <c r="O996" s="1" t="s">
        <v>91</v>
      </c>
      <c r="P996" s="1" t="s">
        <v>92</v>
      </c>
      <c r="Q996" s="1" t="s">
        <v>38</v>
      </c>
      <c r="R996" s="1" t="s">
        <v>4372</v>
      </c>
      <c r="S996" s="3">
        <v>919512000000</v>
      </c>
      <c r="T996" s="1" t="s">
        <v>40</v>
      </c>
      <c r="U996" s="1">
        <v>67</v>
      </c>
      <c r="V996" s="1">
        <v>82</v>
      </c>
      <c r="W996" s="1" t="s">
        <v>52</v>
      </c>
      <c r="X996" s="1">
        <v>133017</v>
      </c>
      <c r="Y996" s="2">
        <v>37117</v>
      </c>
      <c r="Z996" s="1">
        <v>-7.8210262828535599</v>
      </c>
      <c r="AA996" s="1">
        <v>22</v>
      </c>
      <c r="AB996" s="1">
        <v>676000</v>
      </c>
      <c r="AC996" s="1">
        <f t="shared" si="15"/>
        <v>736000</v>
      </c>
    </row>
    <row r="997" spans="1:29" x14ac:dyDescent="0.25">
      <c r="A997" s="1" t="s">
        <v>4413</v>
      </c>
      <c r="B997" s="1" t="s">
        <v>4414</v>
      </c>
      <c r="C997" s="1" t="s">
        <v>4415</v>
      </c>
      <c r="D997" s="1">
        <v>2021</v>
      </c>
      <c r="E997" s="1" t="s">
        <v>31</v>
      </c>
      <c r="F997" s="1">
        <v>4</v>
      </c>
      <c r="G997" s="1" t="s">
        <v>32</v>
      </c>
      <c r="H997" s="1" t="s">
        <v>62</v>
      </c>
      <c r="I997" s="1">
        <v>169000</v>
      </c>
      <c r="J997" s="1">
        <v>154000</v>
      </c>
      <c r="K997" s="1">
        <v>15000</v>
      </c>
      <c r="L997" s="1">
        <v>0</v>
      </c>
      <c r="M997" s="1" t="s">
        <v>34</v>
      </c>
      <c r="N997" s="1" t="s">
        <v>63</v>
      </c>
      <c r="O997" s="1" t="s">
        <v>84</v>
      </c>
      <c r="P997" s="1" t="s">
        <v>65</v>
      </c>
      <c r="Q997" s="1" t="s">
        <v>38</v>
      </c>
      <c r="R997" s="1" t="s">
        <v>4416</v>
      </c>
      <c r="S997" s="3">
        <v>919165000000</v>
      </c>
      <c r="T997" s="1" t="s">
        <v>98</v>
      </c>
      <c r="U997" s="1">
        <v>67</v>
      </c>
      <c r="V997" s="1">
        <v>87</v>
      </c>
      <c r="W997" s="1" t="s">
        <v>41</v>
      </c>
      <c r="X997" s="1">
        <v>218182</v>
      </c>
      <c r="Y997" s="2">
        <v>37183</v>
      </c>
      <c r="Z997" s="1">
        <v>-7.8210262828535599</v>
      </c>
      <c r="AA997" s="1">
        <v>22</v>
      </c>
      <c r="AB997" s="1">
        <v>676000</v>
      </c>
      <c r="AC997" s="1">
        <f t="shared" si="15"/>
        <v>736000</v>
      </c>
    </row>
    <row r="998" spans="1:29" x14ac:dyDescent="0.25">
      <c r="A998" s="1" t="s">
        <v>4441</v>
      </c>
      <c r="B998" s="1" t="s">
        <v>4442</v>
      </c>
      <c r="C998" s="1" t="s">
        <v>4443</v>
      </c>
      <c r="D998" s="1">
        <v>2021</v>
      </c>
      <c r="E998" s="1" t="s">
        <v>31</v>
      </c>
      <c r="F998" s="1">
        <v>4</v>
      </c>
      <c r="G998" s="1" t="s">
        <v>32</v>
      </c>
      <c r="H998" s="1" t="s">
        <v>47</v>
      </c>
      <c r="I998" s="1">
        <v>169000</v>
      </c>
      <c r="J998" s="1">
        <v>154000</v>
      </c>
      <c r="K998" s="1">
        <v>15000</v>
      </c>
      <c r="L998" s="1">
        <v>0</v>
      </c>
      <c r="M998" s="1" t="s">
        <v>34</v>
      </c>
      <c r="N998" s="1" t="s">
        <v>35</v>
      </c>
      <c r="O998" s="1" t="s">
        <v>91</v>
      </c>
      <c r="P998" s="1" t="s">
        <v>92</v>
      </c>
      <c r="Q998" s="1" t="s">
        <v>38</v>
      </c>
      <c r="R998" s="1" t="s">
        <v>4444</v>
      </c>
      <c r="S998" s="3">
        <v>918465000000</v>
      </c>
      <c r="T998" s="1" t="s">
        <v>74</v>
      </c>
      <c r="U998" s="1">
        <v>67</v>
      </c>
      <c r="V998" s="1">
        <v>72</v>
      </c>
      <c r="W998" s="1" t="s">
        <v>52</v>
      </c>
      <c r="X998" s="1">
        <v>717741</v>
      </c>
      <c r="Y998" s="2">
        <v>37797</v>
      </c>
      <c r="Z998" s="1">
        <v>-7.8210262828535599</v>
      </c>
      <c r="AA998" s="1">
        <v>21</v>
      </c>
      <c r="AB998" s="1">
        <v>676000</v>
      </c>
      <c r="AC998" s="1">
        <f t="shared" si="15"/>
        <v>736000</v>
      </c>
    </row>
    <row r="999" spans="1:29" x14ac:dyDescent="0.25">
      <c r="A999" s="1" t="s">
        <v>4449</v>
      </c>
      <c r="B999" s="1" t="s">
        <v>3346</v>
      </c>
      <c r="C999" s="1" t="s">
        <v>3347</v>
      </c>
      <c r="D999" s="1">
        <v>2021</v>
      </c>
      <c r="E999" s="1" t="s">
        <v>45</v>
      </c>
      <c r="F999" s="1">
        <v>2</v>
      </c>
      <c r="G999" s="1" t="s">
        <v>46</v>
      </c>
      <c r="H999" s="1" t="s">
        <v>47</v>
      </c>
      <c r="I999" s="1">
        <v>92000</v>
      </c>
      <c r="J999" s="1">
        <v>77000</v>
      </c>
      <c r="K999" s="1">
        <v>15000</v>
      </c>
      <c r="L999" s="1">
        <v>0</v>
      </c>
      <c r="M999" s="1" t="s">
        <v>34</v>
      </c>
      <c r="N999" s="1" t="s">
        <v>70</v>
      </c>
      <c r="O999" s="1" t="s">
        <v>71</v>
      </c>
      <c r="P999" s="1" t="s">
        <v>72</v>
      </c>
      <c r="Q999" s="1" t="s">
        <v>38</v>
      </c>
      <c r="R999" s="1" t="s">
        <v>4450</v>
      </c>
      <c r="S999" s="3">
        <v>918893000000</v>
      </c>
      <c r="T999" s="1" t="s">
        <v>40</v>
      </c>
      <c r="U999" s="1">
        <v>67</v>
      </c>
      <c r="V999" s="1">
        <v>67</v>
      </c>
      <c r="W999" s="1" t="s">
        <v>41</v>
      </c>
      <c r="X999" s="1">
        <v>374247</v>
      </c>
      <c r="Y999" s="2">
        <v>36359</v>
      </c>
      <c r="Z999" s="1">
        <v>-7.8210262828535599</v>
      </c>
      <c r="AA999" s="1">
        <v>24</v>
      </c>
      <c r="AB999" s="1">
        <v>184000</v>
      </c>
      <c r="AC999" s="1">
        <f t="shared" si="15"/>
        <v>214000</v>
      </c>
    </row>
    <row r="1000" spans="1:29" x14ac:dyDescent="0.25">
      <c r="A1000" s="1" t="s">
        <v>4493</v>
      </c>
      <c r="B1000" s="1" t="s">
        <v>4494</v>
      </c>
      <c r="C1000" s="1" t="s">
        <v>4495</v>
      </c>
      <c r="D1000" s="1">
        <v>2021</v>
      </c>
      <c r="E1000" s="1" t="s">
        <v>31</v>
      </c>
      <c r="F1000" s="1">
        <v>4</v>
      </c>
      <c r="G1000" s="1" t="s">
        <v>32</v>
      </c>
      <c r="H1000" s="1" t="s">
        <v>210</v>
      </c>
      <c r="I1000" s="1">
        <v>169000</v>
      </c>
      <c r="J1000" s="1">
        <v>154000</v>
      </c>
      <c r="K1000" s="1">
        <v>15000</v>
      </c>
      <c r="L1000" s="1">
        <v>0</v>
      </c>
      <c r="M1000" s="1" t="s">
        <v>34</v>
      </c>
      <c r="N1000" s="1" t="s">
        <v>70</v>
      </c>
      <c r="O1000" s="1" t="s">
        <v>84</v>
      </c>
      <c r="P1000" s="1" t="s">
        <v>65</v>
      </c>
      <c r="Q1000" s="1" t="s">
        <v>38</v>
      </c>
      <c r="R1000" s="1" t="s">
        <v>4496</v>
      </c>
      <c r="S1000" s="3">
        <v>918107000000</v>
      </c>
      <c r="T1000" s="1" t="s">
        <v>98</v>
      </c>
      <c r="U1000" s="1">
        <v>66</v>
      </c>
      <c r="V1000" s="1">
        <v>61</v>
      </c>
      <c r="W1000" s="1" t="s">
        <v>52</v>
      </c>
      <c r="X1000" s="1">
        <v>355228</v>
      </c>
      <c r="Y1000" s="2">
        <v>38319</v>
      </c>
      <c r="Z1000" s="1">
        <v>-8.8210262828535608</v>
      </c>
      <c r="AA1000" s="1">
        <v>19</v>
      </c>
      <c r="AB1000" s="1">
        <v>676000</v>
      </c>
      <c r="AC1000" s="1">
        <f t="shared" si="15"/>
        <v>736000</v>
      </c>
    </row>
    <row r="1001" spans="1:29" x14ac:dyDescent="0.25">
      <c r="A1001" s="1" t="s">
        <v>4499</v>
      </c>
      <c r="B1001" s="1" t="s">
        <v>477</v>
      </c>
      <c r="C1001" s="1" t="s">
        <v>478</v>
      </c>
      <c r="D1001" s="1">
        <v>2021</v>
      </c>
      <c r="E1001" s="1" t="s">
        <v>45</v>
      </c>
      <c r="F1001" s="1">
        <v>2</v>
      </c>
      <c r="G1001" s="1" t="s">
        <v>46</v>
      </c>
      <c r="H1001" s="1" t="s">
        <v>90</v>
      </c>
      <c r="I1001" s="1">
        <v>92000</v>
      </c>
      <c r="J1001" s="1">
        <v>77000</v>
      </c>
      <c r="K1001" s="1">
        <v>15000</v>
      </c>
      <c r="L1001" s="1">
        <v>0</v>
      </c>
      <c r="M1001" s="1" t="s">
        <v>34</v>
      </c>
      <c r="N1001" s="1" t="s">
        <v>70</v>
      </c>
      <c r="O1001" s="1" t="s">
        <v>188</v>
      </c>
      <c r="P1001" s="1" t="s">
        <v>189</v>
      </c>
      <c r="Q1001" s="1" t="s">
        <v>38</v>
      </c>
      <c r="R1001" s="1" t="s">
        <v>4500</v>
      </c>
      <c r="S1001" s="3">
        <v>917560000000</v>
      </c>
      <c r="T1001" s="1" t="s">
        <v>51</v>
      </c>
      <c r="U1001" s="1">
        <v>66</v>
      </c>
      <c r="V1001" s="1">
        <v>79</v>
      </c>
      <c r="W1001" s="1" t="s">
        <v>41</v>
      </c>
      <c r="X1001" s="1">
        <v>350952</v>
      </c>
      <c r="Y1001" s="2">
        <v>35944</v>
      </c>
      <c r="Z1001" s="1">
        <v>-8.8210262828535608</v>
      </c>
      <c r="AA1001" s="1">
        <v>26</v>
      </c>
      <c r="AB1001" s="1">
        <v>184000</v>
      </c>
      <c r="AC1001" s="1">
        <f t="shared" si="15"/>
        <v>214000</v>
      </c>
    </row>
    <row r="1002" spans="1:29" x14ac:dyDescent="0.25">
      <c r="A1002" s="1" t="s">
        <v>4513</v>
      </c>
      <c r="B1002" s="1" t="s">
        <v>3306</v>
      </c>
      <c r="C1002" s="1" t="s">
        <v>3307</v>
      </c>
      <c r="D1002" s="1">
        <v>2021</v>
      </c>
      <c r="E1002" s="1" t="s">
        <v>45</v>
      </c>
      <c r="F1002" s="1">
        <v>2</v>
      </c>
      <c r="G1002" s="1" t="s">
        <v>46</v>
      </c>
      <c r="H1002" s="1" t="s">
        <v>62</v>
      </c>
      <c r="I1002" s="1">
        <v>92000</v>
      </c>
      <c r="J1002" s="1">
        <v>77000</v>
      </c>
      <c r="K1002" s="1">
        <v>15000</v>
      </c>
      <c r="L1002" s="1">
        <v>0</v>
      </c>
      <c r="M1002" s="1" t="s">
        <v>34</v>
      </c>
      <c r="N1002" s="1" t="s">
        <v>70</v>
      </c>
      <c r="O1002" s="1" t="s">
        <v>64</v>
      </c>
      <c r="P1002" s="1" t="s">
        <v>65</v>
      </c>
      <c r="Q1002" s="1" t="s">
        <v>38</v>
      </c>
      <c r="R1002" s="1" t="s">
        <v>4514</v>
      </c>
      <c r="S1002" s="3">
        <v>919253000000</v>
      </c>
      <c r="T1002" s="1" t="s">
        <v>51</v>
      </c>
      <c r="U1002" s="1">
        <v>66</v>
      </c>
      <c r="V1002" s="1">
        <v>69</v>
      </c>
      <c r="W1002" s="1" t="s">
        <v>41</v>
      </c>
      <c r="X1002" s="1">
        <v>545875</v>
      </c>
      <c r="Y1002" s="2">
        <v>35990</v>
      </c>
      <c r="Z1002" s="1">
        <v>-8.8210262828535608</v>
      </c>
      <c r="AA1002" s="1">
        <v>25</v>
      </c>
      <c r="AB1002" s="1">
        <v>184000</v>
      </c>
      <c r="AC1002" s="1">
        <f t="shared" si="15"/>
        <v>214000</v>
      </c>
    </row>
    <row r="1003" spans="1:29" x14ac:dyDescent="0.25">
      <c r="A1003" s="1" t="s">
        <v>4537</v>
      </c>
      <c r="B1003" s="1" t="s">
        <v>727</v>
      </c>
      <c r="C1003" s="1" t="s">
        <v>728</v>
      </c>
      <c r="D1003" s="1">
        <v>2021</v>
      </c>
      <c r="E1003" s="1" t="s">
        <v>45</v>
      </c>
      <c r="F1003" s="1">
        <v>2</v>
      </c>
      <c r="G1003" s="1" t="s">
        <v>46</v>
      </c>
      <c r="H1003" s="1" t="s">
        <v>90</v>
      </c>
      <c r="I1003" s="1">
        <v>92000</v>
      </c>
      <c r="J1003" s="1">
        <v>77000</v>
      </c>
      <c r="K1003" s="1">
        <v>15000</v>
      </c>
      <c r="L1003" s="1">
        <v>0</v>
      </c>
      <c r="M1003" s="1" t="s">
        <v>34</v>
      </c>
      <c r="N1003" s="1" t="s">
        <v>63</v>
      </c>
      <c r="O1003" s="1" t="s">
        <v>64</v>
      </c>
      <c r="P1003" s="1" t="s">
        <v>65</v>
      </c>
      <c r="Q1003" s="1" t="s">
        <v>38</v>
      </c>
      <c r="R1003" s="1" t="s">
        <v>4538</v>
      </c>
      <c r="S1003" s="3">
        <v>919219000000</v>
      </c>
      <c r="T1003" s="1" t="s">
        <v>40</v>
      </c>
      <c r="U1003" s="1">
        <v>66</v>
      </c>
      <c r="V1003" s="1">
        <v>86</v>
      </c>
      <c r="W1003" s="1" t="s">
        <v>41</v>
      </c>
      <c r="X1003" s="1">
        <v>388132</v>
      </c>
      <c r="Y1003" s="2">
        <v>35814</v>
      </c>
      <c r="Z1003" s="1">
        <v>-8.8210262828535608</v>
      </c>
      <c r="AA1003" s="1">
        <v>26</v>
      </c>
      <c r="AB1003" s="1">
        <v>184000</v>
      </c>
      <c r="AC1003" s="1">
        <f t="shared" si="15"/>
        <v>214000</v>
      </c>
    </row>
    <row r="1004" spans="1:29" x14ac:dyDescent="0.25">
      <c r="A1004" s="1" t="s">
        <v>4547</v>
      </c>
      <c r="B1004" s="1" t="s">
        <v>4548</v>
      </c>
      <c r="C1004" s="1" t="s">
        <v>4549</v>
      </c>
      <c r="D1004" s="1">
        <v>2021</v>
      </c>
      <c r="E1004" s="1" t="s">
        <v>31</v>
      </c>
      <c r="F1004" s="1">
        <v>4</v>
      </c>
      <c r="G1004" s="1" t="s">
        <v>32</v>
      </c>
      <c r="H1004" s="1" t="s">
        <v>62</v>
      </c>
      <c r="I1004" s="1">
        <v>169000</v>
      </c>
      <c r="J1004" s="1">
        <v>154000</v>
      </c>
      <c r="K1004" s="1">
        <v>15000</v>
      </c>
      <c r="L1004" s="1">
        <v>0</v>
      </c>
      <c r="M1004" s="1" t="s">
        <v>34</v>
      </c>
      <c r="N1004" s="1" t="s">
        <v>35</v>
      </c>
      <c r="O1004" s="1" t="s">
        <v>48</v>
      </c>
      <c r="P1004" s="1" t="s">
        <v>49</v>
      </c>
      <c r="Q1004" s="1" t="s">
        <v>38</v>
      </c>
      <c r="R1004" s="1" t="s">
        <v>4550</v>
      </c>
      <c r="S1004" s="3">
        <v>918292000000</v>
      </c>
      <c r="T1004" s="1" t="s">
        <v>74</v>
      </c>
      <c r="U1004" s="1">
        <v>66</v>
      </c>
      <c r="V1004" s="1">
        <v>83</v>
      </c>
      <c r="W1004" s="1" t="s">
        <v>41</v>
      </c>
      <c r="X1004" s="1">
        <v>146567</v>
      </c>
      <c r="Y1004" s="2">
        <v>37968</v>
      </c>
      <c r="Z1004" s="1">
        <v>-8.8210262828535608</v>
      </c>
      <c r="AA1004" s="1">
        <v>20</v>
      </c>
      <c r="AB1004" s="1">
        <v>676000</v>
      </c>
      <c r="AC1004" s="1">
        <f t="shared" si="15"/>
        <v>736000</v>
      </c>
    </row>
    <row r="1005" spans="1:29" x14ac:dyDescent="0.25">
      <c r="A1005" s="1" t="s">
        <v>4551</v>
      </c>
      <c r="B1005" s="1" t="s">
        <v>4552</v>
      </c>
      <c r="C1005" s="1" t="s">
        <v>4553</v>
      </c>
      <c r="D1005" s="1">
        <v>2021</v>
      </c>
      <c r="E1005" s="1" t="s">
        <v>31</v>
      </c>
      <c r="F1005" s="1">
        <v>4</v>
      </c>
      <c r="G1005" s="1" t="s">
        <v>32</v>
      </c>
      <c r="H1005" s="1" t="s">
        <v>47</v>
      </c>
      <c r="I1005" s="1">
        <v>169000</v>
      </c>
      <c r="J1005" s="1">
        <v>154000</v>
      </c>
      <c r="K1005" s="1">
        <v>15000</v>
      </c>
      <c r="L1005" s="1">
        <v>0</v>
      </c>
      <c r="M1005" s="1" t="s">
        <v>34</v>
      </c>
      <c r="N1005" s="1" t="s">
        <v>70</v>
      </c>
      <c r="O1005" s="1" t="s">
        <v>36</v>
      </c>
      <c r="P1005" s="1" t="s">
        <v>37</v>
      </c>
      <c r="Q1005" s="1" t="s">
        <v>38</v>
      </c>
      <c r="R1005" s="1" t="s">
        <v>4554</v>
      </c>
      <c r="S1005" s="3">
        <v>917330000000</v>
      </c>
      <c r="T1005" s="1" t="s">
        <v>74</v>
      </c>
      <c r="U1005" s="1">
        <v>66</v>
      </c>
      <c r="V1005" s="1">
        <v>89</v>
      </c>
      <c r="W1005" s="1" t="s">
        <v>52</v>
      </c>
      <c r="X1005" s="1">
        <v>250927</v>
      </c>
      <c r="Y1005" s="2">
        <v>37929</v>
      </c>
      <c r="Z1005" s="1">
        <v>-8.8210262828535608</v>
      </c>
      <c r="AA1005" s="1">
        <v>20</v>
      </c>
      <c r="AB1005" s="1">
        <v>676000</v>
      </c>
      <c r="AC1005" s="1">
        <f t="shared" si="15"/>
        <v>736000</v>
      </c>
    </row>
    <row r="1006" spans="1:29" x14ac:dyDescent="0.25">
      <c r="A1006" s="1" t="s">
        <v>4571</v>
      </c>
      <c r="B1006" s="1" t="s">
        <v>4572</v>
      </c>
      <c r="C1006" s="1" t="s">
        <v>4573</v>
      </c>
      <c r="D1006" s="1">
        <v>2021</v>
      </c>
      <c r="E1006" s="1" t="s">
        <v>31</v>
      </c>
      <c r="F1006" s="1">
        <v>4</v>
      </c>
      <c r="G1006" s="1" t="s">
        <v>32</v>
      </c>
      <c r="H1006" s="1" t="s">
        <v>90</v>
      </c>
      <c r="I1006" s="1">
        <v>169000</v>
      </c>
      <c r="J1006" s="1">
        <v>154000</v>
      </c>
      <c r="K1006" s="1">
        <v>15000</v>
      </c>
      <c r="L1006" s="1">
        <v>0</v>
      </c>
      <c r="M1006" s="1" t="s">
        <v>34</v>
      </c>
      <c r="N1006" s="1" t="s">
        <v>70</v>
      </c>
      <c r="O1006" s="1" t="s">
        <v>91</v>
      </c>
      <c r="P1006" s="1" t="s">
        <v>92</v>
      </c>
      <c r="Q1006" s="1" t="s">
        <v>38</v>
      </c>
      <c r="R1006" s="1" t="s">
        <v>4574</v>
      </c>
      <c r="S1006" s="3">
        <v>919439000000</v>
      </c>
      <c r="T1006" s="1" t="s">
        <v>40</v>
      </c>
      <c r="U1006" s="1">
        <v>66</v>
      </c>
      <c r="V1006" s="1">
        <v>78</v>
      </c>
      <c r="W1006" s="1" t="s">
        <v>52</v>
      </c>
      <c r="X1006" s="1">
        <v>287064</v>
      </c>
      <c r="Y1006" s="2">
        <v>37370</v>
      </c>
      <c r="Z1006" s="1">
        <v>-8.8210262828535608</v>
      </c>
      <c r="AA1006" s="1">
        <v>22</v>
      </c>
      <c r="AB1006" s="1">
        <v>676000</v>
      </c>
      <c r="AC1006" s="1">
        <f t="shared" si="15"/>
        <v>736000</v>
      </c>
    </row>
    <row r="1007" spans="1:29" x14ac:dyDescent="0.25">
      <c r="A1007" s="1" t="s">
        <v>4583</v>
      </c>
      <c r="B1007" s="1" t="s">
        <v>4584</v>
      </c>
      <c r="C1007" s="1" t="s">
        <v>4585</v>
      </c>
      <c r="D1007" s="1">
        <v>2021</v>
      </c>
      <c r="E1007" s="1" t="s">
        <v>31</v>
      </c>
      <c r="F1007" s="1">
        <v>4</v>
      </c>
      <c r="G1007" s="1" t="s">
        <v>32</v>
      </c>
      <c r="H1007" s="1" t="s">
        <v>47</v>
      </c>
      <c r="I1007" s="1">
        <v>169000</v>
      </c>
      <c r="J1007" s="1">
        <v>154000</v>
      </c>
      <c r="K1007" s="1">
        <v>15000</v>
      </c>
      <c r="L1007" s="1">
        <v>0</v>
      </c>
      <c r="M1007" s="1" t="s">
        <v>34</v>
      </c>
      <c r="N1007" s="1" t="s">
        <v>70</v>
      </c>
      <c r="O1007" s="1" t="s">
        <v>188</v>
      </c>
      <c r="P1007" s="1" t="s">
        <v>189</v>
      </c>
      <c r="Q1007" s="1" t="s">
        <v>38</v>
      </c>
      <c r="R1007" s="1" t="s">
        <v>4586</v>
      </c>
      <c r="S1007" s="3">
        <v>917555000000</v>
      </c>
      <c r="T1007" s="1" t="s">
        <v>98</v>
      </c>
      <c r="U1007" s="1">
        <v>66</v>
      </c>
      <c r="V1007" s="1">
        <v>69</v>
      </c>
      <c r="W1007" s="1" t="s">
        <v>41</v>
      </c>
      <c r="X1007" s="1">
        <v>451741</v>
      </c>
      <c r="Y1007" s="2">
        <v>38146</v>
      </c>
      <c r="Z1007" s="1">
        <v>-8.8210262828535608</v>
      </c>
      <c r="AA1007" s="1">
        <v>20</v>
      </c>
      <c r="AB1007" s="1">
        <v>676000</v>
      </c>
      <c r="AC1007" s="1">
        <f t="shared" si="15"/>
        <v>736000</v>
      </c>
    </row>
    <row r="1008" spans="1:29" x14ac:dyDescent="0.25">
      <c r="A1008" s="1" t="s">
        <v>4595</v>
      </c>
      <c r="B1008" s="1" t="s">
        <v>4596</v>
      </c>
      <c r="C1008" s="1" t="s">
        <v>4597</v>
      </c>
      <c r="D1008" s="1">
        <v>2021</v>
      </c>
      <c r="E1008" s="1" t="s">
        <v>31</v>
      </c>
      <c r="F1008" s="1">
        <v>4</v>
      </c>
      <c r="G1008" s="1" t="s">
        <v>32</v>
      </c>
      <c r="H1008" s="1" t="s">
        <v>113</v>
      </c>
      <c r="I1008" s="1">
        <v>169000</v>
      </c>
      <c r="J1008" s="1">
        <v>154000</v>
      </c>
      <c r="K1008" s="1">
        <v>15000</v>
      </c>
      <c r="L1008" s="1">
        <v>0</v>
      </c>
      <c r="M1008" s="1" t="s">
        <v>34</v>
      </c>
      <c r="N1008" s="1" t="s">
        <v>70</v>
      </c>
      <c r="O1008" s="1" t="s">
        <v>71</v>
      </c>
      <c r="P1008" s="1" t="s">
        <v>72</v>
      </c>
      <c r="Q1008" s="1" t="s">
        <v>38</v>
      </c>
      <c r="R1008" s="1" t="s">
        <v>4598</v>
      </c>
      <c r="S1008" s="3">
        <v>917687000000</v>
      </c>
      <c r="T1008" s="1" t="s">
        <v>40</v>
      </c>
      <c r="U1008" s="1">
        <v>66</v>
      </c>
      <c r="V1008" s="1">
        <v>65</v>
      </c>
      <c r="W1008" s="1" t="s">
        <v>41</v>
      </c>
      <c r="X1008" s="1">
        <v>570153</v>
      </c>
      <c r="Y1008" s="2">
        <v>36914</v>
      </c>
      <c r="Z1008" s="1">
        <v>-8.8210262828535608</v>
      </c>
      <c r="AA1008" s="1">
        <v>23</v>
      </c>
      <c r="AB1008" s="1">
        <v>676000</v>
      </c>
      <c r="AC1008" s="1">
        <f t="shared" si="15"/>
        <v>736000</v>
      </c>
    </row>
    <row r="1009" spans="1:29" x14ac:dyDescent="0.25">
      <c r="A1009" s="1" t="s">
        <v>4603</v>
      </c>
      <c r="B1009" s="1" t="s">
        <v>4604</v>
      </c>
      <c r="C1009" s="1" t="s">
        <v>4605</v>
      </c>
      <c r="D1009" s="1">
        <v>2021</v>
      </c>
      <c r="E1009" s="1" t="s">
        <v>31</v>
      </c>
      <c r="F1009" s="1">
        <v>4</v>
      </c>
      <c r="G1009" s="1" t="s">
        <v>32</v>
      </c>
      <c r="H1009" s="1" t="s">
        <v>33</v>
      </c>
      <c r="I1009" s="1">
        <v>169000</v>
      </c>
      <c r="J1009" s="1">
        <v>154000</v>
      </c>
      <c r="K1009" s="1">
        <v>15000</v>
      </c>
      <c r="L1009" s="1">
        <v>0</v>
      </c>
      <c r="M1009" s="1" t="s">
        <v>34</v>
      </c>
      <c r="N1009" s="1" t="s">
        <v>63</v>
      </c>
      <c r="O1009" s="1" t="s">
        <v>36</v>
      </c>
      <c r="P1009" s="1" t="s">
        <v>37</v>
      </c>
      <c r="Q1009" s="1" t="s">
        <v>38</v>
      </c>
      <c r="R1009" s="1" t="s">
        <v>4606</v>
      </c>
      <c r="S1009" s="3">
        <v>918412000000</v>
      </c>
      <c r="T1009" s="1" t="s">
        <v>98</v>
      </c>
      <c r="U1009" s="1">
        <v>66</v>
      </c>
      <c r="V1009" s="1">
        <v>85</v>
      </c>
      <c r="W1009" s="1" t="s">
        <v>41</v>
      </c>
      <c r="X1009" s="1">
        <v>471378</v>
      </c>
      <c r="Y1009" s="2">
        <v>38734</v>
      </c>
      <c r="Z1009" s="1">
        <v>-8.8210262828535608</v>
      </c>
      <c r="AA1009" s="1">
        <v>18</v>
      </c>
      <c r="AB1009" s="1">
        <v>676000</v>
      </c>
      <c r="AC1009" s="1">
        <f t="shared" si="15"/>
        <v>736000</v>
      </c>
    </row>
    <row r="1010" spans="1:29" x14ac:dyDescent="0.25">
      <c r="A1010" s="1" t="s">
        <v>4619</v>
      </c>
      <c r="B1010" s="1" t="s">
        <v>4620</v>
      </c>
      <c r="C1010" s="1" t="s">
        <v>4621</v>
      </c>
      <c r="D1010" s="1">
        <v>2021</v>
      </c>
      <c r="E1010" s="1" t="s">
        <v>31</v>
      </c>
      <c r="F1010" s="1">
        <v>4</v>
      </c>
      <c r="G1010" s="1" t="s">
        <v>32</v>
      </c>
      <c r="H1010" s="1" t="s">
        <v>151</v>
      </c>
      <c r="I1010" s="1">
        <v>169000</v>
      </c>
      <c r="J1010" s="1">
        <v>154000</v>
      </c>
      <c r="K1010" s="1">
        <v>15000</v>
      </c>
      <c r="L1010" s="1">
        <v>0</v>
      </c>
      <c r="M1010" s="1" t="s">
        <v>34</v>
      </c>
      <c r="N1010" s="1" t="s">
        <v>70</v>
      </c>
      <c r="O1010" s="1" t="s">
        <v>103</v>
      </c>
      <c r="P1010" s="1" t="s">
        <v>104</v>
      </c>
      <c r="Q1010" s="1" t="s">
        <v>38</v>
      </c>
      <c r="R1010" s="1" t="s">
        <v>4622</v>
      </c>
      <c r="S1010" s="3">
        <v>917170000000</v>
      </c>
      <c r="T1010" s="1" t="s">
        <v>74</v>
      </c>
      <c r="U1010" s="1">
        <v>66</v>
      </c>
      <c r="V1010" s="1">
        <v>89</v>
      </c>
      <c r="W1010" s="1" t="s">
        <v>41</v>
      </c>
      <c r="X1010" s="1">
        <v>773699</v>
      </c>
      <c r="Y1010" s="2">
        <v>38419</v>
      </c>
      <c r="Z1010" s="1">
        <v>-8.8210262828535608</v>
      </c>
      <c r="AA1010" s="1">
        <v>19</v>
      </c>
      <c r="AB1010" s="1">
        <v>676000</v>
      </c>
      <c r="AC1010" s="1">
        <f t="shared" si="15"/>
        <v>736000</v>
      </c>
    </row>
    <row r="1011" spans="1:29" x14ac:dyDescent="0.25">
      <c r="A1011" s="1" t="s">
        <v>4643</v>
      </c>
      <c r="B1011" s="1" t="s">
        <v>1377</v>
      </c>
      <c r="C1011" s="1" t="s">
        <v>1378</v>
      </c>
      <c r="D1011" s="1">
        <v>2021</v>
      </c>
      <c r="E1011" s="1" t="s">
        <v>31</v>
      </c>
      <c r="F1011" s="1">
        <v>4</v>
      </c>
      <c r="G1011" s="1" t="s">
        <v>32</v>
      </c>
      <c r="H1011" s="1" t="s">
        <v>62</v>
      </c>
      <c r="I1011" s="1">
        <v>169000</v>
      </c>
      <c r="J1011" s="1">
        <v>154000</v>
      </c>
      <c r="K1011" s="1">
        <v>15000</v>
      </c>
      <c r="L1011" s="1">
        <v>0</v>
      </c>
      <c r="M1011" s="1" t="s">
        <v>34</v>
      </c>
      <c r="N1011" s="1" t="s">
        <v>70</v>
      </c>
      <c r="O1011" s="1" t="s">
        <v>78</v>
      </c>
      <c r="P1011" s="1" t="s">
        <v>79</v>
      </c>
      <c r="Q1011" s="1" t="s">
        <v>38</v>
      </c>
      <c r="R1011" s="1" t="s">
        <v>4644</v>
      </c>
      <c r="S1011" s="3">
        <v>917435000000</v>
      </c>
      <c r="T1011" s="1" t="s">
        <v>74</v>
      </c>
      <c r="U1011" s="1">
        <v>65</v>
      </c>
      <c r="V1011" s="1">
        <v>76</v>
      </c>
      <c r="W1011" s="1" t="s">
        <v>41</v>
      </c>
      <c r="X1011" s="1">
        <v>586072</v>
      </c>
      <c r="Y1011" s="2">
        <v>38083</v>
      </c>
      <c r="Z1011" s="1">
        <v>-9.8210262828535608</v>
      </c>
      <c r="AA1011" s="1">
        <v>20</v>
      </c>
      <c r="AB1011" s="1">
        <v>676000</v>
      </c>
      <c r="AC1011" s="1">
        <f t="shared" si="15"/>
        <v>736000</v>
      </c>
    </row>
    <row r="1012" spans="1:29" x14ac:dyDescent="0.25">
      <c r="A1012" s="1" t="s">
        <v>4645</v>
      </c>
      <c r="B1012" s="1" t="s">
        <v>891</v>
      </c>
      <c r="C1012" s="1" t="s">
        <v>892</v>
      </c>
      <c r="D1012" s="1">
        <v>2021</v>
      </c>
      <c r="E1012" s="1" t="s">
        <v>31</v>
      </c>
      <c r="F1012" s="1">
        <v>4</v>
      </c>
      <c r="G1012" s="1" t="s">
        <v>32</v>
      </c>
      <c r="H1012" s="1" t="s">
        <v>62</v>
      </c>
      <c r="I1012" s="1">
        <v>169000</v>
      </c>
      <c r="J1012" s="1">
        <v>154000</v>
      </c>
      <c r="K1012" s="1">
        <v>15000</v>
      </c>
      <c r="L1012" s="1">
        <v>0</v>
      </c>
      <c r="M1012" s="1" t="s">
        <v>34</v>
      </c>
      <c r="N1012" s="1" t="s">
        <v>35</v>
      </c>
      <c r="O1012" s="1" t="s">
        <v>57</v>
      </c>
      <c r="P1012" s="1" t="s">
        <v>57</v>
      </c>
      <c r="Q1012" s="1" t="s">
        <v>38</v>
      </c>
      <c r="R1012" s="1" t="s">
        <v>4646</v>
      </c>
      <c r="S1012" s="3">
        <v>919747000000</v>
      </c>
      <c r="T1012" s="1" t="s">
        <v>51</v>
      </c>
      <c r="U1012" s="1">
        <v>65</v>
      </c>
      <c r="V1012" s="1">
        <v>61</v>
      </c>
      <c r="W1012" s="1" t="s">
        <v>52</v>
      </c>
      <c r="X1012" s="1">
        <v>174131</v>
      </c>
      <c r="Y1012" s="2">
        <v>37655</v>
      </c>
      <c r="Z1012" s="1">
        <v>-9.8210262828535608</v>
      </c>
      <c r="AA1012" s="1">
        <v>21</v>
      </c>
      <c r="AB1012" s="1">
        <v>676000</v>
      </c>
      <c r="AC1012" s="1">
        <f t="shared" si="15"/>
        <v>736000</v>
      </c>
    </row>
    <row r="1013" spans="1:29" x14ac:dyDescent="0.25">
      <c r="A1013" s="1" t="s">
        <v>4675</v>
      </c>
      <c r="B1013" s="1" t="s">
        <v>2112</v>
      </c>
      <c r="C1013" s="1" t="s">
        <v>2113</v>
      </c>
      <c r="D1013" s="1">
        <v>2021</v>
      </c>
      <c r="E1013" s="1" t="s">
        <v>31</v>
      </c>
      <c r="F1013" s="1">
        <v>4</v>
      </c>
      <c r="G1013" s="1" t="s">
        <v>32</v>
      </c>
      <c r="H1013" s="1" t="s">
        <v>122</v>
      </c>
      <c r="I1013" s="1">
        <v>169000</v>
      </c>
      <c r="J1013" s="1">
        <v>154000</v>
      </c>
      <c r="K1013" s="1">
        <v>15000</v>
      </c>
      <c r="L1013" s="1">
        <v>0</v>
      </c>
      <c r="M1013" s="1" t="s">
        <v>34</v>
      </c>
      <c r="N1013" s="1" t="s">
        <v>35</v>
      </c>
      <c r="O1013" s="1" t="s">
        <v>103</v>
      </c>
      <c r="P1013" s="1" t="s">
        <v>104</v>
      </c>
      <c r="Q1013" s="1" t="s">
        <v>38</v>
      </c>
      <c r="R1013" s="1" t="s">
        <v>4676</v>
      </c>
      <c r="S1013" s="3">
        <v>917998000000</v>
      </c>
      <c r="T1013" s="1" t="s">
        <v>86</v>
      </c>
      <c r="U1013" s="1">
        <v>65</v>
      </c>
      <c r="V1013" s="1">
        <v>75</v>
      </c>
      <c r="W1013" s="1" t="s">
        <v>52</v>
      </c>
      <c r="X1013" s="1">
        <v>576883</v>
      </c>
      <c r="Y1013" s="2">
        <v>36842</v>
      </c>
      <c r="Z1013" s="1">
        <v>-9.8210262828535608</v>
      </c>
      <c r="AA1013" s="1">
        <v>23</v>
      </c>
      <c r="AB1013" s="1">
        <v>676000</v>
      </c>
      <c r="AC1013" s="1">
        <f t="shared" si="15"/>
        <v>736000</v>
      </c>
    </row>
    <row r="1014" spans="1:29" x14ac:dyDescent="0.25">
      <c r="A1014" s="1" t="s">
        <v>4680</v>
      </c>
      <c r="B1014" s="1" t="s">
        <v>4681</v>
      </c>
      <c r="C1014" s="1" t="s">
        <v>4682</v>
      </c>
      <c r="D1014" s="1">
        <v>2021</v>
      </c>
      <c r="E1014" s="1" t="s">
        <v>31</v>
      </c>
      <c r="F1014" s="1">
        <v>4</v>
      </c>
      <c r="G1014" s="1" t="s">
        <v>32</v>
      </c>
      <c r="H1014" s="1" t="s">
        <v>62</v>
      </c>
      <c r="I1014" s="1">
        <v>169000</v>
      </c>
      <c r="J1014" s="1">
        <v>154000</v>
      </c>
      <c r="K1014" s="1">
        <v>15000</v>
      </c>
      <c r="L1014" s="1">
        <v>0</v>
      </c>
      <c r="M1014" s="1" t="s">
        <v>34</v>
      </c>
      <c r="N1014" s="1" t="s">
        <v>63</v>
      </c>
      <c r="O1014" s="1" t="s">
        <v>78</v>
      </c>
      <c r="P1014" s="1" t="s">
        <v>79</v>
      </c>
      <c r="Q1014" s="1" t="s">
        <v>38</v>
      </c>
      <c r="R1014" s="1" t="s">
        <v>4683</v>
      </c>
      <c r="S1014" s="3">
        <v>919625000000</v>
      </c>
      <c r="T1014" s="1" t="s">
        <v>51</v>
      </c>
      <c r="U1014" s="1">
        <v>65</v>
      </c>
      <c r="V1014" s="1">
        <v>61</v>
      </c>
      <c r="W1014" s="1" t="s">
        <v>41</v>
      </c>
      <c r="X1014" s="1">
        <v>580797</v>
      </c>
      <c r="Y1014" s="2">
        <v>37230</v>
      </c>
      <c r="Z1014" s="1">
        <v>-9.8210262828535608</v>
      </c>
      <c r="AA1014" s="1">
        <v>22</v>
      </c>
      <c r="AB1014" s="1">
        <v>676000</v>
      </c>
      <c r="AC1014" s="1">
        <f t="shared" si="15"/>
        <v>736000</v>
      </c>
    </row>
    <row r="1015" spans="1:29" x14ac:dyDescent="0.25">
      <c r="A1015" s="1" t="s">
        <v>4686</v>
      </c>
      <c r="B1015" s="1" t="s">
        <v>2567</v>
      </c>
      <c r="C1015" s="1" t="s">
        <v>2568</v>
      </c>
      <c r="D1015" s="1">
        <v>2021</v>
      </c>
      <c r="E1015" s="1" t="s">
        <v>31</v>
      </c>
      <c r="F1015" s="1">
        <v>4</v>
      </c>
      <c r="G1015" s="1" t="s">
        <v>32</v>
      </c>
      <c r="H1015" s="1" t="s">
        <v>33</v>
      </c>
      <c r="I1015" s="1">
        <v>169000</v>
      </c>
      <c r="J1015" s="1">
        <v>154000</v>
      </c>
      <c r="K1015" s="1">
        <v>15000</v>
      </c>
      <c r="L1015" s="1">
        <v>0</v>
      </c>
      <c r="M1015" s="1" t="s">
        <v>34</v>
      </c>
      <c r="N1015" s="1" t="s">
        <v>63</v>
      </c>
      <c r="O1015" s="1" t="s">
        <v>36</v>
      </c>
      <c r="P1015" s="1" t="s">
        <v>37</v>
      </c>
      <c r="Q1015" s="1" t="s">
        <v>38</v>
      </c>
      <c r="R1015" s="1" t="s">
        <v>4687</v>
      </c>
      <c r="S1015" s="3">
        <v>917862000000</v>
      </c>
      <c r="T1015" s="1" t="s">
        <v>74</v>
      </c>
      <c r="U1015" s="1">
        <v>65</v>
      </c>
      <c r="V1015" s="1">
        <v>73</v>
      </c>
      <c r="W1015" s="1" t="s">
        <v>41</v>
      </c>
      <c r="X1015" s="1">
        <v>597814</v>
      </c>
      <c r="Y1015" s="2">
        <v>37543</v>
      </c>
      <c r="Z1015" s="1">
        <v>-9.8210262828535608</v>
      </c>
      <c r="AA1015" s="1">
        <v>21</v>
      </c>
      <c r="AB1015" s="1">
        <v>676000</v>
      </c>
      <c r="AC1015" s="1">
        <f t="shared" si="15"/>
        <v>736000</v>
      </c>
    </row>
    <row r="1016" spans="1:29" x14ac:dyDescent="0.25">
      <c r="A1016" s="1" t="s">
        <v>4716</v>
      </c>
      <c r="B1016" s="1" t="s">
        <v>2456</v>
      </c>
      <c r="C1016" s="1" t="s">
        <v>2457</v>
      </c>
      <c r="D1016" s="1">
        <v>2021</v>
      </c>
      <c r="E1016" s="1" t="s">
        <v>31</v>
      </c>
      <c r="F1016" s="1">
        <v>4</v>
      </c>
      <c r="G1016" s="1" t="s">
        <v>32</v>
      </c>
      <c r="H1016" s="1" t="s">
        <v>56</v>
      </c>
      <c r="I1016" s="1">
        <v>169000</v>
      </c>
      <c r="J1016" s="1">
        <v>154000</v>
      </c>
      <c r="K1016" s="1">
        <v>15000</v>
      </c>
      <c r="L1016" s="1">
        <v>0</v>
      </c>
      <c r="M1016" s="1" t="s">
        <v>34</v>
      </c>
      <c r="N1016" s="1" t="s">
        <v>35</v>
      </c>
      <c r="O1016" s="1" t="s">
        <v>91</v>
      </c>
      <c r="P1016" s="1" t="s">
        <v>92</v>
      </c>
      <c r="Q1016" s="1" t="s">
        <v>38</v>
      </c>
      <c r="R1016" s="1" t="s">
        <v>4717</v>
      </c>
      <c r="S1016" s="3">
        <v>917590000000</v>
      </c>
      <c r="T1016" s="1" t="s">
        <v>86</v>
      </c>
      <c r="U1016" s="1">
        <v>65</v>
      </c>
      <c r="V1016" s="1">
        <v>64</v>
      </c>
      <c r="W1016" s="1" t="s">
        <v>41</v>
      </c>
      <c r="X1016" s="1">
        <v>331590</v>
      </c>
      <c r="Y1016" s="2">
        <v>37289</v>
      </c>
      <c r="Z1016" s="1">
        <v>-9.8210262828535608</v>
      </c>
      <c r="AA1016" s="1">
        <v>22</v>
      </c>
      <c r="AB1016" s="1">
        <v>676000</v>
      </c>
      <c r="AC1016" s="1">
        <f t="shared" si="15"/>
        <v>736000</v>
      </c>
    </row>
    <row r="1017" spans="1:29" x14ac:dyDescent="0.25">
      <c r="A1017" s="1" t="s">
        <v>4732</v>
      </c>
      <c r="B1017" s="1" t="s">
        <v>4733</v>
      </c>
      <c r="C1017" s="1" t="s">
        <v>4734</v>
      </c>
      <c r="D1017" s="1">
        <v>2021</v>
      </c>
      <c r="E1017" s="1" t="s">
        <v>31</v>
      </c>
      <c r="F1017" s="1">
        <v>4</v>
      </c>
      <c r="G1017" s="1" t="s">
        <v>32</v>
      </c>
      <c r="H1017" s="1" t="s">
        <v>113</v>
      </c>
      <c r="I1017" s="1">
        <v>169000</v>
      </c>
      <c r="J1017" s="1">
        <v>154000</v>
      </c>
      <c r="K1017" s="1">
        <v>15000</v>
      </c>
      <c r="L1017" s="1">
        <v>0</v>
      </c>
      <c r="M1017" s="1" t="s">
        <v>34</v>
      </c>
      <c r="N1017" s="1" t="s">
        <v>35</v>
      </c>
      <c r="O1017" s="1" t="s">
        <v>103</v>
      </c>
      <c r="P1017" s="1" t="s">
        <v>104</v>
      </c>
      <c r="Q1017" s="1" t="s">
        <v>38</v>
      </c>
      <c r="R1017" s="1" t="s">
        <v>4735</v>
      </c>
      <c r="S1017" s="3">
        <v>918703000000</v>
      </c>
      <c r="T1017" s="1" t="s">
        <v>74</v>
      </c>
      <c r="U1017" s="1">
        <v>65</v>
      </c>
      <c r="V1017" s="1">
        <v>72</v>
      </c>
      <c r="W1017" s="1" t="s">
        <v>41</v>
      </c>
      <c r="X1017" s="1">
        <v>488157</v>
      </c>
      <c r="Y1017" s="2">
        <v>38042</v>
      </c>
      <c r="Z1017" s="1">
        <v>-9.8210262828535608</v>
      </c>
      <c r="AA1017" s="1">
        <v>20</v>
      </c>
      <c r="AB1017" s="1">
        <v>676000</v>
      </c>
      <c r="AC1017" s="1">
        <f t="shared" si="15"/>
        <v>736000</v>
      </c>
    </row>
    <row r="1018" spans="1:29" x14ac:dyDescent="0.25">
      <c r="A1018" s="1" t="s">
        <v>4770</v>
      </c>
      <c r="B1018" s="1" t="s">
        <v>4771</v>
      </c>
      <c r="C1018" s="1" t="s">
        <v>4772</v>
      </c>
      <c r="D1018" s="1">
        <v>2021</v>
      </c>
      <c r="E1018" s="1" t="s">
        <v>31</v>
      </c>
      <c r="F1018" s="1">
        <v>4</v>
      </c>
      <c r="G1018" s="1" t="s">
        <v>32</v>
      </c>
      <c r="H1018" s="1" t="s">
        <v>113</v>
      </c>
      <c r="I1018" s="1">
        <v>169000</v>
      </c>
      <c r="J1018" s="1">
        <v>154000</v>
      </c>
      <c r="K1018" s="1">
        <v>15000</v>
      </c>
      <c r="L1018" s="1">
        <v>0</v>
      </c>
      <c r="M1018" s="1" t="s">
        <v>34</v>
      </c>
      <c r="N1018" s="1" t="s">
        <v>70</v>
      </c>
      <c r="O1018" s="1" t="s">
        <v>36</v>
      </c>
      <c r="P1018" s="1" t="s">
        <v>37</v>
      </c>
      <c r="Q1018" s="1" t="s">
        <v>38</v>
      </c>
      <c r="R1018" s="1" t="s">
        <v>4773</v>
      </c>
      <c r="S1018" s="3">
        <v>918644000000</v>
      </c>
      <c r="T1018" s="1" t="s">
        <v>98</v>
      </c>
      <c r="U1018" s="1">
        <v>65</v>
      </c>
      <c r="V1018" s="1">
        <v>63</v>
      </c>
      <c r="W1018" s="1" t="s">
        <v>52</v>
      </c>
      <c r="X1018" s="1">
        <v>619335</v>
      </c>
      <c r="Y1018" s="2">
        <v>37384</v>
      </c>
      <c r="Z1018" s="1">
        <v>-9.8210262828535608</v>
      </c>
      <c r="AA1018" s="1">
        <v>22</v>
      </c>
      <c r="AB1018" s="1">
        <v>676000</v>
      </c>
      <c r="AC1018" s="1">
        <f t="shared" si="15"/>
        <v>736000</v>
      </c>
    </row>
    <row r="1019" spans="1:29" x14ac:dyDescent="0.25">
      <c r="A1019" s="1" t="s">
        <v>4780</v>
      </c>
      <c r="B1019" s="1" t="s">
        <v>4361</v>
      </c>
      <c r="C1019" s="1" t="s">
        <v>4362</v>
      </c>
      <c r="D1019" s="1">
        <v>2021</v>
      </c>
      <c r="E1019" s="1" t="s">
        <v>31</v>
      </c>
      <c r="F1019" s="1">
        <v>4</v>
      </c>
      <c r="G1019" s="1" t="s">
        <v>32</v>
      </c>
      <c r="H1019" s="1" t="s">
        <v>113</v>
      </c>
      <c r="I1019" s="1">
        <v>169000</v>
      </c>
      <c r="J1019" s="1">
        <v>154000</v>
      </c>
      <c r="K1019" s="1">
        <v>15000</v>
      </c>
      <c r="L1019" s="1">
        <v>0</v>
      </c>
      <c r="M1019" s="1" t="s">
        <v>34</v>
      </c>
      <c r="N1019" s="1" t="s">
        <v>70</v>
      </c>
      <c r="O1019" s="1" t="s">
        <v>103</v>
      </c>
      <c r="P1019" s="1" t="s">
        <v>104</v>
      </c>
      <c r="Q1019" s="1" t="s">
        <v>38</v>
      </c>
      <c r="R1019" s="1" t="s">
        <v>4781</v>
      </c>
      <c r="S1019" s="3">
        <v>917184000000</v>
      </c>
      <c r="T1019" s="1" t="s">
        <v>98</v>
      </c>
      <c r="U1019" s="1">
        <v>65</v>
      </c>
      <c r="V1019" s="1">
        <v>88</v>
      </c>
      <c r="W1019" s="1" t="s">
        <v>41</v>
      </c>
      <c r="X1019" s="1">
        <v>135233</v>
      </c>
      <c r="Y1019" s="2">
        <v>37041</v>
      </c>
      <c r="Z1019" s="1">
        <v>-9.8210262828535608</v>
      </c>
      <c r="AA1019" s="1">
        <v>23</v>
      </c>
      <c r="AB1019" s="1">
        <v>676000</v>
      </c>
      <c r="AC1019" s="1">
        <f t="shared" si="15"/>
        <v>736000</v>
      </c>
    </row>
    <row r="1020" spans="1:29" x14ac:dyDescent="0.25">
      <c r="A1020" s="1" t="s">
        <v>4802</v>
      </c>
      <c r="B1020" s="1" t="s">
        <v>717</v>
      </c>
      <c r="C1020" s="1" t="s">
        <v>718</v>
      </c>
      <c r="D1020" s="1">
        <v>2021</v>
      </c>
      <c r="E1020" s="1" t="s">
        <v>31</v>
      </c>
      <c r="F1020" s="1">
        <v>4</v>
      </c>
      <c r="G1020" s="1" t="s">
        <v>32</v>
      </c>
      <c r="H1020" s="1" t="s">
        <v>210</v>
      </c>
      <c r="I1020" s="1">
        <v>169000</v>
      </c>
      <c r="J1020" s="1">
        <v>154000</v>
      </c>
      <c r="K1020" s="1">
        <v>15000</v>
      </c>
      <c r="L1020" s="1">
        <v>0</v>
      </c>
      <c r="M1020" s="1" t="s">
        <v>34</v>
      </c>
      <c r="N1020" s="1" t="s">
        <v>63</v>
      </c>
      <c r="O1020" s="1" t="s">
        <v>36</v>
      </c>
      <c r="P1020" s="1" t="s">
        <v>37</v>
      </c>
      <c r="Q1020" s="1" t="s">
        <v>38</v>
      </c>
      <c r="R1020" s="1" t="s">
        <v>4803</v>
      </c>
      <c r="S1020" s="3">
        <v>917085000000</v>
      </c>
      <c r="T1020" s="1" t="s">
        <v>74</v>
      </c>
      <c r="U1020" s="1">
        <v>64</v>
      </c>
      <c r="V1020" s="1">
        <v>79</v>
      </c>
      <c r="W1020" s="1" t="s">
        <v>52</v>
      </c>
      <c r="X1020" s="1">
        <v>285665</v>
      </c>
      <c r="Y1020" s="2">
        <v>37945</v>
      </c>
      <c r="Z1020" s="1">
        <v>-10.8210262828535</v>
      </c>
      <c r="AA1020" s="1">
        <v>20</v>
      </c>
      <c r="AB1020" s="1">
        <v>676000</v>
      </c>
      <c r="AC1020" s="1">
        <f t="shared" si="15"/>
        <v>736000</v>
      </c>
    </row>
    <row r="1021" spans="1:29" x14ac:dyDescent="0.25">
      <c r="A1021" s="1" t="s">
        <v>4828</v>
      </c>
      <c r="B1021" s="1" t="s">
        <v>4829</v>
      </c>
      <c r="C1021" s="1" t="s">
        <v>4830</v>
      </c>
      <c r="D1021" s="1">
        <v>2021</v>
      </c>
      <c r="E1021" s="1" t="s">
        <v>31</v>
      </c>
      <c r="F1021" s="1">
        <v>4</v>
      </c>
      <c r="G1021" s="1" t="s">
        <v>32</v>
      </c>
      <c r="H1021" s="1" t="s">
        <v>33</v>
      </c>
      <c r="I1021" s="1">
        <v>169000</v>
      </c>
      <c r="J1021" s="1">
        <v>154000</v>
      </c>
      <c r="K1021" s="1">
        <v>15000</v>
      </c>
      <c r="L1021" s="1">
        <v>0</v>
      </c>
      <c r="M1021" s="1" t="s">
        <v>34</v>
      </c>
      <c r="N1021" s="1" t="s">
        <v>35</v>
      </c>
      <c r="O1021" s="1" t="s">
        <v>64</v>
      </c>
      <c r="P1021" s="1" t="s">
        <v>65</v>
      </c>
      <c r="Q1021" s="1" t="s">
        <v>38</v>
      </c>
      <c r="R1021" s="1" t="s">
        <v>4831</v>
      </c>
      <c r="S1021" s="3">
        <v>917875000000</v>
      </c>
      <c r="T1021" s="1" t="s">
        <v>86</v>
      </c>
      <c r="U1021" s="1">
        <v>64</v>
      </c>
      <c r="V1021" s="1">
        <v>81</v>
      </c>
      <c r="W1021" s="1" t="s">
        <v>41</v>
      </c>
      <c r="X1021" s="1">
        <v>531099</v>
      </c>
      <c r="Y1021" s="2">
        <v>38881</v>
      </c>
      <c r="Z1021" s="1">
        <v>-10.8210262828535</v>
      </c>
      <c r="AA1021" s="1">
        <v>18</v>
      </c>
      <c r="AB1021" s="1">
        <v>676000</v>
      </c>
      <c r="AC1021" s="1">
        <f t="shared" si="15"/>
        <v>736000</v>
      </c>
    </row>
    <row r="1022" spans="1:29" x14ac:dyDescent="0.25">
      <c r="A1022" s="1" t="s">
        <v>4886</v>
      </c>
      <c r="B1022" s="1" t="s">
        <v>4887</v>
      </c>
      <c r="C1022" s="1" t="s">
        <v>4888</v>
      </c>
      <c r="D1022" s="1">
        <v>2021</v>
      </c>
      <c r="E1022" s="1" t="s">
        <v>31</v>
      </c>
      <c r="F1022" s="1">
        <v>4</v>
      </c>
      <c r="G1022" s="1" t="s">
        <v>32</v>
      </c>
      <c r="H1022" s="1" t="s">
        <v>122</v>
      </c>
      <c r="I1022" s="1">
        <v>169000</v>
      </c>
      <c r="J1022" s="1">
        <v>154000</v>
      </c>
      <c r="K1022" s="1">
        <v>15000</v>
      </c>
      <c r="L1022" s="1">
        <v>0</v>
      </c>
      <c r="M1022" s="1" t="s">
        <v>34</v>
      </c>
      <c r="N1022" s="1" t="s">
        <v>35</v>
      </c>
      <c r="O1022" s="1" t="s">
        <v>91</v>
      </c>
      <c r="P1022" s="1" t="s">
        <v>92</v>
      </c>
      <c r="Q1022" s="1" t="s">
        <v>38</v>
      </c>
      <c r="R1022" s="1" t="s">
        <v>4889</v>
      </c>
      <c r="S1022" s="3">
        <v>918056000000</v>
      </c>
      <c r="T1022" s="1" t="s">
        <v>40</v>
      </c>
      <c r="U1022" s="1">
        <v>64</v>
      </c>
      <c r="V1022" s="1">
        <v>64</v>
      </c>
      <c r="W1022" s="1" t="s">
        <v>52</v>
      </c>
      <c r="X1022" s="1">
        <v>501714</v>
      </c>
      <c r="Y1022" s="2">
        <v>37934</v>
      </c>
      <c r="Z1022" s="1">
        <v>-10.8210262828535</v>
      </c>
      <c r="AA1022" s="1">
        <v>20</v>
      </c>
      <c r="AB1022" s="1">
        <v>676000</v>
      </c>
      <c r="AC1022" s="1">
        <f t="shared" si="15"/>
        <v>736000</v>
      </c>
    </row>
    <row r="1023" spans="1:29" x14ac:dyDescent="0.25">
      <c r="A1023" s="1" t="s">
        <v>4934</v>
      </c>
      <c r="B1023" s="1" t="s">
        <v>4935</v>
      </c>
      <c r="C1023" s="1" t="s">
        <v>4936</v>
      </c>
      <c r="D1023" s="1">
        <v>2021</v>
      </c>
      <c r="E1023" s="1" t="s">
        <v>31</v>
      </c>
      <c r="F1023" s="1">
        <v>4</v>
      </c>
      <c r="G1023" s="1" t="s">
        <v>32</v>
      </c>
      <c r="H1023" s="1" t="s">
        <v>33</v>
      </c>
      <c r="I1023" s="1">
        <v>169000</v>
      </c>
      <c r="J1023" s="1">
        <v>154000</v>
      </c>
      <c r="K1023" s="1">
        <v>15000</v>
      </c>
      <c r="L1023" s="1">
        <v>0</v>
      </c>
      <c r="M1023" s="1" t="s">
        <v>34</v>
      </c>
      <c r="N1023" s="1" t="s">
        <v>35</v>
      </c>
      <c r="O1023" s="1" t="s">
        <v>91</v>
      </c>
      <c r="P1023" s="1" t="s">
        <v>92</v>
      </c>
      <c r="Q1023" s="1" t="s">
        <v>38</v>
      </c>
      <c r="R1023" s="1" t="s">
        <v>4937</v>
      </c>
      <c r="S1023" s="3">
        <v>917677000000</v>
      </c>
      <c r="T1023" s="1" t="s">
        <v>98</v>
      </c>
      <c r="U1023" s="1">
        <v>64</v>
      </c>
      <c r="V1023" s="1">
        <v>73</v>
      </c>
      <c r="W1023" s="1" t="s">
        <v>41</v>
      </c>
      <c r="X1023" s="1">
        <v>608022</v>
      </c>
      <c r="Y1023" s="2">
        <v>37093</v>
      </c>
      <c r="Z1023" s="1">
        <v>-10.8210262828535</v>
      </c>
      <c r="AA1023" s="1">
        <v>22</v>
      </c>
      <c r="AB1023" s="1">
        <v>676000</v>
      </c>
      <c r="AC1023" s="1">
        <f t="shared" si="15"/>
        <v>736000</v>
      </c>
    </row>
    <row r="1024" spans="1:29" x14ac:dyDescent="0.25">
      <c r="A1024" s="1" t="s">
        <v>4966</v>
      </c>
      <c r="B1024" s="1" t="s">
        <v>4967</v>
      </c>
      <c r="C1024" s="1" t="s">
        <v>4968</v>
      </c>
      <c r="D1024" s="1">
        <v>2021</v>
      </c>
      <c r="E1024" s="1" t="s">
        <v>31</v>
      </c>
      <c r="F1024" s="1">
        <v>4</v>
      </c>
      <c r="G1024" s="1" t="s">
        <v>32</v>
      </c>
      <c r="H1024" s="1" t="s">
        <v>122</v>
      </c>
      <c r="I1024" s="1">
        <v>169000</v>
      </c>
      <c r="J1024" s="1">
        <v>154000</v>
      </c>
      <c r="K1024" s="1">
        <v>15000</v>
      </c>
      <c r="L1024" s="1">
        <v>0</v>
      </c>
      <c r="M1024" s="1" t="s">
        <v>34</v>
      </c>
      <c r="N1024" s="1" t="s">
        <v>35</v>
      </c>
      <c r="O1024" s="1" t="s">
        <v>71</v>
      </c>
      <c r="P1024" s="1" t="s">
        <v>72</v>
      </c>
      <c r="Q1024" s="1" t="s">
        <v>38</v>
      </c>
      <c r="R1024" s="1" t="s">
        <v>4969</v>
      </c>
      <c r="S1024" s="3">
        <v>919236000000</v>
      </c>
      <c r="T1024" s="1" t="s">
        <v>74</v>
      </c>
      <c r="U1024" s="1">
        <v>63</v>
      </c>
      <c r="V1024" s="1">
        <v>83</v>
      </c>
      <c r="W1024" s="1" t="s">
        <v>41</v>
      </c>
      <c r="X1024" s="1">
        <v>672080</v>
      </c>
      <c r="Y1024" s="2">
        <v>38633</v>
      </c>
      <c r="Z1024" s="1">
        <v>-11.8210262828535</v>
      </c>
      <c r="AA1024" s="1">
        <v>18</v>
      </c>
      <c r="AB1024" s="1">
        <v>676000</v>
      </c>
      <c r="AC1024" s="1">
        <f t="shared" si="15"/>
        <v>736000</v>
      </c>
    </row>
    <row r="1025" spans="1:29" x14ac:dyDescent="0.25">
      <c r="A1025" s="1" t="s">
        <v>4976</v>
      </c>
      <c r="B1025" s="1" t="s">
        <v>4977</v>
      </c>
      <c r="C1025" s="1" t="s">
        <v>4978</v>
      </c>
      <c r="D1025" s="1">
        <v>2021</v>
      </c>
      <c r="E1025" s="1" t="s">
        <v>31</v>
      </c>
      <c r="F1025" s="1">
        <v>4</v>
      </c>
      <c r="G1025" s="1" t="s">
        <v>32</v>
      </c>
      <c r="H1025" s="1" t="s">
        <v>56</v>
      </c>
      <c r="I1025" s="1">
        <v>169000</v>
      </c>
      <c r="J1025" s="1">
        <v>154000</v>
      </c>
      <c r="K1025" s="1">
        <v>15000</v>
      </c>
      <c r="L1025" s="1">
        <v>0</v>
      </c>
      <c r="M1025" s="1" t="s">
        <v>34</v>
      </c>
      <c r="N1025" s="1" t="s">
        <v>35</v>
      </c>
      <c r="O1025" s="1" t="s">
        <v>84</v>
      </c>
      <c r="P1025" s="1" t="s">
        <v>65</v>
      </c>
      <c r="Q1025" s="1" t="s">
        <v>38</v>
      </c>
      <c r="R1025" s="1" t="s">
        <v>4979</v>
      </c>
      <c r="S1025" s="3">
        <v>918934000000</v>
      </c>
      <c r="T1025" s="1" t="s">
        <v>74</v>
      </c>
      <c r="U1025" s="1">
        <v>63</v>
      </c>
      <c r="V1025" s="1">
        <v>85</v>
      </c>
      <c r="W1025" s="1" t="s">
        <v>52</v>
      </c>
      <c r="X1025" s="1">
        <v>126137</v>
      </c>
      <c r="Y1025" s="2">
        <v>38854</v>
      </c>
      <c r="Z1025" s="1">
        <v>-11.8210262828535</v>
      </c>
      <c r="AA1025" s="1">
        <v>18</v>
      </c>
      <c r="AB1025" s="1">
        <v>676000</v>
      </c>
      <c r="AC1025" s="1">
        <f t="shared" si="15"/>
        <v>736000</v>
      </c>
    </row>
    <row r="1026" spans="1:29" x14ac:dyDescent="0.25">
      <c r="A1026" s="1" t="s">
        <v>4992</v>
      </c>
      <c r="B1026" s="1" t="s">
        <v>1729</v>
      </c>
      <c r="C1026" s="1" t="s">
        <v>1730</v>
      </c>
      <c r="D1026" s="1">
        <v>2021</v>
      </c>
      <c r="E1026" s="1" t="s">
        <v>31</v>
      </c>
      <c r="F1026" s="1">
        <v>4</v>
      </c>
      <c r="G1026" s="1" t="s">
        <v>32</v>
      </c>
      <c r="H1026" s="1" t="s">
        <v>90</v>
      </c>
      <c r="I1026" s="1">
        <v>169000</v>
      </c>
      <c r="J1026" s="1">
        <v>154000</v>
      </c>
      <c r="K1026" s="1">
        <v>15000</v>
      </c>
      <c r="L1026" s="1">
        <v>0</v>
      </c>
      <c r="M1026" s="1" t="s">
        <v>34</v>
      </c>
      <c r="N1026" s="1" t="s">
        <v>35</v>
      </c>
      <c r="O1026" s="1" t="s">
        <v>57</v>
      </c>
      <c r="P1026" s="1" t="s">
        <v>57</v>
      </c>
      <c r="Q1026" s="1" t="s">
        <v>38</v>
      </c>
      <c r="R1026" s="1" t="s">
        <v>4993</v>
      </c>
      <c r="S1026" s="3">
        <v>919006000000</v>
      </c>
      <c r="T1026" s="1" t="s">
        <v>98</v>
      </c>
      <c r="U1026" s="1">
        <v>63</v>
      </c>
      <c r="V1026" s="1">
        <v>78</v>
      </c>
      <c r="W1026" s="1" t="s">
        <v>52</v>
      </c>
      <c r="X1026" s="1">
        <v>540137</v>
      </c>
      <c r="Y1026" s="2">
        <v>38496</v>
      </c>
      <c r="Z1026" s="1">
        <v>-11.8210262828535</v>
      </c>
      <c r="AA1026" s="1">
        <v>19</v>
      </c>
      <c r="AB1026" s="1">
        <v>676000</v>
      </c>
      <c r="AC1026" s="1">
        <f t="shared" si="15"/>
        <v>736000</v>
      </c>
    </row>
    <row r="1027" spans="1:29" x14ac:dyDescent="0.25">
      <c r="A1027" s="1" t="s">
        <v>5004</v>
      </c>
      <c r="B1027" s="1" t="s">
        <v>3770</v>
      </c>
      <c r="C1027" s="1" t="s">
        <v>3771</v>
      </c>
      <c r="D1027" s="1">
        <v>2021</v>
      </c>
      <c r="E1027" s="1" t="s">
        <v>31</v>
      </c>
      <c r="F1027" s="1">
        <v>4</v>
      </c>
      <c r="G1027" s="1" t="s">
        <v>32</v>
      </c>
      <c r="H1027" s="1" t="s">
        <v>33</v>
      </c>
      <c r="I1027" s="1">
        <v>169000</v>
      </c>
      <c r="J1027" s="1">
        <v>154000</v>
      </c>
      <c r="K1027" s="1">
        <v>15000</v>
      </c>
      <c r="L1027" s="1">
        <v>0</v>
      </c>
      <c r="M1027" s="1" t="s">
        <v>34</v>
      </c>
      <c r="N1027" s="1" t="s">
        <v>70</v>
      </c>
      <c r="O1027" s="1" t="s">
        <v>36</v>
      </c>
      <c r="P1027" s="1" t="s">
        <v>37</v>
      </c>
      <c r="Q1027" s="1" t="s">
        <v>38</v>
      </c>
      <c r="R1027" s="1" t="s">
        <v>5005</v>
      </c>
      <c r="S1027" s="3">
        <v>918307000000</v>
      </c>
      <c r="T1027" s="1" t="s">
        <v>86</v>
      </c>
      <c r="U1027" s="1">
        <v>63</v>
      </c>
      <c r="V1027" s="1">
        <v>88</v>
      </c>
      <c r="W1027" s="1" t="s">
        <v>52</v>
      </c>
      <c r="X1027" s="1">
        <v>485450</v>
      </c>
      <c r="Y1027" s="2">
        <v>38667</v>
      </c>
      <c r="Z1027" s="1">
        <v>-11.8210262828535</v>
      </c>
      <c r="AA1027" s="1">
        <v>18</v>
      </c>
      <c r="AB1027" s="1">
        <v>676000</v>
      </c>
      <c r="AC1027" s="1">
        <f t="shared" si="15"/>
        <v>736000</v>
      </c>
    </row>
    <row r="1028" spans="1:29" x14ac:dyDescent="0.25">
      <c r="A1028" s="1" t="s">
        <v>5049</v>
      </c>
      <c r="B1028" s="1" t="s">
        <v>5050</v>
      </c>
      <c r="C1028" s="1" t="s">
        <v>5051</v>
      </c>
      <c r="D1028" s="1">
        <v>2021</v>
      </c>
      <c r="E1028" s="1" t="s">
        <v>31</v>
      </c>
      <c r="F1028" s="1">
        <v>4</v>
      </c>
      <c r="G1028" s="1" t="s">
        <v>32</v>
      </c>
      <c r="H1028" s="1" t="s">
        <v>151</v>
      </c>
      <c r="I1028" s="1">
        <v>169000</v>
      </c>
      <c r="J1028" s="1">
        <v>154000</v>
      </c>
      <c r="K1028" s="1">
        <v>15000</v>
      </c>
      <c r="L1028" s="1">
        <v>0</v>
      </c>
      <c r="M1028" s="1" t="s">
        <v>34</v>
      </c>
      <c r="N1028" s="1" t="s">
        <v>70</v>
      </c>
      <c r="O1028" s="1" t="s">
        <v>48</v>
      </c>
      <c r="P1028" s="1" t="s">
        <v>49</v>
      </c>
      <c r="Q1028" s="1" t="s">
        <v>38</v>
      </c>
      <c r="R1028" s="1" t="s">
        <v>5052</v>
      </c>
      <c r="S1028" s="3">
        <v>919474000000</v>
      </c>
      <c r="T1028" s="1" t="s">
        <v>74</v>
      </c>
      <c r="U1028" s="1">
        <v>63</v>
      </c>
      <c r="V1028" s="1">
        <v>81</v>
      </c>
      <c r="W1028" s="1" t="s">
        <v>52</v>
      </c>
      <c r="X1028" s="1">
        <v>534946</v>
      </c>
      <c r="Y1028" s="2">
        <v>38362</v>
      </c>
      <c r="Z1028" s="1">
        <v>-11.8210262828535</v>
      </c>
      <c r="AA1028" s="1">
        <v>19</v>
      </c>
      <c r="AB1028" s="1">
        <v>676000</v>
      </c>
      <c r="AC1028" s="1">
        <f t="shared" si="15"/>
        <v>736000</v>
      </c>
    </row>
    <row r="1029" spans="1:29" x14ac:dyDescent="0.25">
      <c r="A1029" s="1" t="s">
        <v>5057</v>
      </c>
      <c r="B1029" s="1" t="s">
        <v>3328</v>
      </c>
      <c r="C1029" s="1" t="s">
        <v>3329</v>
      </c>
      <c r="D1029" s="1">
        <v>2021</v>
      </c>
      <c r="E1029" s="1" t="s">
        <v>45</v>
      </c>
      <c r="F1029" s="1">
        <v>2</v>
      </c>
      <c r="G1029" s="1" t="s">
        <v>46</v>
      </c>
      <c r="H1029" s="1" t="s">
        <v>90</v>
      </c>
      <c r="I1029" s="1">
        <v>92000</v>
      </c>
      <c r="J1029" s="1">
        <v>77000</v>
      </c>
      <c r="K1029" s="1">
        <v>15000</v>
      </c>
      <c r="L1029" s="1">
        <v>0</v>
      </c>
      <c r="M1029" s="1" t="s">
        <v>34</v>
      </c>
      <c r="N1029" s="1" t="s">
        <v>63</v>
      </c>
      <c r="O1029" s="1" t="s">
        <v>71</v>
      </c>
      <c r="P1029" s="1" t="s">
        <v>72</v>
      </c>
      <c r="Q1029" s="1" t="s">
        <v>38</v>
      </c>
      <c r="R1029" s="1" t="s">
        <v>5058</v>
      </c>
      <c r="S1029" s="3">
        <v>917313000000</v>
      </c>
      <c r="T1029" s="1" t="s">
        <v>40</v>
      </c>
      <c r="U1029" s="1">
        <v>63</v>
      </c>
      <c r="V1029" s="1">
        <v>60</v>
      </c>
      <c r="W1029" s="1" t="s">
        <v>41</v>
      </c>
      <c r="X1029" s="1">
        <v>428662</v>
      </c>
      <c r="Y1029" s="2">
        <v>37119</v>
      </c>
      <c r="Z1029" s="1">
        <v>-11.8210262828535</v>
      </c>
      <c r="AA1029" s="1">
        <v>22</v>
      </c>
      <c r="AB1029" s="1">
        <v>184000</v>
      </c>
      <c r="AC1029" s="1">
        <f t="shared" si="15"/>
        <v>214000</v>
      </c>
    </row>
    <row r="1030" spans="1:29" x14ac:dyDescent="0.25">
      <c r="A1030" s="1" t="s">
        <v>5063</v>
      </c>
      <c r="B1030" s="1" t="s">
        <v>5064</v>
      </c>
      <c r="C1030" s="1" t="s">
        <v>5065</v>
      </c>
      <c r="D1030" s="1">
        <v>2021</v>
      </c>
      <c r="E1030" s="1" t="s">
        <v>31</v>
      </c>
      <c r="F1030" s="1">
        <v>4</v>
      </c>
      <c r="G1030" s="1" t="s">
        <v>32</v>
      </c>
      <c r="H1030" s="1" t="s">
        <v>102</v>
      </c>
      <c r="I1030" s="1">
        <v>169000</v>
      </c>
      <c r="J1030" s="1">
        <v>154000</v>
      </c>
      <c r="K1030" s="1">
        <v>15000</v>
      </c>
      <c r="L1030" s="1">
        <v>0</v>
      </c>
      <c r="M1030" s="1" t="s">
        <v>34</v>
      </c>
      <c r="N1030" s="1" t="s">
        <v>35</v>
      </c>
      <c r="O1030" s="1" t="s">
        <v>103</v>
      </c>
      <c r="P1030" s="1" t="s">
        <v>104</v>
      </c>
      <c r="Q1030" s="1" t="s">
        <v>38</v>
      </c>
      <c r="R1030" s="1" t="s">
        <v>5066</v>
      </c>
      <c r="S1030" s="3">
        <v>919007000000</v>
      </c>
      <c r="T1030" s="1" t="s">
        <v>86</v>
      </c>
      <c r="U1030" s="1">
        <v>63</v>
      </c>
      <c r="V1030" s="1">
        <v>74</v>
      </c>
      <c r="W1030" s="1" t="s">
        <v>52</v>
      </c>
      <c r="X1030" s="1">
        <v>356792</v>
      </c>
      <c r="Y1030" s="2">
        <v>37998</v>
      </c>
      <c r="Z1030" s="1">
        <v>-11.8210262828535</v>
      </c>
      <c r="AA1030" s="1">
        <v>20</v>
      </c>
      <c r="AB1030" s="1">
        <v>676000</v>
      </c>
      <c r="AC1030" s="1">
        <f t="shared" ref="AC1030:AC1093" si="16">IF(F1030 = 2, AB1030+30000,AB1030+60000)</f>
        <v>736000</v>
      </c>
    </row>
    <row r="1031" spans="1:29" x14ac:dyDescent="0.25">
      <c r="A1031" s="1" t="s">
        <v>5079</v>
      </c>
      <c r="B1031" s="1" t="s">
        <v>5080</v>
      </c>
      <c r="C1031" s="1" t="s">
        <v>5081</v>
      </c>
      <c r="D1031" s="1">
        <v>2021</v>
      </c>
      <c r="E1031" s="1" t="s">
        <v>31</v>
      </c>
      <c r="F1031" s="1">
        <v>4</v>
      </c>
      <c r="G1031" s="1" t="s">
        <v>32</v>
      </c>
      <c r="H1031" s="1" t="s">
        <v>33</v>
      </c>
      <c r="I1031" s="1">
        <v>169000</v>
      </c>
      <c r="J1031" s="1">
        <v>154000</v>
      </c>
      <c r="K1031" s="1">
        <v>15000</v>
      </c>
      <c r="L1031" s="1">
        <v>0</v>
      </c>
      <c r="M1031" s="1" t="s">
        <v>34</v>
      </c>
      <c r="N1031" s="1" t="s">
        <v>63</v>
      </c>
      <c r="O1031" s="1" t="s">
        <v>71</v>
      </c>
      <c r="P1031" s="1" t="s">
        <v>72</v>
      </c>
      <c r="Q1031" s="1" t="s">
        <v>38</v>
      </c>
      <c r="R1031" s="1" t="s">
        <v>5082</v>
      </c>
      <c r="S1031" s="3">
        <v>917744000000</v>
      </c>
      <c r="T1031" s="1" t="s">
        <v>98</v>
      </c>
      <c r="U1031" s="1">
        <v>63</v>
      </c>
      <c r="V1031" s="1">
        <v>75</v>
      </c>
      <c r="W1031" s="1" t="s">
        <v>52</v>
      </c>
      <c r="X1031" s="1">
        <v>210134</v>
      </c>
      <c r="Y1031" s="2">
        <v>38613</v>
      </c>
      <c r="Z1031" s="1">
        <v>-11.8210262828535</v>
      </c>
      <c r="AA1031" s="1">
        <v>18</v>
      </c>
      <c r="AB1031" s="1">
        <v>676000</v>
      </c>
      <c r="AC1031" s="1">
        <f t="shared" si="16"/>
        <v>736000</v>
      </c>
    </row>
    <row r="1032" spans="1:29" x14ac:dyDescent="0.25">
      <c r="A1032" s="1" t="s">
        <v>5157</v>
      </c>
      <c r="B1032" s="1" t="s">
        <v>5158</v>
      </c>
      <c r="C1032" s="1" t="s">
        <v>5159</v>
      </c>
      <c r="D1032" s="1">
        <v>2021</v>
      </c>
      <c r="E1032" s="1" t="s">
        <v>31</v>
      </c>
      <c r="F1032" s="1">
        <v>4</v>
      </c>
      <c r="G1032" s="1" t="s">
        <v>32</v>
      </c>
      <c r="H1032" s="1" t="s">
        <v>210</v>
      </c>
      <c r="I1032" s="1">
        <v>169000</v>
      </c>
      <c r="J1032" s="1">
        <v>154000</v>
      </c>
      <c r="K1032" s="1">
        <v>15000</v>
      </c>
      <c r="L1032" s="1">
        <v>0</v>
      </c>
      <c r="M1032" s="1" t="s">
        <v>34</v>
      </c>
      <c r="N1032" s="1" t="s">
        <v>35</v>
      </c>
      <c r="O1032" s="1" t="s">
        <v>64</v>
      </c>
      <c r="P1032" s="1" t="s">
        <v>65</v>
      </c>
      <c r="Q1032" s="1" t="s">
        <v>38</v>
      </c>
      <c r="R1032" s="1" t="s">
        <v>5160</v>
      </c>
      <c r="S1032" s="3">
        <v>918183000000</v>
      </c>
      <c r="T1032" s="1" t="s">
        <v>98</v>
      </c>
      <c r="U1032" s="1">
        <v>63</v>
      </c>
      <c r="V1032" s="1">
        <v>88</v>
      </c>
      <c r="W1032" s="1" t="s">
        <v>41</v>
      </c>
      <c r="X1032" s="1">
        <v>107645</v>
      </c>
      <c r="Y1032" s="2">
        <v>38549</v>
      </c>
      <c r="Z1032" s="1">
        <v>-11.8210262828535</v>
      </c>
      <c r="AA1032" s="1">
        <v>18</v>
      </c>
      <c r="AB1032" s="1">
        <v>676000</v>
      </c>
      <c r="AC1032" s="1">
        <f t="shared" si="16"/>
        <v>736000</v>
      </c>
    </row>
    <row r="1033" spans="1:29" x14ac:dyDescent="0.25">
      <c r="A1033" s="1" t="s">
        <v>5173</v>
      </c>
      <c r="B1033" s="1" t="s">
        <v>5174</v>
      </c>
      <c r="C1033" s="1" t="s">
        <v>5175</v>
      </c>
      <c r="D1033" s="1">
        <v>2021</v>
      </c>
      <c r="E1033" s="1" t="s">
        <v>31</v>
      </c>
      <c r="F1033" s="1">
        <v>4</v>
      </c>
      <c r="G1033" s="1" t="s">
        <v>32</v>
      </c>
      <c r="H1033" s="1" t="s">
        <v>56</v>
      </c>
      <c r="I1033" s="1">
        <v>169000</v>
      </c>
      <c r="J1033" s="1">
        <v>154000</v>
      </c>
      <c r="K1033" s="1">
        <v>15000</v>
      </c>
      <c r="L1033" s="1">
        <v>0</v>
      </c>
      <c r="M1033" s="1" t="s">
        <v>34</v>
      </c>
      <c r="N1033" s="1" t="s">
        <v>35</v>
      </c>
      <c r="O1033" s="1" t="s">
        <v>78</v>
      </c>
      <c r="P1033" s="1" t="s">
        <v>79</v>
      </c>
      <c r="Q1033" s="1" t="s">
        <v>38</v>
      </c>
      <c r="R1033" s="1" t="s">
        <v>5176</v>
      </c>
      <c r="S1033" s="3">
        <v>917927000000</v>
      </c>
      <c r="T1033" s="1" t="s">
        <v>40</v>
      </c>
      <c r="U1033" s="1">
        <v>62</v>
      </c>
      <c r="V1033" s="1">
        <v>65</v>
      </c>
      <c r="W1033" s="1" t="s">
        <v>41</v>
      </c>
      <c r="X1033" s="1">
        <v>408476</v>
      </c>
      <c r="Y1033" s="2">
        <v>37128</v>
      </c>
      <c r="Z1033" s="1">
        <v>-12.8210262828535</v>
      </c>
      <c r="AA1033" s="1">
        <v>22</v>
      </c>
      <c r="AB1033" s="1">
        <v>676000</v>
      </c>
      <c r="AC1033" s="1">
        <f t="shared" si="16"/>
        <v>736000</v>
      </c>
    </row>
    <row r="1034" spans="1:29" x14ac:dyDescent="0.25">
      <c r="A1034" s="1" t="s">
        <v>5201</v>
      </c>
      <c r="B1034" s="1" t="s">
        <v>5202</v>
      </c>
      <c r="C1034" s="1" t="s">
        <v>5203</v>
      </c>
      <c r="D1034" s="1">
        <v>2021</v>
      </c>
      <c r="E1034" s="1" t="s">
        <v>31</v>
      </c>
      <c r="F1034" s="1">
        <v>4</v>
      </c>
      <c r="G1034" s="1" t="s">
        <v>32</v>
      </c>
      <c r="H1034" s="1" t="s">
        <v>151</v>
      </c>
      <c r="I1034" s="1">
        <v>169000</v>
      </c>
      <c r="J1034" s="1">
        <v>154000</v>
      </c>
      <c r="K1034" s="1">
        <v>15000</v>
      </c>
      <c r="L1034" s="1">
        <v>0</v>
      </c>
      <c r="M1034" s="1" t="s">
        <v>34</v>
      </c>
      <c r="N1034" s="1" t="s">
        <v>35</v>
      </c>
      <c r="O1034" s="1" t="s">
        <v>78</v>
      </c>
      <c r="P1034" s="1" t="s">
        <v>79</v>
      </c>
      <c r="Q1034" s="1" t="s">
        <v>38</v>
      </c>
      <c r="R1034" s="1" t="s">
        <v>5204</v>
      </c>
      <c r="S1034" s="3">
        <v>917077000000</v>
      </c>
      <c r="T1034" s="1" t="s">
        <v>74</v>
      </c>
      <c r="U1034" s="1">
        <v>62</v>
      </c>
      <c r="V1034" s="1">
        <v>80</v>
      </c>
      <c r="W1034" s="1" t="s">
        <v>52</v>
      </c>
      <c r="X1034" s="1">
        <v>614795</v>
      </c>
      <c r="Y1034" s="2">
        <v>37750</v>
      </c>
      <c r="Z1034" s="1">
        <v>-12.8210262828535</v>
      </c>
      <c r="AA1034" s="1">
        <v>21</v>
      </c>
      <c r="AB1034" s="1">
        <v>676000</v>
      </c>
      <c r="AC1034" s="1">
        <f t="shared" si="16"/>
        <v>736000</v>
      </c>
    </row>
    <row r="1035" spans="1:29" x14ac:dyDescent="0.25">
      <c r="A1035" s="1" t="s">
        <v>5235</v>
      </c>
      <c r="B1035" s="1" t="s">
        <v>5236</v>
      </c>
      <c r="C1035" s="1" t="s">
        <v>5237</v>
      </c>
      <c r="D1035" s="1">
        <v>2021</v>
      </c>
      <c r="E1035" s="1" t="s">
        <v>31</v>
      </c>
      <c r="F1035" s="1">
        <v>4</v>
      </c>
      <c r="G1035" s="1" t="s">
        <v>32</v>
      </c>
      <c r="H1035" s="1" t="s">
        <v>90</v>
      </c>
      <c r="I1035" s="1">
        <v>169000</v>
      </c>
      <c r="J1035" s="1">
        <v>154000</v>
      </c>
      <c r="K1035" s="1">
        <v>15000</v>
      </c>
      <c r="L1035" s="1">
        <v>0</v>
      </c>
      <c r="M1035" s="1" t="s">
        <v>34</v>
      </c>
      <c r="N1035" s="1" t="s">
        <v>35</v>
      </c>
      <c r="O1035" s="1" t="s">
        <v>48</v>
      </c>
      <c r="P1035" s="1" t="s">
        <v>49</v>
      </c>
      <c r="Q1035" s="1" t="s">
        <v>38</v>
      </c>
      <c r="R1035" s="1" t="s">
        <v>5238</v>
      </c>
      <c r="S1035" s="3">
        <v>919938000000</v>
      </c>
      <c r="T1035" s="1" t="s">
        <v>74</v>
      </c>
      <c r="U1035" s="1">
        <v>62</v>
      </c>
      <c r="V1035" s="1">
        <v>72</v>
      </c>
      <c r="W1035" s="1" t="s">
        <v>52</v>
      </c>
      <c r="X1035" s="1">
        <v>327564</v>
      </c>
      <c r="Y1035" s="2">
        <v>36732</v>
      </c>
      <c r="Z1035" s="1">
        <v>-12.8210262828535</v>
      </c>
      <c r="AA1035" s="1">
        <v>23</v>
      </c>
      <c r="AB1035" s="1">
        <v>676000</v>
      </c>
      <c r="AC1035" s="1">
        <f t="shared" si="16"/>
        <v>736000</v>
      </c>
    </row>
    <row r="1036" spans="1:29" x14ac:dyDescent="0.25">
      <c r="A1036" s="1" t="s">
        <v>5259</v>
      </c>
      <c r="B1036" s="1" t="s">
        <v>4957</v>
      </c>
      <c r="C1036" s="1" t="s">
        <v>4958</v>
      </c>
      <c r="D1036" s="1">
        <v>2021</v>
      </c>
      <c r="E1036" s="1" t="s">
        <v>45</v>
      </c>
      <c r="F1036" s="1">
        <v>2</v>
      </c>
      <c r="G1036" s="1" t="s">
        <v>46</v>
      </c>
      <c r="H1036" s="1" t="s">
        <v>33</v>
      </c>
      <c r="I1036" s="1">
        <v>92000</v>
      </c>
      <c r="J1036" s="1">
        <v>77000</v>
      </c>
      <c r="K1036" s="1">
        <v>15000</v>
      </c>
      <c r="L1036" s="1">
        <v>0</v>
      </c>
      <c r="M1036" s="1" t="s">
        <v>34</v>
      </c>
      <c r="N1036" s="1" t="s">
        <v>35</v>
      </c>
      <c r="O1036" s="1" t="s">
        <v>57</v>
      </c>
      <c r="P1036" s="1" t="s">
        <v>57</v>
      </c>
      <c r="Q1036" s="1" t="s">
        <v>38</v>
      </c>
      <c r="R1036" s="1" t="s">
        <v>5260</v>
      </c>
      <c r="S1036" s="3">
        <v>918987000000</v>
      </c>
      <c r="T1036" s="1" t="s">
        <v>40</v>
      </c>
      <c r="U1036" s="1">
        <v>62</v>
      </c>
      <c r="V1036" s="1">
        <v>92</v>
      </c>
      <c r="W1036" s="1" t="s">
        <v>41</v>
      </c>
      <c r="X1036" s="1">
        <v>684264</v>
      </c>
      <c r="Y1036" s="2">
        <v>36276</v>
      </c>
      <c r="Z1036" s="1">
        <v>-12.8210262828535</v>
      </c>
      <c r="AA1036" s="1">
        <v>25</v>
      </c>
      <c r="AB1036" s="1">
        <v>184000</v>
      </c>
      <c r="AC1036" s="1">
        <f t="shared" si="16"/>
        <v>214000</v>
      </c>
    </row>
    <row r="1037" spans="1:29" x14ac:dyDescent="0.25">
      <c r="A1037" s="1" t="s">
        <v>5267</v>
      </c>
      <c r="B1037" s="1" t="s">
        <v>5268</v>
      </c>
      <c r="C1037" s="1" t="s">
        <v>5269</v>
      </c>
      <c r="D1037" s="1">
        <v>2021</v>
      </c>
      <c r="E1037" s="1" t="s">
        <v>31</v>
      </c>
      <c r="F1037" s="1">
        <v>4</v>
      </c>
      <c r="G1037" s="1" t="s">
        <v>32</v>
      </c>
      <c r="H1037" s="1" t="s">
        <v>62</v>
      </c>
      <c r="I1037" s="1">
        <v>169000</v>
      </c>
      <c r="J1037" s="1">
        <v>154000</v>
      </c>
      <c r="K1037" s="1">
        <v>15000</v>
      </c>
      <c r="L1037" s="1">
        <v>0</v>
      </c>
      <c r="M1037" s="1" t="s">
        <v>34</v>
      </c>
      <c r="N1037" s="1" t="s">
        <v>63</v>
      </c>
      <c r="O1037" s="1" t="s">
        <v>91</v>
      </c>
      <c r="P1037" s="1" t="s">
        <v>92</v>
      </c>
      <c r="Q1037" s="1" t="s">
        <v>38</v>
      </c>
      <c r="R1037" s="1" t="s">
        <v>5270</v>
      </c>
      <c r="S1037" s="3">
        <v>919116000000</v>
      </c>
      <c r="T1037" s="1" t="s">
        <v>98</v>
      </c>
      <c r="U1037" s="1">
        <v>62</v>
      </c>
      <c r="V1037" s="1">
        <v>80</v>
      </c>
      <c r="W1037" s="1" t="s">
        <v>41</v>
      </c>
      <c r="X1037" s="1">
        <v>163711</v>
      </c>
      <c r="Y1037" s="2">
        <v>38186</v>
      </c>
      <c r="Z1037" s="1">
        <v>-12.8210262828535</v>
      </c>
      <c r="AA1037" s="1">
        <v>19</v>
      </c>
      <c r="AB1037" s="1">
        <v>676000</v>
      </c>
      <c r="AC1037" s="1">
        <f t="shared" si="16"/>
        <v>736000</v>
      </c>
    </row>
    <row r="1038" spans="1:29" x14ac:dyDescent="0.25">
      <c r="A1038" s="1" t="s">
        <v>5287</v>
      </c>
      <c r="B1038" s="1" t="s">
        <v>4516</v>
      </c>
      <c r="C1038" s="1" t="s">
        <v>4517</v>
      </c>
      <c r="D1038" s="1">
        <v>2021</v>
      </c>
      <c r="E1038" s="1" t="s">
        <v>45</v>
      </c>
      <c r="F1038" s="1">
        <v>2</v>
      </c>
      <c r="G1038" s="1" t="s">
        <v>46</v>
      </c>
      <c r="H1038" s="1" t="s">
        <v>102</v>
      </c>
      <c r="I1038" s="1">
        <v>92000</v>
      </c>
      <c r="J1038" s="1">
        <v>77000</v>
      </c>
      <c r="K1038" s="1">
        <v>15000</v>
      </c>
      <c r="L1038" s="1">
        <v>0</v>
      </c>
      <c r="M1038" s="1" t="s">
        <v>34</v>
      </c>
      <c r="N1038" s="1" t="s">
        <v>70</v>
      </c>
      <c r="O1038" s="1" t="s">
        <v>36</v>
      </c>
      <c r="P1038" s="1" t="s">
        <v>37</v>
      </c>
      <c r="Q1038" s="1" t="s">
        <v>38</v>
      </c>
      <c r="R1038" s="1" t="s">
        <v>5288</v>
      </c>
      <c r="S1038" s="3">
        <v>918119000000</v>
      </c>
      <c r="T1038" s="1" t="s">
        <v>86</v>
      </c>
      <c r="U1038" s="1">
        <v>62</v>
      </c>
      <c r="V1038" s="1">
        <v>63</v>
      </c>
      <c r="W1038" s="1" t="s">
        <v>52</v>
      </c>
      <c r="X1038" s="1">
        <v>794439</v>
      </c>
      <c r="Y1038" s="2">
        <v>35477</v>
      </c>
      <c r="Z1038" s="1">
        <v>-12.8210262828535</v>
      </c>
      <c r="AA1038" s="1">
        <v>27</v>
      </c>
      <c r="AB1038" s="1">
        <v>184000</v>
      </c>
      <c r="AC1038" s="1">
        <f t="shared" si="16"/>
        <v>214000</v>
      </c>
    </row>
    <row r="1039" spans="1:29" x14ac:dyDescent="0.25">
      <c r="A1039" s="1" t="s">
        <v>1782</v>
      </c>
      <c r="B1039" s="1" t="s">
        <v>1219</v>
      </c>
      <c r="C1039" s="1" t="s">
        <v>1220</v>
      </c>
      <c r="D1039" s="1">
        <v>2021</v>
      </c>
      <c r="E1039" s="1" t="s">
        <v>45</v>
      </c>
      <c r="F1039" s="1">
        <v>2</v>
      </c>
      <c r="G1039" s="1" t="s">
        <v>46</v>
      </c>
      <c r="H1039" s="1" t="s">
        <v>47</v>
      </c>
      <c r="I1039" s="1">
        <v>92000</v>
      </c>
      <c r="J1039" s="1">
        <v>77000</v>
      </c>
      <c r="K1039" s="1">
        <v>15000</v>
      </c>
      <c r="L1039" s="1">
        <v>0</v>
      </c>
      <c r="M1039" s="1" t="s">
        <v>34</v>
      </c>
      <c r="N1039" s="1" t="s">
        <v>63</v>
      </c>
      <c r="O1039" s="1" t="s">
        <v>103</v>
      </c>
      <c r="P1039" s="1" t="s">
        <v>104</v>
      </c>
      <c r="Q1039" s="1" t="s">
        <v>38</v>
      </c>
      <c r="R1039" s="1" t="s">
        <v>5293</v>
      </c>
      <c r="S1039" s="3">
        <v>917592000000</v>
      </c>
      <c r="T1039" s="1" t="s">
        <v>98</v>
      </c>
      <c r="U1039" s="1">
        <v>62</v>
      </c>
      <c r="V1039" s="1">
        <v>84</v>
      </c>
      <c r="W1039" s="1" t="s">
        <v>52</v>
      </c>
      <c r="X1039" s="1">
        <v>327391</v>
      </c>
      <c r="Y1039" s="2">
        <v>37350</v>
      </c>
      <c r="Z1039" s="1">
        <v>-12.8210262828535</v>
      </c>
      <c r="AA1039" s="1">
        <v>22</v>
      </c>
      <c r="AB1039" s="1">
        <v>184000</v>
      </c>
      <c r="AC1039" s="1">
        <f t="shared" si="16"/>
        <v>214000</v>
      </c>
    </row>
    <row r="1040" spans="1:29" x14ac:dyDescent="0.25">
      <c r="A1040" s="1" t="s">
        <v>5302</v>
      </c>
      <c r="B1040" s="1" t="s">
        <v>2893</v>
      </c>
      <c r="C1040" s="1" t="s">
        <v>2894</v>
      </c>
      <c r="D1040" s="1">
        <v>2021</v>
      </c>
      <c r="E1040" s="1" t="s">
        <v>31</v>
      </c>
      <c r="F1040" s="1">
        <v>4</v>
      </c>
      <c r="G1040" s="1" t="s">
        <v>32</v>
      </c>
      <c r="H1040" s="1" t="s">
        <v>210</v>
      </c>
      <c r="I1040" s="1">
        <v>169000</v>
      </c>
      <c r="J1040" s="1">
        <v>154000</v>
      </c>
      <c r="K1040" s="1">
        <v>15000</v>
      </c>
      <c r="L1040" s="1">
        <v>0</v>
      </c>
      <c r="M1040" s="1" t="s">
        <v>34</v>
      </c>
      <c r="N1040" s="1" t="s">
        <v>70</v>
      </c>
      <c r="O1040" s="1" t="s">
        <v>64</v>
      </c>
      <c r="P1040" s="1" t="s">
        <v>65</v>
      </c>
      <c r="Q1040" s="1" t="s">
        <v>38</v>
      </c>
      <c r="R1040" s="1" t="s">
        <v>5303</v>
      </c>
      <c r="S1040" s="3">
        <v>919672000000</v>
      </c>
      <c r="T1040" s="1" t="s">
        <v>74</v>
      </c>
      <c r="U1040" s="1">
        <v>62</v>
      </c>
      <c r="V1040" s="1">
        <v>75</v>
      </c>
      <c r="W1040" s="1" t="s">
        <v>41</v>
      </c>
      <c r="X1040" s="1">
        <v>108954</v>
      </c>
      <c r="Y1040" s="2">
        <v>38096</v>
      </c>
      <c r="Z1040" s="1">
        <v>-12.8210262828535</v>
      </c>
      <c r="AA1040" s="1">
        <v>20</v>
      </c>
      <c r="AB1040" s="1">
        <v>676000</v>
      </c>
      <c r="AC1040" s="1">
        <f t="shared" si="16"/>
        <v>736000</v>
      </c>
    </row>
    <row r="1041" spans="1:29" x14ac:dyDescent="0.25">
      <c r="A1041" s="1" t="s">
        <v>5304</v>
      </c>
      <c r="B1041" s="1" t="s">
        <v>539</v>
      </c>
      <c r="C1041" s="1" t="s">
        <v>540</v>
      </c>
      <c r="D1041" s="1">
        <v>2021</v>
      </c>
      <c r="E1041" s="1" t="s">
        <v>45</v>
      </c>
      <c r="F1041" s="1">
        <v>2</v>
      </c>
      <c r="G1041" s="1" t="s">
        <v>46</v>
      </c>
      <c r="H1041" s="1" t="s">
        <v>47</v>
      </c>
      <c r="I1041" s="1">
        <v>92000</v>
      </c>
      <c r="J1041" s="1">
        <v>77000</v>
      </c>
      <c r="K1041" s="1">
        <v>15000</v>
      </c>
      <c r="L1041" s="1">
        <v>0</v>
      </c>
      <c r="M1041" s="1" t="s">
        <v>34</v>
      </c>
      <c r="N1041" s="1" t="s">
        <v>70</v>
      </c>
      <c r="O1041" s="1" t="s">
        <v>57</v>
      </c>
      <c r="P1041" s="1" t="s">
        <v>57</v>
      </c>
      <c r="Q1041" s="1" t="s">
        <v>38</v>
      </c>
      <c r="R1041" s="1" t="s">
        <v>5305</v>
      </c>
      <c r="S1041" s="3">
        <v>918571000000</v>
      </c>
      <c r="T1041" s="1" t="s">
        <v>74</v>
      </c>
      <c r="U1041" s="1">
        <v>62</v>
      </c>
      <c r="V1041" s="1">
        <v>92</v>
      </c>
      <c r="W1041" s="1" t="s">
        <v>52</v>
      </c>
      <c r="X1041" s="1">
        <v>749607</v>
      </c>
      <c r="Y1041" s="2">
        <v>35917</v>
      </c>
      <c r="Z1041" s="1">
        <v>-12.8210262828535</v>
      </c>
      <c r="AA1041" s="1">
        <v>26</v>
      </c>
      <c r="AB1041" s="1">
        <v>184000</v>
      </c>
      <c r="AC1041" s="1">
        <f t="shared" si="16"/>
        <v>214000</v>
      </c>
    </row>
    <row r="1042" spans="1:29" x14ac:dyDescent="0.25">
      <c r="A1042" s="1" t="s">
        <v>5313</v>
      </c>
      <c r="B1042" s="1" t="s">
        <v>5314</v>
      </c>
      <c r="C1042" s="1" t="s">
        <v>5315</v>
      </c>
      <c r="D1042" s="1">
        <v>2021</v>
      </c>
      <c r="E1042" s="1" t="s">
        <v>31</v>
      </c>
      <c r="F1042" s="1">
        <v>4</v>
      </c>
      <c r="G1042" s="1" t="s">
        <v>32</v>
      </c>
      <c r="H1042" s="1" t="s">
        <v>56</v>
      </c>
      <c r="I1042" s="1">
        <v>169000</v>
      </c>
      <c r="J1042" s="1">
        <v>154000</v>
      </c>
      <c r="K1042" s="1">
        <v>15000</v>
      </c>
      <c r="L1042" s="1">
        <v>0</v>
      </c>
      <c r="M1042" s="1" t="s">
        <v>34</v>
      </c>
      <c r="N1042" s="1" t="s">
        <v>63</v>
      </c>
      <c r="O1042" s="1" t="s">
        <v>84</v>
      </c>
      <c r="P1042" s="1" t="s">
        <v>65</v>
      </c>
      <c r="Q1042" s="1" t="s">
        <v>38</v>
      </c>
      <c r="R1042" s="1" t="s">
        <v>5316</v>
      </c>
      <c r="S1042" s="3">
        <v>917323000000</v>
      </c>
      <c r="T1042" s="1" t="s">
        <v>51</v>
      </c>
      <c r="U1042" s="1">
        <v>62</v>
      </c>
      <c r="V1042" s="1">
        <v>90</v>
      </c>
      <c r="W1042" s="1" t="s">
        <v>52</v>
      </c>
      <c r="X1042" s="1">
        <v>583311</v>
      </c>
      <c r="Y1042" s="2">
        <v>38181</v>
      </c>
      <c r="Z1042" s="1">
        <v>-12.8210262828535</v>
      </c>
      <c r="AA1042" s="1">
        <v>19</v>
      </c>
      <c r="AB1042" s="1">
        <v>676000</v>
      </c>
      <c r="AC1042" s="1">
        <f t="shared" si="16"/>
        <v>736000</v>
      </c>
    </row>
    <row r="1043" spans="1:29" x14ac:dyDescent="0.25">
      <c r="A1043" s="1" t="s">
        <v>5335</v>
      </c>
      <c r="B1043" s="1" t="s">
        <v>200</v>
      </c>
      <c r="C1043" s="1" t="s">
        <v>201</v>
      </c>
      <c r="D1043" s="1">
        <v>2021</v>
      </c>
      <c r="E1043" s="1" t="s">
        <v>31</v>
      </c>
      <c r="F1043" s="1">
        <v>4</v>
      </c>
      <c r="G1043" s="1" t="s">
        <v>32</v>
      </c>
      <c r="H1043" s="1" t="s">
        <v>47</v>
      </c>
      <c r="I1043" s="1">
        <v>169000</v>
      </c>
      <c r="J1043" s="1">
        <v>154000</v>
      </c>
      <c r="K1043" s="1">
        <v>15000</v>
      </c>
      <c r="L1043" s="1">
        <v>0</v>
      </c>
      <c r="M1043" s="1" t="s">
        <v>34</v>
      </c>
      <c r="N1043" s="1" t="s">
        <v>35</v>
      </c>
      <c r="O1043" s="1" t="s">
        <v>91</v>
      </c>
      <c r="P1043" s="1" t="s">
        <v>92</v>
      </c>
      <c r="Q1043" s="1" t="s">
        <v>38</v>
      </c>
      <c r="R1043" s="1" t="s">
        <v>5336</v>
      </c>
      <c r="S1043" s="3">
        <v>918272000000</v>
      </c>
      <c r="T1043" s="1" t="s">
        <v>74</v>
      </c>
      <c r="U1043" s="1">
        <v>62</v>
      </c>
      <c r="V1043" s="1">
        <v>80</v>
      </c>
      <c r="W1043" s="1" t="s">
        <v>41</v>
      </c>
      <c r="X1043" s="1">
        <v>782240</v>
      </c>
      <c r="Y1043" s="2">
        <v>37418</v>
      </c>
      <c r="Z1043" s="1">
        <v>-12.8210262828535</v>
      </c>
      <c r="AA1043" s="1">
        <v>22</v>
      </c>
      <c r="AB1043" s="1">
        <v>676000</v>
      </c>
      <c r="AC1043" s="1">
        <f t="shared" si="16"/>
        <v>736000</v>
      </c>
    </row>
    <row r="1044" spans="1:29" x14ac:dyDescent="0.25">
      <c r="A1044" s="1" t="s">
        <v>5369</v>
      </c>
      <c r="B1044" s="1" t="s">
        <v>5370</v>
      </c>
      <c r="C1044" s="1" t="s">
        <v>5371</v>
      </c>
      <c r="D1044" s="1">
        <v>2021</v>
      </c>
      <c r="E1044" s="1" t="s">
        <v>31</v>
      </c>
      <c r="F1044" s="1">
        <v>4</v>
      </c>
      <c r="G1044" s="1" t="s">
        <v>32</v>
      </c>
      <c r="H1044" s="1" t="s">
        <v>102</v>
      </c>
      <c r="I1044" s="1">
        <v>169000</v>
      </c>
      <c r="J1044" s="1">
        <v>154000</v>
      </c>
      <c r="K1044" s="1">
        <v>15000</v>
      </c>
      <c r="L1044" s="1">
        <v>0</v>
      </c>
      <c r="M1044" s="1" t="s">
        <v>34</v>
      </c>
      <c r="N1044" s="1" t="s">
        <v>35</v>
      </c>
      <c r="O1044" s="1" t="s">
        <v>103</v>
      </c>
      <c r="P1044" s="1" t="s">
        <v>104</v>
      </c>
      <c r="Q1044" s="1" t="s">
        <v>38</v>
      </c>
      <c r="R1044" s="1" t="s">
        <v>5372</v>
      </c>
      <c r="S1044" s="3">
        <v>918684000000</v>
      </c>
      <c r="T1044" s="1" t="s">
        <v>74</v>
      </c>
      <c r="U1044" s="1">
        <v>61</v>
      </c>
      <c r="V1044" s="1">
        <v>71</v>
      </c>
      <c r="W1044" s="1" t="s">
        <v>52</v>
      </c>
      <c r="X1044" s="1">
        <v>312873</v>
      </c>
      <c r="Y1044" s="2">
        <v>38634</v>
      </c>
      <c r="Z1044" s="1">
        <v>-13.8210262828535</v>
      </c>
      <c r="AA1044" s="1">
        <v>18</v>
      </c>
      <c r="AB1044" s="1">
        <v>676000</v>
      </c>
      <c r="AC1044" s="1">
        <f t="shared" si="16"/>
        <v>736000</v>
      </c>
    </row>
    <row r="1045" spans="1:29" x14ac:dyDescent="0.25">
      <c r="A1045" s="1" t="s">
        <v>5381</v>
      </c>
      <c r="B1045" s="1" t="s">
        <v>3292</v>
      </c>
      <c r="C1045" s="1" t="s">
        <v>3293</v>
      </c>
      <c r="D1045" s="1">
        <v>2021</v>
      </c>
      <c r="E1045" s="1" t="s">
        <v>31</v>
      </c>
      <c r="F1045" s="1">
        <v>4</v>
      </c>
      <c r="G1045" s="1" t="s">
        <v>32</v>
      </c>
      <c r="H1045" s="1" t="s">
        <v>90</v>
      </c>
      <c r="I1045" s="1">
        <v>169000</v>
      </c>
      <c r="J1045" s="1">
        <v>154000</v>
      </c>
      <c r="K1045" s="1">
        <v>15000</v>
      </c>
      <c r="L1045" s="1">
        <v>0</v>
      </c>
      <c r="M1045" s="1" t="s">
        <v>34</v>
      </c>
      <c r="N1045" s="1" t="s">
        <v>63</v>
      </c>
      <c r="O1045" s="1" t="s">
        <v>36</v>
      </c>
      <c r="P1045" s="1" t="s">
        <v>37</v>
      </c>
      <c r="Q1045" s="1" t="s">
        <v>38</v>
      </c>
      <c r="R1045" s="1" t="s">
        <v>5382</v>
      </c>
      <c r="S1045" s="3">
        <v>917440000000</v>
      </c>
      <c r="T1045" s="1" t="s">
        <v>86</v>
      </c>
      <c r="U1045" s="1">
        <v>61</v>
      </c>
      <c r="V1045" s="1">
        <v>69</v>
      </c>
      <c r="W1045" s="1" t="s">
        <v>41</v>
      </c>
      <c r="X1045" s="1">
        <v>668427</v>
      </c>
      <c r="Y1045" s="2">
        <v>38482</v>
      </c>
      <c r="Z1045" s="1">
        <v>-13.8210262828535</v>
      </c>
      <c r="AA1045" s="1">
        <v>19</v>
      </c>
      <c r="AB1045" s="1">
        <v>676000</v>
      </c>
      <c r="AC1045" s="1">
        <f t="shared" si="16"/>
        <v>736000</v>
      </c>
    </row>
    <row r="1046" spans="1:29" x14ac:dyDescent="0.25">
      <c r="A1046" s="1" t="s">
        <v>5385</v>
      </c>
      <c r="B1046" s="1" t="s">
        <v>5386</v>
      </c>
      <c r="C1046" s="1" t="s">
        <v>5387</v>
      </c>
      <c r="D1046" s="1">
        <v>2021</v>
      </c>
      <c r="E1046" s="1" t="s">
        <v>31</v>
      </c>
      <c r="F1046" s="1">
        <v>4</v>
      </c>
      <c r="G1046" s="1" t="s">
        <v>32</v>
      </c>
      <c r="H1046" s="1" t="s">
        <v>33</v>
      </c>
      <c r="I1046" s="1">
        <v>169000</v>
      </c>
      <c r="J1046" s="1">
        <v>154000</v>
      </c>
      <c r="K1046" s="1">
        <v>15000</v>
      </c>
      <c r="L1046" s="1">
        <v>0</v>
      </c>
      <c r="M1046" s="1" t="s">
        <v>34</v>
      </c>
      <c r="N1046" s="1" t="s">
        <v>63</v>
      </c>
      <c r="O1046" s="1" t="s">
        <v>84</v>
      </c>
      <c r="P1046" s="1" t="s">
        <v>65</v>
      </c>
      <c r="Q1046" s="1" t="s">
        <v>38</v>
      </c>
      <c r="R1046" s="1" t="s">
        <v>5388</v>
      </c>
      <c r="S1046" s="3">
        <v>917807000000</v>
      </c>
      <c r="T1046" s="1" t="s">
        <v>40</v>
      </c>
      <c r="U1046" s="1">
        <v>61</v>
      </c>
      <c r="V1046" s="1">
        <v>87</v>
      </c>
      <c r="W1046" s="1" t="s">
        <v>41</v>
      </c>
      <c r="X1046" s="1">
        <v>735900</v>
      </c>
      <c r="Y1046" s="2">
        <v>37074</v>
      </c>
      <c r="Z1046" s="1">
        <v>-13.8210262828535</v>
      </c>
      <c r="AA1046" s="1">
        <v>23</v>
      </c>
      <c r="AB1046" s="1">
        <v>676000</v>
      </c>
      <c r="AC1046" s="1">
        <f t="shared" si="16"/>
        <v>736000</v>
      </c>
    </row>
    <row r="1047" spans="1:29" x14ac:dyDescent="0.25">
      <c r="A1047" s="1" t="s">
        <v>5439</v>
      </c>
      <c r="B1047" s="1" t="s">
        <v>5440</v>
      </c>
      <c r="C1047" s="1" t="s">
        <v>5441</v>
      </c>
      <c r="D1047" s="1">
        <v>2021</v>
      </c>
      <c r="E1047" s="1" t="s">
        <v>31</v>
      </c>
      <c r="F1047" s="1">
        <v>4</v>
      </c>
      <c r="G1047" s="1" t="s">
        <v>32</v>
      </c>
      <c r="H1047" s="1" t="s">
        <v>33</v>
      </c>
      <c r="I1047" s="1">
        <v>169000</v>
      </c>
      <c r="J1047" s="1">
        <v>154000</v>
      </c>
      <c r="K1047" s="1">
        <v>15000</v>
      </c>
      <c r="L1047" s="1">
        <v>0</v>
      </c>
      <c r="M1047" s="1" t="s">
        <v>34</v>
      </c>
      <c r="N1047" s="1" t="s">
        <v>70</v>
      </c>
      <c r="O1047" s="1" t="s">
        <v>103</v>
      </c>
      <c r="P1047" s="1" t="s">
        <v>104</v>
      </c>
      <c r="Q1047" s="1" t="s">
        <v>38</v>
      </c>
      <c r="R1047" s="1" t="s">
        <v>5442</v>
      </c>
      <c r="S1047" s="3">
        <v>919218000000</v>
      </c>
      <c r="T1047" s="1" t="s">
        <v>86</v>
      </c>
      <c r="U1047" s="1">
        <v>61</v>
      </c>
      <c r="V1047" s="1">
        <v>69</v>
      </c>
      <c r="W1047" s="1" t="s">
        <v>41</v>
      </c>
      <c r="X1047" s="1">
        <v>555649</v>
      </c>
      <c r="Y1047" s="2">
        <v>36973</v>
      </c>
      <c r="Z1047" s="1">
        <v>-13.8210262828535</v>
      </c>
      <c r="AA1047" s="1">
        <v>23</v>
      </c>
      <c r="AB1047" s="1">
        <v>676000</v>
      </c>
      <c r="AC1047" s="1">
        <f t="shared" si="16"/>
        <v>736000</v>
      </c>
    </row>
    <row r="1048" spans="1:29" x14ac:dyDescent="0.25">
      <c r="A1048" s="1" t="s">
        <v>5443</v>
      </c>
      <c r="B1048" s="1" t="s">
        <v>2744</v>
      </c>
      <c r="C1048" s="1" t="s">
        <v>2745</v>
      </c>
      <c r="D1048" s="1">
        <v>2021</v>
      </c>
      <c r="E1048" s="1" t="s">
        <v>45</v>
      </c>
      <c r="F1048" s="1">
        <v>2</v>
      </c>
      <c r="G1048" s="1" t="s">
        <v>46</v>
      </c>
      <c r="H1048" s="1" t="s">
        <v>33</v>
      </c>
      <c r="I1048" s="1">
        <v>92000</v>
      </c>
      <c r="J1048" s="1">
        <v>77000</v>
      </c>
      <c r="K1048" s="1">
        <v>15000</v>
      </c>
      <c r="L1048" s="1">
        <v>0</v>
      </c>
      <c r="M1048" s="1" t="s">
        <v>34</v>
      </c>
      <c r="N1048" s="1" t="s">
        <v>35</v>
      </c>
      <c r="O1048" s="1" t="s">
        <v>84</v>
      </c>
      <c r="P1048" s="1" t="s">
        <v>65</v>
      </c>
      <c r="Q1048" s="1" t="s">
        <v>38</v>
      </c>
      <c r="R1048" s="1" t="s">
        <v>5444</v>
      </c>
      <c r="S1048" s="3">
        <v>919334000000</v>
      </c>
      <c r="T1048" s="1" t="s">
        <v>98</v>
      </c>
      <c r="U1048" s="1">
        <v>61</v>
      </c>
      <c r="V1048" s="1">
        <v>77</v>
      </c>
      <c r="W1048" s="1" t="s">
        <v>52</v>
      </c>
      <c r="X1048" s="1">
        <v>405138</v>
      </c>
      <c r="Y1048" s="2">
        <v>37266</v>
      </c>
      <c r="Z1048" s="1">
        <v>-13.8210262828535</v>
      </c>
      <c r="AA1048" s="1">
        <v>22</v>
      </c>
      <c r="AB1048" s="1">
        <v>184000</v>
      </c>
      <c r="AC1048" s="1">
        <f t="shared" si="16"/>
        <v>214000</v>
      </c>
    </row>
    <row r="1049" spans="1:29" x14ac:dyDescent="0.25">
      <c r="A1049" s="1" t="s">
        <v>5455</v>
      </c>
      <c r="B1049" s="1" t="s">
        <v>5456</v>
      </c>
      <c r="C1049" s="1" t="s">
        <v>5457</v>
      </c>
      <c r="D1049" s="1">
        <v>2021</v>
      </c>
      <c r="E1049" s="1" t="s">
        <v>31</v>
      </c>
      <c r="F1049" s="1">
        <v>4</v>
      </c>
      <c r="G1049" s="1" t="s">
        <v>32</v>
      </c>
      <c r="H1049" s="1" t="s">
        <v>113</v>
      </c>
      <c r="I1049" s="1">
        <v>169000</v>
      </c>
      <c r="J1049" s="1">
        <v>154000</v>
      </c>
      <c r="K1049" s="1">
        <v>15000</v>
      </c>
      <c r="L1049" s="1">
        <v>0</v>
      </c>
      <c r="M1049" s="1" t="s">
        <v>34</v>
      </c>
      <c r="N1049" s="1" t="s">
        <v>35</v>
      </c>
      <c r="O1049" s="1" t="s">
        <v>48</v>
      </c>
      <c r="P1049" s="1" t="s">
        <v>49</v>
      </c>
      <c r="Q1049" s="1" t="s">
        <v>38</v>
      </c>
      <c r="R1049" s="1" t="s">
        <v>5458</v>
      </c>
      <c r="S1049" s="3">
        <v>917766000000</v>
      </c>
      <c r="T1049" s="1" t="s">
        <v>98</v>
      </c>
      <c r="U1049" s="1">
        <v>61</v>
      </c>
      <c r="V1049" s="1">
        <v>60</v>
      </c>
      <c r="W1049" s="1" t="s">
        <v>52</v>
      </c>
      <c r="X1049" s="1">
        <v>668487</v>
      </c>
      <c r="Y1049" s="2">
        <v>37179</v>
      </c>
      <c r="Z1049" s="1">
        <v>-13.8210262828535</v>
      </c>
      <c r="AA1049" s="1">
        <v>22</v>
      </c>
      <c r="AB1049" s="1">
        <v>676000</v>
      </c>
      <c r="AC1049" s="1">
        <f t="shared" si="16"/>
        <v>736000</v>
      </c>
    </row>
    <row r="1050" spans="1:29" x14ac:dyDescent="0.25">
      <c r="A1050" s="1" t="s">
        <v>5473</v>
      </c>
      <c r="B1050" s="1" t="s">
        <v>2855</v>
      </c>
      <c r="C1050" s="1" t="s">
        <v>2856</v>
      </c>
      <c r="D1050" s="1">
        <v>2021</v>
      </c>
      <c r="E1050" s="1" t="s">
        <v>31</v>
      </c>
      <c r="F1050" s="1">
        <v>4</v>
      </c>
      <c r="G1050" s="1" t="s">
        <v>32</v>
      </c>
      <c r="H1050" s="1" t="s">
        <v>151</v>
      </c>
      <c r="I1050" s="1">
        <v>169000</v>
      </c>
      <c r="J1050" s="1">
        <v>154000</v>
      </c>
      <c r="K1050" s="1">
        <v>15000</v>
      </c>
      <c r="L1050" s="1">
        <v>0</v>
      </c>
      <c r="M1050" s="1" t="s">
        <v>34</v>
      </c>
      <c r="N1050" s="1" t="s">
        <v>35</v>
      </c>
      <c r="O1050" s="1" t="s">
        <v>188</v>
      </c>
      <c r="P1050" s="1" t="s">
        <v>189</v>
      </c>
      <c r="Q1050" s="1" t="s">
        <v>38</v>
      </c>
      <c r="R1050" s="1" t="s">
        <v>5474</v>
      </c>
      <c r="S1050" s="3">
        <v>918786000000</v>
      </c>
      <c r="T1050" s="1" t="s">
        <v>74</v>
      </c>
      <c r="U1050" s="1">
        <v>61</v>
      </c>
      <c r="V1050" s="1">
        <v>81</v>
      </c>
      <c r="W1050" s="1" t="s">
        <v>52</v>
      </c>
      <c r="X1050" s="1">
        <v>444505</v>
      </c>
      <c r="Y1050" s="2">
        <v>38892</v>
      </c>
      <c r="Z1050" s="1">
        <v>-13.8210262828535</v>
      </c>
      <c r="AA1050" s="1">
        <v>18</v>
      </c>
      <c r="AB1050" s="1">
        <v>676000</v>
      </c>
      <c r="AC1050" s="1">
        <f t="shared" si="16"/>
        <v>736000</v>
      </c>
    </row>
    <row r="1051" spans="1:29" x14ac:dyDescent="0.25">
      <c r="A1051" s="1" t="s">
        <v>5491</v>
      </c>
      <c r="B1051" s="1" t="s">
        <v>5492</v>
      </c>
      <c r="C1051" s="1" t="s">
        <v>5493</v>
      </c>
      <c r="D1051" s="1">
        <v>2021</v>
      </c>
      <c r="E1051" s="1" t="s">
        <v>31</v>
      </c>
      <c r="F1051" s="1">
        <v>4</v>
      </c>
      <c r="G1051" s="1" t="s">
        <v>32</v>
      </c>
      <c r="H1051" s="1" t="s">
        <v>151</v>
      </c>
      <c r="I1051" s="1">
        <v>169000</v>
      </c>
      <c r="J1051" s="1">
        <v>154000</v>
      </c>
      <c r="K1051" s="1">
        <v>15000</v>
      </c>
      <c r="L1051" s="1">
        <v>0</v>
      </c>
      <c r="M1051" s="1" t="s">
        <v>34</v>
      </c>
      <c r="N1051" s="1" t="s">
        <v>70</v>
      </c>
      <c r="O1051" s="1" t="s">
        <v>57</v>
      </c>
      <c r="P1051" s="1" t="s">
        <v>57</v>
      </c>
      <c r="Q1051" s="1" t="s">
        <v>38</v>
      </c>
      <c r="R1051" s="1" t="s">
        <v>5494</v>
      </c>
      <c r="S1051" s="3">
        <v>918721000000</v>
      </c>
      <c r="T1051" s="1" t="s">
        <v>98</v>
      </c>
      <c r="U1051" s="1">
        <v>60</v>
      </c>
      <c r="V1051" s="1">
        <v>88</v>
      </c>
      <c r="W1051" s="1" t="s">
        <v>41</v>
      </c>
      <c r="X1051" s="1">
        <v>388852</v>
      </c>
      <c r="Y1051" s="2">
        <v>36856</v>
      </c>
      <c r="Z1051" s="1">
        <v>-14.8210262828535</v>
      </c>
      <c r="AA1051" s="1">
        <v>23</v>
      </c>
      <c r="AB1051" s="1">
        <v>676000</v>
      </c>
      <c r="AC1051" s="1">
        <f t="shared" si="16"/>
        <v>736000</v>
      </c>
    </row>
    <row r="1052" spans="1:29" x14ac:dyDescent="0.25">
      <c r="A1052" s="1" t="s">
        <v>5501</v>
      </c>
      <c r="B1052" s="1" t="s">
        <v>5502</v>
      </c>
      <c r="C1052" s="1" t="s">
        <v>5503</v>
      </c>
      <c r="D1052" s="1">
        <v>2021</v>
      </c>
      <c r="E1052" s="1" t="s">
        <v>31</v>
      </c>
      <c r="F1052" s="1">
        <v>4</v>
      </c>
      <c r="G1052" s="1" t="s">
        <v>32</v>
      </c>
      <c r="H1052" s="1" t="s">
        <v>122</v>
      </c>
      <c r="I1052" s="1">
        <v>169000</v>
      </c>
      <c r="J1052" s="1">
        <v>154000</v>
      </c>
      <c r="K1052" s="1">
        <v>15000</v>
      </c>
      <c r="L1052" s="1">
        <v>0</v>
      </c>
      <c r="M1052" s="1" t="s">
        <v>34</v>
      </c>
      <c r="N1052" s="1" t="s">
        <v>63</v>
      </c>
      <c r="O1052" s="1" t="s">
        <v>64</v>
      </c>
      <c r="P1052" s="1" t="s">
        <v>65</v>
      </c>
      <c r="Q1052" s="1" t="s">
        <v>38</v>
      </c>
      <c r="R1052" s="1" t="s">
        <v>5504</v>
      </c>
      <c r="S1052" s="3">
        <v>919446000000</v>
      </c>
      <c r="T1052" s="1" t="s">
        <v>51</v>
      </c>
      <c r="U1052" s="1">
        <v>60</v>
      </c>
      <c r="V1052" s="1">
        <v>69</v>
      </c>
      <c r="W1052" s="1" t="s">
        <v>41</v>
      </c>
      <c r="X1052" s="1">
        <v>612860</v>
      </c>
      <c r="Y1052" s="2">
        <v>37163</v>
      </c>
      <c r="Z1052" s="1">
        <v>-14.8210262828535</v>
      </c>
      <c r="AA1052" s="1">
        <v>22</v>
      </c>
      <c r="AB1052" s="1">
        <v>676000</v>
      </c>
      <c r="AC1052" s="1">
        <f t="shared" si="16"/>
        <v>736000</v>
      </c>
    </row>
    <row r="1053" spans="1:29" x14ac:dyDescent="0.25">
      <c r="A1053" s="1" t="s">
        <v>5529</v>
      </c>
      <c r="B1053" s="1" t="s">
        <v>5530</v>
      </c>
      <c r="C1053" s="1" t="s">
        <v>5531</v>
      </c>
      <c r="D1053" s="1">
        <v>2021</v>
      </c>
      <c r="E1053" s="1" t="s">
        <v>31</v>
      </c>
      <c r="F1053" s="1">
        <v>4</v>
      </c>
      <c r="G1053" s="1" t="s">
        <v>32</v>
      </c>
      <c r="H1053" s="1" t="s">
        <v>56</v>
      </c>
      <c r="I1053" s="1">
        <v>169000</v>
      </c>
      <c r="J1053" s="1">
        <v>154000</v>
      </c>
      <c r="K1053" s="1">
        <v>15000</v>
      </c>
      <c r="L1053" s="1">
        <v>0</v>
      </c>
      <c r="M1053" s="1" t="s">
        <v>34</v>
      </c>
      <c r="N1053" s="1" t="s">
        <v>35</v>
      </c>
      <c r="O1053" s="1" t="s">
        <v>64</v>
      </c>
      <c r="P1053" s="1" t="s">
        <v>65</v>
      </c>
      <c r="Q1053" s="1" t="s">
        <v>38</v>
      </c>
      <c r="R1053" s="1" t="s">
        <v>5532</v>
      </c>
      <c r="S1053" s="3">
        <v>919013000000</v>
      </c>
      <c r="T1053" s="1" t="s">
        <v>98</v>
      </c>
      <c r="U1053" s="1">
        <v>60</v>
      </c>
      <c r="V1053" s="1">
        <v>75</v>
      </c>
      <c r="W1053" s="1" t="s">
        <v>41</v>
      </c>
      <c r="X1053" s="1">
        <v>424181</v>
      </c>
      <c r="Y1053" s="2">
        <v>38338</v>
      </c>
      <c r="Z1053" s="1">
        <v>-14.8210262828535</v>
      </c>
      <c r="AA1053" s="1">
        <v>19</v>
      </c>
      <c r="AB1053" s="1">
        <v>676000</v>
      </c>
      <c r="AC1053" s="1">
        <f t="shared" si="16"/>
        <v>736000</v>
      </c>
    </row>
    <row r="1054" spans="1:29" x14ac:dyDescent="0.25">
      <c r="A1054" s="1" t="s">
        <v>5545</v>
      </c>
      <c r="B1054" s="1" t="s">
        <v>5546</v>
      </c>
      <c r="C1054" s="1" t="s">
        <v>5547</v>
      </c>
      <c r="D1054" s="1">
        <v>2021</v>
      </c>
      <c r="E1054" s="1" t="s">
        <v>31</v>
      </c>
      <c r="F1054" s="1">
        <v>4</v>
      </c>
      <c r="G1054" s="1" t="s">
        <v>32</v>
      </c>
      <c r="H1054" s="1" t="s">
        <v>62</v>
      </c>
      <c r="I1054" s="1">
        <v>169000</v>
      </c>
      <c r="J1054" s="1">
        <v>154000</v>
      </c>
      <c r="K1054" s="1">
        <v>15000</v>
      </c>
      <c r="L1054" s="1">
        <v>0</v>
      </c>
      <c r="M1054" s="1" t="s">
        <v>34</v>
      </c>
      <c r="N1054" s="1" t="s">
        <v>70</v>
      </c>
      <c r="O1054" s="1" t="s">
        <v>78</v>
      </c>
      <c r="P1054" s="1" t="s">
        <v>79</v>
      </c>
      <c r="Q1054" s="1" t="s">
        <v>38</v>
      </c>
      <c r="R1054" s="1" t="s">
        <v>5548</v>
      </c>
      <c r="S1054" s="3">
        <v>918338000000</v>
      </c>
      <c r="T1054" s="1" t="s">
        <v>98</v>
      </c>
      <c r="U1054" s="1">
        <v>60</v>
      </c>
      <c r="V1054" s="1">
        <v>90</v>
      </c>
      <c r="W1054" s="1" t="s">
        <v>41</v>
      </c>
      <c r="X1054" s="1">
        <v>679344</v>
      </c>
      <c r="Y1054" s="2">
        <v>38876</v>
      </c>
      <c r="Z1054" s="1">
        <v>-14.8210262828535</v>
      </c>
      <c r="AA1054" s="1">
        <v>18</v>
      </c>
      <c r="AB1054" s="1">
        <v>676000</v>
      </c>
      <c r="AC1054" s="1">
        <f t="shared" si="16"/>
        <v>736000</v>
      </c>
    </row>
    <row r="1055" spans="1:29" x14ac:dyDescent="0.25">
      <c r="A1055" s="1" t="s">
        <v>5555</v>
      </c>
      <c r="B1055" s="1" t="s">
        <v>4849</v>
      </c>
      <c r="C1055" s="1" t="s">
        <v>4850</v>
      </c>
      <c r="D1055" s="1">
        <v>2021</v>
      </c>
      <c r="E1055" s="1" t="s">
        <v>45</v>
      </c>
      <c r="F1055" s="1">
        <v>2</v>
      </c>
      <c r="G1055" s="1" t="s">
        <v>46</v>
      </c>
      <c r="H1055" s="1" t="s">
        <v>33</v>
      </c>
      <c r="I1055" s="1">
        <v>92000</v>
      </c>
      <c r="J1055" s="1">
        <v>77000</v>
      </c>
      <c r="K1055" s="1">
        <v>15000</v>
      </c>
      <c r="L1055" s="1">
        <v>0</v>
      </c>
      <c r="M1055" s="1" t="s">
        <v>34</v>
      </c>
      <c r="N1055" s="1" t="s">
        <v>35</v>
      </c>
      <c r="O1055" s="1" t="s">
        <v>188</v>
      </c>
      <c r="P1055" s="1" t="s">
        <v>189</v>
      </c>
      <c r="Q1055" s="1" t="s">
        <v>38</v>
      </c>
      <c r="R1055" s="1" t="s">
        <v>5556</v>
      </c>
      <c r="S1055" s="3">
        <v>918307000000</v>
      </c>
      <c r="T1055" s="1" t="s">
        <v>86</v>
      </c>
      <c r="U1055" s="1">
        <v>60</v>
      </c>
      <c r="V1055" s="1">
        <v>64</v>
      </c>
      <c r="W1055" s="1" t="s">
        <v>41</v>
      </c>
      <c r="X1055" s="1">
        <v>163936</v>
      </c>
      <c r="Y1055" s="2">
        <v>36786</v>
      </c>
      <c r="Z1055" s="1">
        <v>-14.8210262828535</v>
      </c>
      <c r="AA1055" s="1">
        <v>23</v>
      </c>
      <c r="AB1055" s="1">
        <v>184000</v>
      </c>
      <c r="AC1055" s="1">
        <f t="shared" si="16"/>
        <v>214000</v>
      </c>
    </row>
    <row r="1056" spans="1:29" x14ac:dyDescent="0.25">
      <c r="A1056" s="1" t="s">
        <v>5579</v>
      </c>
      <c r="B1056" s="1" t="s">
        <v>5580</v>
      </c>
      <c r="C1056" s="1" t="s">
        <v>5581</v>
      </c>
      <c r="D1056" s="1">
        <v>2021</v>
      </c>
      <c r="E1056" s="1" t="s">
        <v>31</v>
      </c>
      <c r="F1056" s="1">
        <v>4</v>
      </c>
      <c r="G1056" s="1" t="s">
        <v>32</v>
      </c>
      <c r="H1056" s="1" t="s">
        <v>210</v>
      </c>
      <c r="I1056" s="1">
        <v>169000</v>
      </c>
      <c r="J1056" s="1">
        <v>154000</v>
      </c>
      <c r="K1056" s="1">
        <v>15000</v>
      </c>
      <c r="L1056" s="1">
        <v>0</v>
      </c>
      <c r="M1056" s="1" t="s">
        <v>34</v>
      </c>
      <c r="N1056" s="1" t="s">
        <v>63</v>
      </c>
      <c r="O1056" s="1" t="s">
        <v>57</v>
      </c>
      <c r="P1056" s="1" t="s">
        <v>57</v>
      </c>
      <c r="Q1056" s="1" t="s">
        <v>38</v>
      </c>
      <c r="R1056" s="1" t="s">
        <v>5582</v>
      </c>
      <c r="S1056" s="3">
        <v>917873000000</v>
      </c>
      <c r="T1056" s="1" t="s">
        <v>98</v>
      </c>
      <c r="U1056" s="1">
        <v>60</v>
      </c>
      <c r="V1056" s="1">
        <v>86</v>
      </c>
      <c r="W1056" s="1" t="s">
        <v>41</v>
      </c>
      <c r="X1056" s="1">
        <v>464267</v>
      </c>
      <c r="Y1056" s="2">
        <v>37138</v>
      </c>
      <c r="Z1056" s="1">
        <v>-14.8210262828535</v>
      </c>
      <c r="AA1056" s="1">
        <v>22</v>
      </c>
      <c r="AB1056" s="1">
        <v>676000</v>
      </c>
      <c r="AC1056" s="1">
        <f t="shared" si="16"/>
        <v>736000</v>
      </c>
    </row>
    <row r="1057" spans="1:29" x14ac:dyDescent="0.25">
      <c r="A1057" s="1" t="s">
        <v>5619</v>
      </c>
      <c r="B1057" s="1" t="s">
        <v>5314</v>
      </c>
      <c r="C1057" s="1" t="s">
        <v>5315</v>
      </c>
      <c r="D1057" s="1">
        <v>2021</v>
      </c>
      <c r="E1057" s="1" t="s">
        <v>45</v>
      </c>
      <c r="F1057" s="1">
        <v>2</v>
      </c>
      <c r="G1057" s="1" t="s">
        <v>46</v>
      </c>
      <c r="H1057" s="1" t="s">
        <v>62</v>
      </c>
      <c r="I1057" s="1">
        <v>92000</v>
      </c>
      <c r="J1057" s="1">
        <v>77000</v>
      </c>
      <c r="K1057" s="1">
        <v>15000</v>
      </c>
      <c r="L1057" s="1">
        <v>0</v>
      </c>
      <c r="M1057" s="1" t="s">
        <v>34</v>
      </c>
      <c r="N1057" s="1" t="s">
        <v>70</v>
      </c>
      <c r="O1057" s="1" t="s">
        <v>36</v>
      </c>
      <c r="P1057" s="1" t="s">
        <v>37</v>
      </c>
      <c r="Q1057" s="1" t="s">
        <v>38</v>
      </c>
      <c r="R1057" s="1" t="s">
        <v>5620</v>
      </c>
      <c r="S1057" s="3">
        <v>917549000000</v>
      </c>
      <c r="T1057" s="1" t="s">
        <v>98</v>
      </c>
      <c r="U1057" s="1">
        <v>60</v>
      </c>
      <c r="V1057" s="1">
        <v>64</v>
      </c>
      <c r="W1057" s="1" t="s">
        <v>41</v>
      </c>
      <c r="X1057" s="1">
        <v>427755</v>
      </c>
      <c r="Y1057" s="2">
        <v>37041</v>
      </c>
      <c r="Z1057" s="1">
        <v>-14.8210262828535</v>
      </c>
      <c r="AA1057" s="1">
        <v>23</v>
      </c>
      <c r="AB1057" s="1">
        <v>184000</v>
      </c>
      <c r="AC1057" s="1">
        <f t="shared" si="16"/>
        <v>214000</v>
      </c>
    </row>
    <row r="1058" spans="1:29" x14ac:dyDescent="0.25">
      <c r="A1058" s="1" t="s">
        <v>99</v>
      </c>
      <c r="B1058" s="1" t="s">
        <v>100</v>
      </c>
      <c r="C1058" s="1" t="s">
        <v>101</v>
      </c>
      <c r="D1058" s="1">
        <v>2022</v>
      </c>
      <c r="E1058" s="1" t="s">
        <v>31</v>
      </c>
      <c r="F1058" s="1">
        <v>4</v>
      </c>
      <c r="G1058" s="1" t="s">
        <v>32</v>
      </c>
      <c r="H1058" s="1" t="s">
        <v>102</v>
      </c>
      <c r="I1058" s="1">
        <v>169000</v>
      </c>
      <c r="J1058" s="1">
        <v>154000</v>
      </c>
      <c r="K1058" s="1">
        <v>15000</v>
      </c>
      <c r="L1058" s="1">
        <v>0</v>
      </c>
      <c r="M1058" s="1" t="s">
        <v>5649</v>
      </c>
      <c r="N1058" s="1" t="s">
        <v>63</v>
      </c>
      <c r="O1058" s="1" t="s">
        <v>103</v>
      </c>
      <c r="P1058" s="1" t="s">
        <v>104</v>
      </c>
      <c r="Q1058" s="1" t="s">
        <v>38</v>
      </c>
      <c r="R1058" s="1" t="s">
        <v>105</v>
      </c>
      <c r="S1058" s="3">
        <v>919637000000</v>
      </c>
      <c r="T1058" s="1" t="s">
        <v>86</v>
      </c>
      <c r="U1058" s="1">
        <v>90</v>
      </c>
      <c r="V1058" s="1">
        <v>63</v>
      </c>
      <c r="W1058" s="1" t="s">
        <v>41</v>
      </c>
      <c r="X1058" s="1">
        <v>335744</v>
      </c>
      <c r="Y1058" s="2">
        <v>38259</v>
      </c>
      <c r="Z1058" s="1">
        <v>15.1789737171464</v>
      </c>
      <c r="AA1058" s="1">
        <v>19</v>
      </c>
      <c r="AB1058" s="1">
        <v>676000</v>
      </c>
      <c r="AC1058" s="1">
        <f t="shared" si="16"/>
        <v>736000</v>
      </c>
    </row>
    <row r="1059" spans="1:29" x14ac:dyDescent="0.25">
      <c r="A1059" s="1" t="s">
        <v>128</v>
      </c>
      <c r="B1059" s="1" t="s">
        <v>129</v>
      </c>
      <c r="C1059" s="1" t="s">
        <v>130</v>
      </c>
      <c r="D1059" s="1">
        <v>2022</v>
      </c>
      <c r="E1059" s="1" t="s">
        <v>31</v>
      </c>
      <c r="F1059" s="1">
        <v>4</v>
      </c>
      <c r="G1059" s="1" t="s">
        <v>32</v>
      </c>
      <c r="H1059" s="1" t="s">
        <v>33</v>
      </c>
      <c r="I1059" s="1">
        <v>169000</v>
      </c>
      <c r="J1059" s="1">
        <v>154000</v>
      </c>
      <c r="K1059" s="1">
        <v>15000</v>
      </c>
      <c r="L1059" s="1">
        <v>0</v>
      </c>
      <c r="M1059" s="1" t="s">
        <v>5649</v>
      </c>
      <c r="N1059" s="1" t="s">
        <v>35</v>
      </c>
      <c r="O1059" s="1" t="s">
        <v>78</v>
      </c>
      <c r="P1059" s="1" t="s">
        <v>79</v>
      </c>
      <c r="Q1059" s="1" t="s">
        <v>38</v>
      </c>
      <c r="R1059" s="1" t="s">
        <v>131</v>
      </c>
      <c r="S1059" s="3">
        <v>918344000000</v>
      </c>
      <c r="T1059" s="1" t="s">
        <v>51</v>
      </c>
      <c r="U1059" s="1">
        <v>90</v>
      </c>
      <c r="V1059" s="1">
        <v>77</v>
      </c>
      <c r="W1059" s="1" t="s">
        <v>41</v>
      </c>
      <c r="X1059" s="1">
        <v>528318</v>
      </c>
      <c r="Y1059" s="2">
        <v>38393</v>
      </c>
      <c r="Z1059" s="1">
        <v>15.1789737171464</v>
      </c>
      <c r="AA1059" s="1">
        <v>19</v>
      </c>
      <c r="AB1059" s="1">
        <v>676000</v>
      </c>
      <c r="AC1059" s="1">
        <f t="shared" si="16"/>
        <v>736000</v>
      </c>
    </row>
    <row r="1060" spans="1:29" x14ac:dyDescent="0.25">
      <c r="A1060" s="1" t="s">
        <v>140</v>
      </c>
      <c r="B1060" s="1" t="s">
        <v>141</v>
      </c>
      <c r="C1060" s="1" t="s">
        <v>142</v>
      </c>
      <c r="D1060" s="1">
        <v>2022</v>
      </c>
      <c r="E1060" s="1" t="s">
        <v>31</v>
      </c>
      <c r="F1060" s="1">
        <v>4</v>
      </c>
      <c r="G1060" s="1" t="s">
        <v>32</v>
      </c>
      <c r="H1060" s="1" t="s">
        <v>90</v>
      </c>
      <c r="I1060" s="1">
        <v>169000</v>
      </c>
      <c r="J1060" s="1">
        <v>154000</v>
      </c>
      <c r="K1060" s="1">
        <v>15000</v>
      </c>
      <c r="L1060" s="1">
        <v>0</v>
      </c>
      <c r="M1060" s="1" t="s">
        <v>34</v>
      </c>
      <c r="N1060" s="1" t="s">
        <v>70</v>
      </c>
      <c r="O1060" s="1" t="s">
        <v>78</v>
      </c>
      <c r="P1060" s="1" t="s">
        <v>79</v>
      </c>
      <c r="Q1060" s="1" t="s">
        <v>38</v>
      </c>
      <c r="R1060" s="1" t="s">
        <v>143</v>
      </c>
      <c r="S1060" s="3">
        <v>918981000000</v>
      </c>
      <c r="T1060" s="1" t="s">
        <v>86</v>
      </c>
      <c r="U1060" s="1">
        <v>90</v>
      </c>
      <c r="V1060" s="1">
        <v>72</v>
      </c>
      <c r="W1060" s="1" t="s">
        <v>52</v>
      </c>
      <c r="X1060" s="1">
        <v>605573</v>
      </c>
      <c r="Y1060" s="2">
        <v>36762</v>
      </c>
      <c r="Z1060" s="1">
        <v>15.1789737171464</v>
      </c>
      <c r="AA1060" s="1">
        <v>23</v>
      </c>
      <c r="AB1060" s="1">
        <v>676000</v>
      </c>
      <c r="AC1060" s="1">
        <f t="shared" si="16"/>
        <v>736000</v>
      </c>
    </row>
    <row r="1061" spans="1:29" x14ac:dyDescent="0.25">
      <c r="A1061" s="1" t="s">
        <v>169</v>
      </c>
      <c r="B1061" s="1" t="s">
        <v>170</v>
      </c>
      <c r="C1061" s="1" t="s">
        <v>171</v>
      </c>
      <c r="D1061" s="1">
        <v>2022</v>
      </c>
      <c r="E1061" s="1" t="s">
        <v>31</v>
      </c>
      <c r="F1061" s="1">
        <v>4</v>
      </c>
      <c r="G1061" s="1" t="s">
        <v>32</v>
      </c>
      <c r="H1061" s="1" t="s">
        <v>102</v>
      </c>
      <c r="I1061" s="1">
        <v>169000</v>
      </c>
      <c r="J1061" s="1">
        <v>154000</v>
      </c>
      <c r="K1061" s="1">
        <v>15000</v>
      </c>
      <c r="L1061" s="1">
        <v>0</v>
      </c>
      <c r="M1061" s="1" t="s">
        <v>34</v>
      </c>
      <c r="N1061" s="1" t="s">
        <v>35</v>
      </c>
      <c r="O1061" s="1" t="s">
        <v>71</v>
      </c>
      <c r="P1061" s="1" t="s">
        <v>72</v>
      </c>
      <c r="Q1061" s="1" t="s">
        <v>38</v>
      </c>
      <c r="R1061" s="1" t="s">
        <v>172</v>
      </c>
      <c r="S1061" s="3">
        <v>918554000000</v>
      </c>
      <c r="T1061" s="1" t="s">
        <v>86</v>
      </c>
      <c r="U1061" s="1">
        <v>90</v>
      </c>
      <c r="V1061" s="1">
        <v>92</v>
      </c>
      <c r="W1061" s="1" t="s">
        <v>41</v>
      </c>
      <c r="X1061" s="1">
        <v>681587</v>
      </c>
      <c r="Y1061" s="2">
        <v>37725</v>
      </c>
      <c r="Z1061" s="1">
        <v>15.1789737171464</v>
      </c>
      <c r="AA1061" s="1">
        <v>21</v>
      </c>
      <c r="AB1061" s="1">
        <v>676000</v>
      </c>
      <c r="AC1061" s="1">
        <f t="shared" si="16"/>
        <v>736000</v>
      </c>
    </row>
    <row r="1062" spans="1:29" x14ac:dyDescent="0.25">
      <c r="A1062" s="1" t="s">
        <v>173</v>
      </c>
      <c r="B1062" s="1" t="s">
        <v>174</v>
      </c>
      <c r="C1062" s="1" t="s">
        <v>175</v>
      </c>
      <c r="D1062" s="1">
        <v>2022</v>
      </c>
      <c r="E1062" s="1" t="s">
        <v>45</v>
      </c>
      <c r="F1062" s="1">
        <v>2</v>
      </c>
      <c r="G1062" s="1" t="s">
        <v>46</v>
      </c>
      <c r="H1062" s="1" t="s">
        <v>90</v>
      </c>
      <c r="I1062" s="1">
        <v>92000</v>
      </c>
      <c r="J1062" s="1">
        <v>77000</v>
      </c>
      <c r="K1062" s="1">
        <v>15000</v>
      </c>
      <c r="L1062" s="1">
        <v>0</v>
      </c>
      <c r="M1062" s="1" t="s">
        <v>34</v>
      </c>
      <c r="N1062" s="1" t="s">
        <v>70</v>
      </c>
      <c r="O1062" s="1" t="s">
        <v>48</v>
      </c>
      <c r="P1062" s="1" t="s">
        <v>49</v>
      </c>
      <c r="Q1062" s="1" t="s">
        <v>38</v>
      </c>
      <c r="R1062" s="1" t="s">
        <v>176</v>
      </c>
      <c r="S1062" s="3">
        <v>918862000000</v>
      </c>
      <c r="T1062" s="1" t="s">
        <v>40</v>
      </c>
      <c r="U1062" s="1">
        <v>90</v>
      </c>
      <c r="V1062" s="1">
        <v>63</v>
      </c>
      <c r="W1062" s="1" t="s">
        <v>52</v>
      </c>
      <c r="X1062" s="1">
        <v>246354</v>
      </c>
      <c r="Y1062" s="2">
        <v>37344</v>
      </c>
      <c r="Z1062" s="1">
        <v>15.1789737171464</v>
      </c>
      <c r="AA1062" s="1">
        <v>22</v>
      </c>
      <c r="AB1062" s="1">
        <v>184000</v>
      </c>
      <c r="AC1062" s="1">
        <f t="shared" si="16"/>
        <v>214000</v>
      </c>
    </row>
    <row r="1063" spans="1:29" x14ac:dyDescent="0.25">
      <c r="A1063" s="1" t="s">
        <v>195</v>
      </c>
      <c r="B1063" s="1" t="s">
        <v>196</v>
      </c>
      <c r="C1063" s="1" t="s">
        <v>197</v>
      </c>
      <c r="D1063" s="1">
        <v>2022</v>
      </c>
      <c r="E1063" s="1" t="s">
        <v>31</v>
      </c>
      <c r="F1063" s="1">
        <v>4</v>
      </c>
      <c r="G1063" s="1" t="s">
        <v>32</v>
      </c>
      <c r="H1063" s="1" t="s">
        <v>47</v>
      </c>
      <c r="I1063" s="1">
        <v>169000</v>
      </c>
      <c r="J1063" s="1">
        <v>154000</v>
      </c>
      <c r="K1063" s="1">
        <v>15000</v>
      </c>
      <c r="L1063" s="1">
        <v>0</v>
      </c>
      <c r="M1063" s="1" t="s">
        <v>34</v>
      </c>
      <c r="N1063" s="1" t="s">
        <v>63</v>
      </c>
      <c r="O1063" s="1" t="s">
        <v>84</v>
      </c>
      <c r="P1063" s="1" t="s">
        <v>65</v>
      </c>
      <c r="Q1063" s="1" t="s">
        <v>38</v>
      </c>
      <c r="R1063" s="1" t="s">
        <v>198</v>
      </c>
      <c r="S1063" s="3">
        <v>918736000000</v>
      </c>
      <c r="T1063" s="1" t="s">
        <v>86</v>
      </c>
      <c r="U1063" s="1">
        <v>90</v>
      </c>
      <c r="V1063" s="1">
        <v>77</v>
      </c>
      <c r="W1063" s="1" t="s">
        <v>41</v>
      </c>
      <c r="X1063" s="1">
        <v>346222</v>
      </c>
      <c r="Y1063" s="2">
        <v>37593</v>
      </c>
      <c r="Z1063" s="1">
        <v>15.1789737171464</v>
      </c>
      <c r="AA1063" s="1">
        <v>21</v>
      </c>
      <c r="AB1063" s="1">
        <v>676000</v>
      </c>
      <c r="AC1063" s="1">
        <f t="shared" si="16"/>
        <v>736000</v>
      </c>
    </row>
    <row r="1064" spans="1:29" x14ac:dyDescent="0.25">
      <c r="A1064" s="1" t="s">
        <v>207</v>
      </c>
      <c r="B1064" s="1" t="s">
        <v>208</v>
      </c>
      <c r="C1064" s="1" t="s">
        <v>209</v>
      </c>
      <c r="D1064" s="1">
        <v>2022</v>
      </c>
      <c r="E1064" s="1" t="s">
        <v>31</v>
      </c>
      <c r="F1064" s="1">
        <v>4</v>
      </c>
      <c r="G1064" s="1" t="s">
        <v>32</v>
      </c>
      <c r="H1064" s="1" t="s">
        <v>210</v>
      </c>
      <c r="I1064" s="1">
        <v>169000</v>
      </c>
      <c r="J1064" s="1">
        <v>154000</v>
      </c>
      <c r="K1064" s="1">
        <v>15000</v>
      </c>
      <c r="L1064" s="1">
        <v>0</v>
      </c>
      <c r="M1064" s="1" t="s">
        <v>34</v>
      </c>
      <c r="N1064" s="1" t="s">
        <v>63</v>
      </c>
      <c r="O1064" s="1" t="s">
        <v>91</v>
      </c>
      <c r="P1064" s="1" t="s">
        <v>92</v>
      </c>
      <c r="Q1064" s="1" t="s">
        <v>38</v>
      </c>
      <c r="R1064" s="1" t="s">
        <v>211</v>
      </c>
      <c r="S1064" s="3">
        <v>918039000000</v>
      </c>
      <c r="T1064" s="1" t="s">
        <v>40</v>
      </c>
      <c r="U1064" s="1">
        <v>90</v>
      </c>
      <c r="V1064" s="1">
        <v>75</v>
      </c>
      <c r="W1064" s="1" t="s">
        <v>52</v>
      </c>
      <c r="X1064" s="1">
        <v>326288</v>
      </c>
      <c r="Y1064" s="2">
        <v>38407</v>
      </c>
      <c r="Z1064" s="1">
        <v>15.1789737171464</v>
      </c>
      <c r="AA1064" s="1">
        <v>19</v>
      </c>
      <c r="AB1064" s="1">
        <v>676000</v>
      </c>
      <c r="AC1064" s="1">
        <f t="shared" si="16"/>
        <v>736000</v>
      </c>
    </row>
    <row r="1065" spans="1:29" x14ac:dyDescent="0.25">
      <c r="A1065" s="1" t="s">
        <v>212</v>
      </c>
      <c r="B1065" s="1" t="s">
        <v>213</v>
      </c>
      <c r="C1065" s="1" t="s">
        <v>214</v>
      </c>
      <c r="D1065" s="1">
        <v>2022</v>
      </c>
      <c r="E1065" s="1" t="s">
        <v>45</v>
      </c>
      <c r="F1065" s="1">
        <v>2</v>
      </c>
      <c r="G1065" s="1" t="s">
        <v>46</v>
      </c>
      <c r="H1065" s="1" t="s">
        <v>90</v>
      </c>
      <c r="I1065" s="1">
        <v>92000</v>
      </c>
      <c r="J1065" s="1">
        <v>77000</v>
      </c>
      <c r="K1065" s="1">
        <v>15000</v>
      </c>
      <c r="L1065" s="1">
        <v>0</v>
      </c>
      <c r="M1065" s="1" t="s">
        <v>34</v>
      </c>
      <c r="N1065" s="1" t="s">
        <v>35</v>
      </c>
      <c r="O1065" s="1" t="s">
        <v>71</v>
      </c>
      <c r="P1065" s="1" t="s">
        <v>72</v>
      </c>
      <c r="Q1065" s="1" t="s">
        <v>38</v>
      </c>
      <c r="R1065" s="1" t="s">
        <v>215</v>
      </c>
      <c r="S1065" s="3">
        <v>918817000000</v>
      </c>
      <c r="T1065" s="1" t="s">
        <v>51</v>
      </c>
      <c r="U1065" s="1">
        <v>90</v>
      </c>
      <c r="V1065" s="1">
        <v>84</v>
      </c>
      <c r="W1065" s="1" t="s">
        <v>52</v>
      </c>
      <c r="X1065" s="1">
        <v>700669</v>
      </c>
      <c r="Y1065" s="2">
        <v>35332</v>
      </c>
      <c r="Z1065" s="1">
        <v>15.1789737171464</v>
      </c>
      <c r="AA1065" s="1">
        <v>27</v>
      </c>
      <c r="AB1065" s="1">
        <v>184000</v>
      </c>
      <c r="AC1065" s="1">
        <f t="shared" si="16"/>
        <v>214000</v>
      </c>
    </row>
    <row r="1066" spans="1:29" x14ac:dyDescent="0.25">
      <c r="A1066" s="1" t="s">
        <v>276</v>
      </c>
      <c r="B1066" s="1" t="s">
        <v>277</v>
      </c>
      <c r="C1066" s="1" t="s">
        <v>278</v>
      </c>
      <c r="D1066" s="1">
        <v>2022</v>
      </c>
      <c r="E1066" s="1" t="s">
        <v>45</v>
      </c>
      <c r="F1066" s="1">
        <v>2</v>
      </c>
      <c r="G1066" s="1" t="s">
        <v>46</v>
      </c>
      <c r="H1066" s="1" t="s">
        <v>113</v>
      </c>
      <c r="I1066" s="1">
        <v>92000</v>
      </c>
      <c r="J1066" s="1">
        <v>77000</v>
      </c>
      <c r="K1066" s="1">
        <v>15000</v>
      </c>
      <c r="L1066" s="1">
        <v>0</v>
      </c>
      <c r="M1066" s="1" t="s">
        <v>34</v>
      </c>
      <c r="N1066" s="1" t="s">
        <v>63</v>
      </c>
      <c r="O1066" s="1" t="s">
        <v>78</v>
      </c>
      <c r="P1066" s="1" t="s">
        <v>79</v>
      </c>
      <c r="Q1066" s="1" t="s">
        <v>38</v>
      </c>
      <c r="R1066" s="1" t="s">
        <v>279</v>
      </c>
      <c r="S1066" s="3">
        <v>919488000000</v>
      </c>
      <c r="T1066" s="1" t="s">
        <v>86</v>
      </c>
      <c r="U1066" s="1">
        <v>90</v>
      </c>
      <c r="V1066" s="1">
        <v>89</v>
      </c>
      <c r="W1066" s="1" t="s">
        <v>52</v>
      </c>
      <c r="X1066" s="1">
        <v>510722</v>
      </c>
      <c r="Y1066" s="2">
        <v>36098</v>
      </c>
      <c r="Z1066" s="1">
        <v>15.1789737171464</v>
      </c>
      <c r="AA1066" s="1">
        <v>25</v>
      </c>
      <c r="AB1066" s="1">
        <v>184000</v>
      </c>
      <c r="AC1066" s="1">
        <f t="shared" si="16"/>
        <v>214000</v>
      </c>
    </row>
    <row r="1067" spans="1:29" x14ac:dyDescent="0.25">
      <c r="A1067" s="1" t="s">
        <v>300</v>
      </c>
      <c r="B1067" s="1" t="s">
        <v>301</v>
      </c>
      <c r="C1067" s="1" t="s">
        <v>302</v>
      </c>
      <c r="D1067" s="1">
        <v>2022</v>
      </c>
      <c r="E1067" s="1" t="s">
        <v>45</v>
      </c>
      <c r="F1067" s="1">
        <v>2</v>
      </c>
      <c r="G1067" s="1" t="s">
        <v>46</v>
      </c>
      <c r="H1067" s="1" t="s">
        <v>102</v>
      </c>
      <c r="I1067" s="1">
        <v>92000</v>
      </c>
      <c r="J1067" s="1">
        <v>77000</v>
      </c>
      <c r="K1067" s="1">
        <v>15000</v>
      </c>
      <c r="L1067" s="1">
        <v>0</v>
      </c>
      <c r="M1067" s="1" t="s">
        <v>34</v>
      </c>
      <c r="N1067" s="1" t="s">
        <v>70</v>
      </c>
      <c r="O1067" s="1" t="s">
        <v>188</v>
      </c>
      <c r="P1067" s="1" t="s">
        <v>189</v>
      </c>
      <c r="Q1067" s="1" t="s">
        <v>38</v>
      </c>
      <c r="R1067" s="1" t="s">
        <v>303</v>
      </c>
      <c r="S1067" s="3">
        <v>918076000000</v>
      </c>
      <c r="T1067" s="1" t="s">
        <v>86</v>
      </c>
      <c r="U1067" s="1">
        <v>89</v>
      </c>
      <c r="V1067" s="1">
        <v>71</v>
      </c>
      <c r="W1067" s="1" t="s">
        <v>52</v>
      </c>
      <c r="X1067" s="1">
        <v>363540</v>
      </c>
      <c r="Y1067" s="2">
        <v>36049</v>
      </c>
      <c r="Z1067" s="1">
        <v>14.1789737171464</v>
      </c>
      <c r="AA1067" s="1">
        <v>25</v>
      </c>
      <c r="AB1067" s="1">
        <v>184000</v>
      </c>
      <c r="AC1067" s="1">
        <f t="shared" si="16"/>
        <v>214000</v>
      </c>
    </row>
    <row r="1068" spans="1:29" x14ac:dyDescent="0.25">
      <c r="A1068" s="1" t="s">
        <v>308</v>
      </c>
      <c r="B1068" s="1" t="s">
        <v>309</v>
      </c>
      <c r="C1068" s="1" t="s">
        <v>310</v>
      </c>
      <c r="D1068" s="1">
        <v>2022</v>
      </c>
      <c r="E1068" s="1" t="s">
        <v>45</v>
      </c>
      <c r="F1068" s="1">
        <v>2</v>
      </c>
      <c r="G1068" s="1" t="s">
        <v>46</v>
      </c>
      <c r="H1068" s="1" t="s">
        <v>113</v>
      </c>
      <c r="I1068" s="1">
        <v>92000</v>
      </c>
      <c r="J1068" s="1">
        <v>77000</v>
      </c>
      <c r="K1068" s="1">
        <v>15000</v>
      </c>
      <c r="L1068" s="1">
        <v>0</v>
      </c>
      <c r="M1068" s="1" t="s">
        <v>34</v>
      </c>
      <c r="N1068" s="1" t="s">
        <v>70</v>
      </c>
      <c r="O1068" s="1" t="s">
        <v>103</v>
      </c>
      <c r="P1068" s="1" t="s">
        <v>104</v>
      </c>
      <c r="Q1068" s="1" t="s">
        <v>38</v>
      </c>
      <c r="R1068" s="1" t="s">
        <v>311</v>
      </c>
      <c r="S1068" s="3">
        <v>917528000000</v>
      </c>
      <c r="T1068" s="1" t="s">
        <v>74</v>
      </c>
      <c r="U1068" s="1">
        <v>89</v>
      </c>
      <c r="V1068" s="1">
        <v>77</v>
      </c>
      <c r="W1068" s="1" t="s">
        <v>52</v>
      </c>
      <c r="X1068" s="1">
        <v>542394</v>
      </c>
      <c r="Y1068" s="2">
        <v>37018</v>
      </c>
      <c r="Z1068" s="1">
        <v>14.1789737171464</v>
      </c>
      <c r="AA1068" s="1">
        <v>23</v>
      </c>
      <c r="AB1068" s="1">
        <v>184000</v>
      </c>
      <c r="AC1068" s="1">
        <f t="shared" si="16"/>
        <v>214000</v>
      </c>
    </row>
    <row r="1069" spans="1:29" x14ac:dyDescent="0.25">
      <c r="A1069" s="1" t="s">
        <v>316</v>
      </c>
      <c r="B1069" s="1" t="s">
        <v>317</v>
      </c>
      <c r="C1069" s="1" t="s">
        <v>318</v>
      </c>
      <c r="D1069" s="1">
        <v>2022</v>
      </c>
      <c r="E1069" s="1" t="s">
        <v>31</v>
      </c>
      <c r="F1069" s="1">
        <v>4</v>
      </c>
      <c r="G1069" s="1" t="s">
        <v>32</v>
      </c>
      <c r="H1069" s="1" t="s">
        <v>90</v>
      </c>
      <c r="I1069" s="1">
        <v>169000</v>
      </c>
      <c r="J1069" s="1">
        <v>154000</v>
      </c>
      <c r="K1069" s="1">
        <v>15000</v>
      </c>
      <c r="L1069" s="1">
        <v>0</v>
      </c>
      <c r="M1069" s="1" t="s">
        <v>34</v>
      </c>
      <c r="N1069" s="1" t="s">
        <v>63</v>
      </c>
      <c r="O1069" s="1" t="s">
        <v>48</v>
      </c>
      <c r="P1069" s="1" t="s">
        <v>49</v>
      </c>
      <c r="Q1069" s="1" t="s">
        <v>38</v>
      </c>
      <c r="R1069" s="1" t="s">
        <v>319</v>
      </c>
      <c r="S1069" s="3">
        <v>919115000000</v>
      </c>
      <c r="T1069" s="1" t="s">
        <v>74</v>
      </c>
      <c r="U1069" s="1">
        <v>89</v>
      </c>
      <c r="V1069" s="1">
        <v>68</v>
      </c>
      <c r="W1069" s="1" t="s">
        <v>41</v>
      </c>
      <c r="X1069" s="1">
        <v>719158</v>
      </c>
      <c r="Y1069" s="2">
        <v>38744</v>
      </c>
      <c r="Z1069" s="1">
        <v>14.1789737171464</v>
      </c>
      <c r="AA1069" s="1">
        <v>18</v>
      </c>
      <c r="AB1069" s="1">
        <v>676000</v>
      </c>
      <c r="AC1069" s="1">
        <f t="shared" si="16"/>
        <v>736000</v>
      </c>
    </row>
    <row r="1070" spans="1:29" x14ac:dyDescent="0.25">
      <c r="A1070" s="1" t="s">
        <v>356</v>
      </c>
      <c r="B1070" s="1" t="s">
        <v>357</v>
      </c>
      <c r="C1070" s="1" t="s">
        <v>358</v>
      </c>
      <c r="D1070" s="1">
        <v>2022</v>
      </c>
      <c r="E1070" s="1" t="s">
        <v>31</v>
      </c>
      <c r="F1070" s="1">
        <v>4</v>
      </c>
      <c r="G1070" s="1" t="s">
        <v>32</v>
      </c>
      <c r="H1070" s="1" t="s">
        <v>210</v>
      </c>
      <c r="I1070" s="1">
        <v>169000</v>
      </c>
      <c r="J1070" s="1">
        <v>154000</v>
      </c>
      <c r="K1070" s="1">
        <v>15000</v>
      </c>
      <c r="L1070" s="1">
        <v>0</v>
      </c>
      <c r="M1070" s="1" t="s">
        <v>34</v>
      </c>
      <c r="N1070" s="1" t="s">
        <v>70</v>
      </c>
      <c r="O1070" s="1" t="s">
        <v>57</v>
      </c>
      <c r="P1070" s="1" t="s">
        <v>57</v>
      </c>
      <c r="Q1070" s="1" t="s">
        <v>38</v>
      </c>
      <c r="R1070" s="1" t="s">
        <v>359</v>
      </c>
      <c r="S1070" s="3">
        <v>918416000000</v>
      </c>
      <c r="T1070" s="1" t="s">
        <v>74</v>
      </c>
      <c r="U1070" s="1">
        <v>89</v>
      </c>
      <c r="V1070" s="1">
        <v>88</v>
      </c>
      <c r="W1070" s="1" t="s">
        <v>52</v>
      </c>
      <c r="X1070" s="1">
        <v>721148</v>
      </c>
      <c r="Y1070" s="2">
        <v>38184</v>
      </c>
      <c r="Z1070" s="1">
        <v>14.1789737171464</v>
      </c>
      <c r="AA1070" s="1">
        <v>19</v>
      </c>
      <c r="AB1070" s="1">
        <v>676000</v>
      </c>
      <c r="AC1070" s="1">
        <f t="shared" si="16"/>
        <v>736000</v>
      </c>
    </row>
    <row r="1071" spans="1:29" x14ac:dyDescent="0.25">
      <c r="A1071" s="1" t="s">
        <v>420</v>
      </c>
      <c r="B1071" s="1" t="s">
        <v>421</v>
      </c>
      <c r="C1071" s="1" t="s">
        <v>422</v>
      </c>
      <c r="D1071" s="1">
        <v>2022</v>
      </c>
      <c r="E1071" s="1" t="s">
        <v>31</v>
      </c>
      <c r="F1071" s="1">
        <v>4</v>
      </c>
      <c r="G1071" s="1" t="s">
        <v>32</v>
      </c>
      <c r="H1071" s="1" t="s">
        <v>47</v>
      </c>
      <c r="I1071" s="1">
        <v>169000</v>
      </c>
      <c r="J1071" s="1">
        <v>154000</v>
      </c>
      <c r="K1071" s="1">
        <v>15000</v>
      </c>
      <c r="L1071" s="1">
        <v>0</v>
      </c>
      <c r="M1071" s="1" t="s">
        <v>34</v>
      </c>
      <c r="N1071" s="1" t="s">
        <v>63</v>
      </c>
      <c r="O1071" s="1" t="s">
        <v>84</v>
      </c>
      <c r="P1071" s="1" t="s">
        <v>65</v>
      </c>
      <c r="Q1071" s="1" t="s">
        <v>38</v>
      </c>
      <c r="R1071" s="1" t="s">
        <v>423</v>
      </c>
      <c r="S1071" s="3">
        <v>919203000000</v>
      </c>
      <c r="T1071" s="1" t="s">
        <v>98</v>
      </c>
      <c r="U1071" s="1">
        <v>89</v>
      </c>
      <c r="V1071" s="1">
        <v>68</v>
      </c>
      <c r="W1071" s="1" t="s">
        <v>41</v>
      </c>
      <c r="X1071" s="1">
        <v>252079</v>
      </c>
      <c r="Y1071" s="2">
        <v>36827</v>
      </c>
      <c r="Z1071" s="1">
        <v>14.1789737171464</v>
      </c>
      <c r="AA1071" s="1">
        <v>23</v>
      </c>
      <c r="AB1071" s="1">
        <v>676000</v>
      </c>
      <c r="AC1071" s="1">
        <f t="shared" si="16"/>
        <v>736000</v>
      </c>
    </row>
    <row r="1072" spans="1:29" x14ac:dyDescent="0.25">
      <c r="A1072" s="1" t="s">
        <v>468</v>
      </c>
      <c r="B1072" s="1" t="s">
        <v>469</v>
      </c>
      <c r="C1072" s="1" t="s">
        <v>470</v>
      </c>
      <c r="D1072" s="1">
        <v>2022</v>
      </c>
      <c r="E1072" s="1" t="s">
        <v>45</v>
      </c>
      <c r="F1072" s="1">
        <v>2</v>
      </c>
      <c r="G1072" s="1" t="s">
        <v>46</v>
      </c>
      <c r="H1072" s="1" t="s">
        <v>90</v>
      </c>
      <c r="I1072" s="1">
        <v>92000</v>
      </c>
      <c r="J1072" s="1">
        <v>77000</v>
      </c>
      <c r="K1072" s="1">
        <v>15000</v>
      </c>
      <c r="L1072" s="1">
        <v>0</v>
      </c>
      <c r="M1072" s="1" t="s">
        <v>5649</v>
      </c>
      <c r="N1072" s="1" t="s">
        <v>63</v>
      </c>
      <c r="O1072" s="1" t="s">
        <v>71</v>
      </c>
      <c r="P1072" s="1" t="s">
        <v>72</v>
      </c>
      <c r="Q1072" s="1" t="s">
        <v>38</v>
      </c>
      <c r="R1072" s="1" t="s">
        <v>471</v>
      </c>
      <c r="S1072" s="3">
        <v>917883000000</v>
      </c>
      <c r="T1072" s="1" t="s">
        <v>51</v>
      </c>
      <c r="U1072" s="1">
        <v>88</v>
      </c>
      <c r="V1072" s="1">
        <v>77</v>
      </c>
      <c r="W1072" s="1" t="s">
        <v>52</v>
      </c>
      <c r="X1072" s="1">
        <v>631049</v>
      </c>
      <c r="Y1072" s="2">
        <v>36904</v>
      </c>
      <c r="Z1072" s="1">
        <v>13.1789737171464</v>
      </c>
      <c r="AA1072" s="1">
        <v>23</v>
      </c>
      <c r="AB1072" s="1">
        <v>184000</v>
      </c>
      <c r="AC1072" s="1">
        <f t="shared" si="16"/>
        <v>214000</v>
      </c>
    </row>
    <row r="1073" spans="1:29" x14ac:dyDescent="0.25">
      <c r="A1073" s="1" t="s">
        <v>504</v>
      </c>
      <c r="B1073" s="1" t="s">
        <v>505</v>
      </c>
      <c r="C1073" s="1" t="s">
        <v>506</v>
      </c>
      <c r="D1073" s="1">
        <v>2022</v>
      </c>
      <c r="E1073" s="1" t="s">
        <v>31</v>
      </c>
      <c r="F1073" s="1">
        <v>4</v>
      </c>
      <c r="G1073" s="1" t="s">
        <v>32</v>
      </c>
      <c r="H1073" s="1" t="s">
        <v>33</v>
      </c>
      <c r="I1073" s="1">
        <v>169000</v>
      </c>
      <c r="J1073" s="1">
        <v>154000</v>
      </c>
      <c r="K1073" s="1">
        <v>15000</v>
      </c>
      <c r="L1073" s="1">
        <v>0</v>
      </c>
      <c r="M1073" s="1" t="s">
        <v>34</v>
      </c>
      <c r="N1073" s="1" t="s">
        <v>70</v>
      </c>
      <c r="O1073" s="1" t="s">
        <v>188</v>
      </c>
      <c r="P1073" s="1" t="s">
        <v>189</v>
      </c>
      <c r="Q1073" s="1" t="s">
        <v>38</v>
      </c>
      <c r="R1073" s="1" t="s">
        <v>507</v>
      </c>
      <c r="S1073" s="3">
        <v>919927000000</v>
      </c>
      <c r="T1073" s="1" t="s">
        <v>74</v>
      </c>
      <c r="U1073" s="1">
        <v>88</v>
      </c>
      <c r="V1073" s="1">
        <v>70</v>
      </c>
      <c r="W1073" s="1" t="s">
        <v>52</v>
      </c>
      <c r="X1073" s="1">
        <v>466909</v>
      </c>
      <c r="Y1073" s="2">
        <v>36864</v>
      </c>
      <c r="Z1073" s="1">
        <v>13.1789737171464</v>
      </c>
      <c r="AA1073" s="1">
        <v>23</v>
      </c>
      <c r="AB1073" s="1">
        <v>676000</v>
      </c>
      <c r="AC1073" s="1">
        <f t="shared" si="16"/>
        <v>736000</v>
      </c>
    </row>
    <row r="1074" spans="1:29" x14ac:dyDescent="0.25">
      <c r="A1074" s="1" t="s">
        <v>514</v>
      </c>
      <c r="B1074" s="1" t="s">
        <v>515</v>
      </c>
      <c r="C1074" s="1" t="s">
        <v>516</v>
      </c>
      <c r="D1074" s="1">
        <v>2022</v>
      </c>
      <c r="E1074" s="1" t="s">
        <v>31</v>
      </c>
      <c r="F1074" s="1">
        <v>4</v>
      </c>
      <c r="G1074" s="1" t="s">
        <v>32</v>
      </c>
      <c r="H1074" s="1" t="s">
        <v>62</v>
      </c>
      <c r="I1074" s="1">
        <v>169000</v>
      </c>
      <c r="J1074" s="1">
        <v>154000</v>
      </c>
      <c r="K1074" s="1">
        <v>15000</v>
      </c>
      <c r="L1074" s="1">
        <v>0</v>
      </c>
      <c r="M1074" s="1" t="s">
        <v>34</v>
      </c>
      <c r="N1074" s="1" t="s">
        <v>35</v>
      </c>
      <c r="O1074" s="1" t="s">
        <v>78</v>
      </c>
      <c r="P1074" s="1" t="s">
        <v>79</v>
      </c>
      <c r="Q1074" s="1" t="s">
        <v>38</v>
      </c>
      <c r="R1074" s="1" t="s">
        <v>517</v>
      </c>
      <c r="S1074" s="3">
        <v>918986000000</v>
      </c>
      <c r="T1074" s="1" t="s">
        <v>86</v>
      </c>
      <c r="U1074" s="1">
        <v>88</v>
      </c>
      <c r="V1074" s="1">
        <v>69</v>
      </c>
      <c r="W1074" s="1" t="s">
        <v>52</v>
      </c>
      <c r="X1074" s="1">
        <v>450979</v>
      </c>
      <c r="Y1074" s="2">
        <v>37142</v>
      </c>
      <c r="Z1074" s="1">
        <v>13.1789737171464</v>
      </c>
      <c r="AA1074" s="1">
        <v>22</v>
      </c>
      <c r="AB1074" s="1">
        <v>676000</v>
      </c>
      <c r="AC1074" s="1">
        <f t="shared" si="16"/>
        <v>736000</v>
      </c>
    </row>
    <row r="1075" spans="1:29" x14ac:dyDescent="0.25">
      <c r="A1075" s="1" t="s">
        <v>522</v>
      </c>
      <c r="B1075" s="1" t="s">
        <v>523</v>
      </c>
      <c r="C1075" s="1" t="s">
        <v>524</v>
      </c>
      <c r="D1075" s="1">
        <v>2022</v>
      </c>
      <c r="E1075" s="1" t="s">
        <v>45</v>
      </c>
      <c r="F1075" s="1">
        <v>2</v>
      </c>
      <c r="G1075" s="1" t="s">
        <v>46</v>
      </c>
      <c r="H1075" s="1" t="s">
        <v>113</v>
      </c>
      <c r="I1075" s="1">
        <v>92000</v>
      </c>
      <c r="J1075" s="1">
        <v>77000</v>
      </c>
      <c r="K1075" s="1">
        <v>15000</v>
      </c>
      <c r="L1075" s="1">
        <v>0</v>
      </c>
      <c r="M1075" s="1" t="s">
        <v>34</v>
      </c>
      <c r="N1075" s="1" t="s">
        <v>70</v>
      </c>
      <c r="O1075" s="1" t="s">
        <v>71</v>
      </c>
      <c r="P1075" s="1" t="s">
        <v>72</v>
      </c>
      <c r="Q1075" s="1" t="s">
        <v>38</v>
      </c>
      <c r="R1075" s="1" t="s">
        <v>525</v>
      </c>
      <c r="S1075" s="3">
        <v>917457000000</v>
      </c>
      <c r="T1075" s="1" t="s">
        <v>40</v>
      </c>
      <c r="U1075" s="1">
        <v>88</v>
      </c>
      <c r="V1075" s="1">
        <v>91</v>
      </c>
      <c r="W1075" s="1" t="s">
        <v>52</v>
      </c>
      <c r="X1075" s="1">
        <v>452295</v>
      </c>
      <c r="Y1075" s="2">
        <v>36072</v>
      </c>
      <c r="Z1075" s="1">
        <v>13.1789737171464</v>
      </c>
      <c r="AA1075" s="1">
        <v>25</v>
      </c>
      <c r="AB1075" s="1">
        <v>184000</v>
      </c>
      <c r="AC1075" s="1">
        <f t="shared" si="16"/>
        <v>214000</v>
      </c>
    </row>
    <row r="1076" spans="1:29" x14ac:dyDescent="0.25">
      <c r="A1076" s="1" t="s">
        <v>546</v>
      </c>
      <c r="B1076" s="1" t="s">
        <v>547</v>
      </c>
      <c r="C1076" s="1" t="s">
        <v>548</v>
      </c>
      <c r="D1076" s="1">
        <v>2022</v>
      </c>
      <c r="E1076" s="1" t="s">
        <v>31</v>
      </c>
      <c r="F1076" s="1">
        <v>4</v>
      </c>
      <c r="G1076" s="1" t="s">
        <v>32</v>
      </c>
      <c r="H1076" s="1" t="s">
        <v>210</v>
      </c>
      <c r="I1076" s="1">
        <v>169000</v>
      </c>
      <c r="J1076" s="1">
        <v>154000</v>
      </c>
      <c r="K1076" s="1">
        <v>15000</v>
      </c>
      <c r="L1076" s="1">
        <v>0</v>
      </c>
      <c r="M1076" s="1" t="s">
        <v>34</v>
      </c>
      <c r="N1076" s="1" t="s">
        <v>70</v>
      </c>
      <c r="O1076" s="1" t="s">
        <v>103</v>
      </c>
      <c r="P1076" s="1" t="s">
        <v>104</v>
      </c>
      <c r="Q1076" s="1" t="s">
        <v>38</v>
      </c>
      <c r="R1076" s="1" t="s">
        <v>549</v>
      </c>
      <c r="S1076" s="3">
        <v>917372000000</v>
      </c>
      <c r="T1076" s="1" t="s">
        <v>40</v>
      </c>
      <c r="U1076" s="1">
        <v>88</v>
      </c>
      <c r="V1076" s="1">
        <v>70</v>
      </c>
      <c r="W1076" s="1" t="s">
        <v>52</v>
      </c>
      <c r="X1076" s="1">
        <v>271667</v>
      </c>
      <c r="Y1076" s="2">
        <v>37372</v>
      </c>
      <c r="Z1076" s="1">
        <v>13.1789737171464</v>
      </c>
      <c r="AA1076" s="1">
        <v>22</v>
      </c>
      <c r="AB1076" s="1">
        <v>676000</v>
      </c>
      <c r="AC1076" s="1">
        <f t="shared" si="16"/>
        <v>736000</v>
      </c>
    </row>
    <row r="1077" spans="1:29" x14ac:dyDescent="0.25">
      <c r="A1077" s="1" t="s">
        <v>590</v>
      </c>
      <c r="B1077" s="1" t="s">
        <v>591</v>
      </c>
      <c r="C1077" s="1" t="s">
        <v>592</v>
      </c>
      <c r="D1077" s="1">
        <v>2022</v>
      </c>
      <c r="E1077" s="1" t="s">
        <v>31</v>
      </c>
      <c r="F1077" s="1">
        <v>4</v>
      </c>
      <c r="G1077" s="1" t="s">
        <v>32</v>
      </c>
      <c r="H1077" s="1" t="s">
        <v>90</v>
      </c>
      <c r="I1077" s="1">
        <v>169000</v>
      </c>
      <c r="J1077" s="1">
        <v>154000</v>
      </c>
      <c r="K1077" s="1">
        <v>15000</v>
      </c>
      <c r="L1077" s="1">
        <v>0</v>
      </c>
      <c r="M1077" s="1" t="s">
        <v>34</v>
      </c>
      <c r="N1077" s="1" t="s">
        <v>63</v>
      </c>
      <c r="O1077" s="1" t="s">
        <v>64</v>
      </c>
      <c r="P1077" s="1" t="s">
        <v>65</v>
      </c>
      <c r="Q1077" s="1" t="s">
        <v>38</v>
      </c>
      <c r="R1077" s="1" t="s">
        <v>593</v>
      </c>
      <c r="S1077" s="3">
        <v>918077000000</v>
      </c>
      <c r="T1077" s="1" t="s">
        <v>98</v>
      </c>
      <c r="U1077" s="1">
        <v>88</v>
      </c>
      <c r="V1077" s="1">
        <v>65</v>
      </c>
      <c r="W1077" s="1" t="s">
        <v>52</v>
      </c>
      <c r="X1077" s="1">
        <v>353820</v>
      </c>
      <c r="Y1077" s="2">
        <v>38098</v>
      </c>
      <c r="Z1077" s="1">
        <v>13.1789737171464</v>
      </c>
      <c r="AA1077" s="1">
        <v>20</v>
      </c>
      <c r="AB1077" s="1">
        <v>676000</v>
      </c>
      <c r="AC1077" s="1">
        <f t="shared" si="16"/>
        <v>736000</v>
      </c>
    </row>
    <row r="1078" spans="1:29" x14ac:dyDescent="0.25">
      <c r="A1078" s="1" t="s">
        <v>618</v>
      </c>
      <c r="B1078" s="1" t="s">
        <v>619</v>
      </c>
      <c r="C1078" s="1" t="s">
        <v>620</v>
      </c>
      <c r="D1078" s="1">
        <v>2022</v>
      </c>
      <c r="E1078" s="1" t="s">
        <v>31</v>
      </c>
      <c r="F1078" s="1">
        <v>4</v>
      </c>
      <c r="G1078" s="1" t="s">
        <v>32</v>
      </c>
      <c r="H1078" s="1" t="s">
        <v>151</v>
      </c>
      <c r="I1078" s="1">
        <v>169000</v>
      </c>
      <c r="J1078" s="1">
        <v>154000</v>
      </c>
      <c r="K1078" s="1">
        <v>15000</v>
      </c>
      <c r="L1078" s="1">
        <v>0</v>
      </c>
      <c r="M1078" s="1" t="s">
        <v>34</v>
      </c>
      <c r="N1078" s="1" t="s">
        <v>63</v>
      </c>
      <c r="O1078" s="1" t="s">
        <v>57</v>
      </c>
      <c r="P1078" s="1" t="s">
        <v>57</v>
      </c>
      <c r="Q1078" s="1" t="s">
        <v>38</v>
      </c>
      <c r="R1078" s="1" t="s">
        <v>621</v>
      </c>
      <c r="S1078" s="3">
        <v>919251000000</v>
      </c>
      <c r="T1078" s="1" t="s">
        <v>98</v>
      </c>
      <c r="U1078" s="1">
        <v>88</v>
      </c>
      <c r="V1078" s="1">
        <v>63</v>
      </c>
      <c r="W1078" s="1" t="s">
        <v>52</v>
      </c>
      <c r="X1078" s="1">
        <v>684673</v>
      </c>
      <c r="Y1078" s="2">
        <v>37762</v>
      </c>
      <c r="Z1078" s="1">
        <v>13.1789737171464</v>
      </c>
      <c r="AA1078" s="1">
        <v>21</v>
      </c>
      <c r="AB1078" s="1">
        <v>676000</v>
      </c>
      <c r="AC1078" s="1">
        <f t="shared" si="16"/>
        <v>736000</v>
      </c>
    </row>
    <row r="1079" spans="1:29" x14ac:dyDescent="0.25">
      <c r="A1079" s="1" t="s">
        <v>626</v>
      </c>
      <c r="B1079" s="1" t="s">
        <v>627</v>
      </c>
      <c r="C1079" s="1" t="s">
        <v>628</v>
      </c>
      <c r="D1079" s="1">
        <v>2022</v>
      </c>
      <c r="E1079" s="1" t="s">
        <v>31</v>
      </c>
      <c r="F1079" s="1">
        <v>4</v>
      </c>
      <c r="G1079" s="1" t="s">
        <v>32</v>
      </c>
      <c r="H1079" s="1" t="s">
        <v>210</v>
      </c>
      <c r="I1079" s="1">
        <v>169000</v>
      </c>
      <c r="J1079" s="1">
        <v>154000</v>
      </c>
      <c r="K1079" s="1">
        <v>15000</v>
      </c>
      <c r="L1079" s="1">
        <v>0</v>
      </c>
      <c r="M1079" s="1" t="s">
        <v>34</v>
      </c>
      <c r="N1079" s="1" t="s">
        <v>35</v>
      </c>
      <c r="O1079" s="1" t="s">
        <v>48</v>
      </c>
      <c r="P1079" s="1" t="s">
        <v>49</v>
      </c>
      <c r="Q1079" s="1" t="s">
        <v>38</v>
      </c>
      <c r="R1079" s="1" t="s">
        <v>629</v>
      </c>
      <c r="S1079" s="3">
        <v>917144000000</v>
      </c>
      <c r="T1079" s="1" t="s">
        <v>74</v>
      </c>
      <c r="U1079" s="1">
        <v>88</v>
      </c>
      <c r="V1079" s="1">
        <v>85</v>
      </c>
      <c r="W1079" s="1" t="s">
        <v>41</v>
      </c>
      <c r="X1079" s="1">
        <v>599115</v>
      </c>
      <c r="Y1079" s="2">
        <v>37459</v>
      </c>
      <c r="Z1079" s="1">
        <v>13.1789737171464</v>
      </c>
      <c r="AA1079" s="1">
        <v>21</v>
      </c>
      <c r="AB1079" s="1">
        <v>676000</v>
      </c>
      <c r="AC1079" s="1">
        <f t="shared" si="16"/>
        <v>736000</v>
      </c>
    </row>
    <row r="1080" spans="1:29" x14ac:dyDescent="0.25">
      <c r="A1080" s="1" t="s">
        <v>648</v>
      </c>
      <c r="B1080" s="1" t="s">
        <v>649</v>
      </c>
      <c r="C1080" s="1" t="s">
        <v>650</v>
      </c>
      <c r="D1080" s="1">
        <v>2022</v>
      </c>
      <c r="E1080" s="1" t="s">
        <v>31</v>
      </c>
      <c r="F1080" s="1">
        <v>4</v>
      </c>
      <c r="G1080" s="1" t="s">
        <v>32</v>
      </c>
      <c r="H1080" s="1" t="s">
        <v>151</v>
      </c>
      <c r="I1080" s="1">
        <v>169000</v>
      </c>
      <c r="J1080" s="1">
        <v>154000</v>
      </c>
      <c r="K1080" s="1">
        <v>15000</v>
      </c>
      <c r="L1080" s="1">
        <v>0</v>
      </c>
      <c r="M1080" s="1" t="s">
        <v>34</v>
      </c>
      <c r="N1080" s="1" t="s">
        <v>63</v>
      </c>
      <c r="O1080" s="1" t="s">
        <v>84</v>
      </c>
      <c r="P1080" s="1" t="s">
        <v>65</v>
      </c>
      <c r="Q1080" s="1" t="s">
        <v>38</v>
      </c>
      <c r="R1080" s="1" t="s">
        <v>651</v>
      </c>
      <c r="S1080" s="3">
        <v>919503000000</v>
      </c>
      <c r="T1080" s="1" t="s">
        <v>51</v>
      </c>
      <c r="U1080" s="1">
        <v>87</v>
      </c>
      <c r="V1080" s="1">
        <v>86</v>
      </c>
      <c r="W1080" s="1" t="s">
        <v>41</v>
      </c>
      <c r="X1080" s="1">
        <v>110771</v>
      </c>
      <c r="Y1080" s="2">
        <v>37169</v>
      </c>
      <c r="Z1080" s="1">
        <v>12.1789737171464</v>
      </c>
      <c r="AA1080" s="1">
        <v>22</v>
      </c>
      <c r="AB1080" s="1">
        <v>676000</v>
      </c>
      <c r="AC1080" s="1">
        <f t="shared" si="16"/>
        <v>736000</v>
      </c>
    </row>
    <row r="1081" spans="1:29" x14ac:dyDescent="0.25">
      <c r="A1081" s="1" t="s">
        <v>676</v>
      </c>
      <c r="B1081" s="1" t="s">
        <v>677</v>
      </c>
      <c r="C1081" s="1" t="s">
        <v>678</v>
      </c>
      <c r="D1081" s="1">
        <v>2022</v>
      </c>
      <c r="E1081" s="1" t="s">
        <v>31</v>
      </c>
      <c r="F1081" s="1">
        <v>4</v>
      </c>
      <c r="G1081" s="1" t="s">
        <v>32</v>
      </c>
      <c r="H1081" s="1" t="s">
        <v>102</v>
      </c>
      <c r="I1081" s="1">
        <v>169000</v>
      </c>
      <c r="J1081" s="1">
        <v>154000</v>
      </c>
      <c r="K1081" s="1">
        <v>15000</v>
      </c>
      <c r="L1081" s="1">
        <v>0</v>
      </c>
      <c r="M1081" s="1" t="s">
        <v>34</v>
      </c>
      <c r="N1081" s="1" t="s">
        <v>70</v>
      </c>
      <c r="O1081" s="1" t="s">
        <v>36</v>
      </c>
      <c r="P1081" s="1" t="s">
        <v>37</v>
      </c>
      <c r="Q1081" s="1" t="s">
        <v>38</v>
      </c>
      <c r="R1081" s="1" t="s">
        <v>679</v>
      </c>
      <c r="S1081" s="3">
        <v>917162000000</v>
      </c>
      <c r="T1081" s="1" t="s">
        <v>40</v>
      </c>
      <c r="U1081" s="1">
        <v>87</v>
      </c>
      <c r="V1081" s="1">
        <v>76</v>
      </c>
      <c r="W1081" s="1" t="s">
        <v>52</v>
      </c>
      <c r="X1081" s="1">
        <v>626996</v>
      </c>
      <c r="Y1081" s="2">
        <v>38560</v>
      </c>
      <c r="Z1081" s="1">
        <v>12.1789737171464</v>
      </c>
      <c r="AA1081" s="1">
        <v>18</v>
      </c>
      <c r="AB1081" s="1">
        <v>676000</v>
      </c>
      <c r="AC1081" s="1">
        <f t="shared" si="16"/>
        <v>736000</v>
      </c>
    </row>
    <row r="1082" spans="1:29" x14ac:dyDescent="0.25">
      <c r="A1082" s="1" t="s">
        <v>712</v>
      </c>
      <c r="B1082" s="1" t="s">
        <v>713</v>
      </c>
      <c r="C1082" s="1" t="s">
        <v>714</v>
      </c>
      <c r="D1082" s="1">
        <v>2022</v>
      </c>
      <c r="E1082" s="1" t="s">
        <v>31</v>
      </c>
      <c r="F1082" s="1">
        <v>4</v>
      </c>
      <c r="G1082" s="1" t="s">
        <v>32</v>
      </c>
      <c r="H1082" s="1" t="s">
        <v>113</v>
      </c>
      <c r="I1082" s="1">
        <v>169000</v>
      </c>
      <c r="J1082" s="1">
        <v>154000</v>
      </c>
      <c r="K1082" s="1">
        <v>15000</v>
      </c>
      <c r="L1082" s="1">
        <v>0</v>
      </c>
      <c r="M1082" s="1" t="s">
        <v>34</v>
      </c>
      <c r="N1082" s="1" t="s">
        <v>35</v>
      </c>
      <c r="O1082" s="1" t="s">
        <v>64</v>
      </c>
      <c r="P1082" s="1" t="s">
        <v>65</v>
      </c>
      <c r="Q1082" s="1" t="s">
        <v>38</v>
      </c>
      <c r="R1082" s="1" t="s">
        <v>715</v>
      </c>
      <c r="S1082" s="3">
        <v>919530000000</v>
      </c>
      <c r="T1082" s="1" t="s">
        <v>98</v>
      </c>
      <c r="U1082" s="1">
        <v>87</v>
      </c>
      <c r="V1082" s="1">
        <v>74</v>
      </c>
      <c r="W1082" s="1" t="s">
        <v>52</v>
      </c>
      <c r="X1082" s="1">
        <v>672025</v>
      </c>
      <c r="Y1082" s="2">
        <v>38896</v>
      </c>
      <c r="Z1082" s="1">
        <v>12.1789737171464</v>
      </c>
      <c r="AA1082" s="1">
        <v>18</v>
      </c>
      <c r="AB1082" s="1">
        <v>676000</v>
      </c>
      <c r="AC1082" s="1">
        <f t="shared" si="16"/>
        <v>736000</v>
      </c>
    </row>
    <row r="1083" spans="1:29" x14ac:dyDescent="0.25">
      <c r="A1083" s="1" t="s">
        <v>720</v>
      </c>
      <c r="B1083" s="1" t="s">
        <v>149</v>
      </c>
      <c r="C1083" s="1" t="s">
        <v>150</v>
      </c>
      <c r="D1083" s="1">
        <v>2022</v>
      </c>
      <c r="E1083" s="1" t="s">
        <v>45</v>
      </c>
      <c r="F1083" s="1">
        <v>2</v>
      </c>
      <c r="G1083" s="1" t="s">
        <v>46</v>
      </c>
      <c r="H1083" s="1" t="s">
        <v>33</v>
      </c>
      <c r="I1083" s="1">
        <v>92000</v>
      </c>
      <c r="J1083" s="1">
        <v>77000</v>
      </c>
      <c r="K1083" s="1">
        <v>15000</v>
      </c>
      <c r="L1083" s="1">
        <v>0</v>
      </c>
      <c r="M1083" s="1" t="s">
        <v>34</v>
      </c>
      <c r="N1083" s="1" t="s">
        <v>63</v>
      </c>
      <c r="O1083" s="1" t="s">
        <v>36</v>
      </c>
      <c r="P1083" s="1" t="s">
        <v>37</v>
      </c>
      <c r="Q1083" s="1" t="s">
        <v>38</v>
      </c>
      <c r="R1083" s="1" t="s">
        <v>721</v>
      </c>
      <c r="S1083" s="3">
        <v>918411000000</v>
      </c>
      <c r="T1083" s="1" t="s">
        <v>98</v>
      </c>
      <c r="U1083" s="1">
        <v>87</v>
      </c>
      <c r="V1083" s="1">
        <v>83</v>
      </c>
      <c r="W1083" s="1" t="s">
        <v>41</v>
      </c>
      <c r="X1083" s="1">
        <v>608016</v>
      </c>
      <c r="Y1083" s="2">
        <v>37149</v>
      </c>
      <c r="Z1083" s="1">
        <v>12.1789737171464</v>
      </c>
      <c r="AA1083" s="1">
        <v>22</v>
      </c>
      <c r="AB1083" s="1">
        <v>184000</v>
      </c>
      <c r="AC1083" s="1">
        <f t="shared" si="16"/>
        <v>214000</v>
      </c>
    </row>
    <row r="1084" spans="1:29" x14ac:dyDescent="0.25">
      <c r="A1084" s="1" t="s">
        <v>730</v>
      </c>
      <c r="B1084" s="1" t="s">
        <v>731</v>
      </c>
      <c r="C1084" s="1" t="s">
        <v>732</v>
      </c>
      <c r="D1084" s="1">
        <v>2022</v>
      </c>
      <c r="E1084" s="1" t="s">
        <v>31</v>
      </c>
      <c r="F1084" s="1">
        <v>4</v>
      </c>
      <c r="G1084" s="1" t="s">
        <v>32</v>
      </c>
      <c r="H1084" s="1" t="s">
        <v>33</v>
      </c>
      <c r="I1084" s="1">
        <v>169000</v>
      </c>
      <c r="J1084" s="1">
        <v>154000</v>
      </c>
      <c r="K1084" s="1">
        <v>15000</v>
      </c>
      <c r="L1084" s="1">
        <v>0</v>
      </c>
      <c r="M1084" s="1" t="s">
        <v>34</v>
      </c>
      <c r="N1084" s="1" t="s">
        <v>35</v>
      </c>
      <c r="O1084" s="1" t="s">
        <v>48</v>
      </c>
      <c r="P1084" s="1" t="s">
        <v>49</v>
      </c>
      <c r="Q1084" s="1" t="s">
        <v>38</v>
      </c>
      <c r="R1084" s="1" t="s">
        <v>733</v>
      </c>
      <c r="S1084" s="3">
        <v>917331000000</v>
      </c>
      <c r="T1084" s="1" t="s">
        <v>98</v>
      </c>
      <c r="U1084" s="1">
        <v>87</v>
      </c>
      <c r="V1084" s="1">
        <v>64</v>
      </c>
      <c r="W1084" s="1" t="s">
        <v>41</v>
      </c>
      <c r="X1084" s="1">
        <v>452733</v>
      </c>
      <c r="Y1084" s="2">
        <v>37463</v>
      </c>
      <c r="Z1084" s="1">
        <v>12.1789737171464</v>
      </c>
      <c r="AA1084" s="1">
        <v>21</v>
      </c>
      <c r="AB1084" s="1">
        <v>676000</v>
      </c>
      <c r="AC1084" s="1">
        <f t="shared" si="16"/>
        <v>736000</v>
      </c>
    </row>
    <row r="1085" spans="1:29" x14ac:dyDescent="0.25">
      <c r="A1085" s="1" t="s">
        <v>738</v>
      </c>
      <c r="B1085" s="1" t="s">
        <v>739</v>
      </c>
      <c r="C1085" s="1" t="s">
        <v>740</v>
      </c>
      <c r="D1085" s="1">
        <v>2022</v>
      </c>
      <c r="E1085" s="1" t="s">
        <v>31</v>
      </c>
      <c r="F1085" s="1">
        <v>4</v>
      </c>
      <c r="G1085" s="1" t="s">
        <v>32</v>
      </c>
      <c r="H1085" s="1" t="s">
        <v>113</v>
      </c>
      <c r="I1085" s="1">
        <v>169000</v>
      </c>
      <c r="J1085" s="1">
        <v>154000</v>
      </c>
      <c r="K1085" s="1">
        <v>15000</v>
      </c>
      <c r="L1085" s="1">
        <v>0</v>
      </c>
      <c r="M1085" s="1" t="s">
        <v>34</v>
      </c>
      <c r="N1085" s="1" t="s">
        <v>70</v>
      </c>
      <c r="O1085" s="1" t="s">
        <v>91</v>
      </c>
      <c r="P1085" s="1" t="s">
        <v>92</v>
      </c>
      <c r="Q1085" s="1" t="s">
        <v>38</v>
      </c>
      <c r="R1085" s="1" t="s">
        <v>741</v>
      </c>
      <c r="S1085" s="3">
        <v>919416000000</v>
      </c>
      <c r="T1085" s="1" t="s">
        <v>40</v>
      </c>
      <c r="U1085" s="1">
        <v>87</v>
      </c>
      <c r="V1085" s="1">
        <v>88</v>
      </c>
      <c r="W1085" s="1" t="s">
        <v>52</v>
      </c>
      <c r="X1085" s="1">
        <v>748814</v>
      </c>
      <c r="Y1085" s="2">
        <v>37512</v>
      </c>
      <c r="Z1085" s="1">
        <v>12.1789737171464</v>
      </c>
      <c r="AA1085" s="1">
        <v>21</v>
      </c>
      <c r="AB1085" s="1">
        <v>676000</v>
      </c>
      <c r="AC1085" s="1">
        <f t="shared" si="16"/>
        <v>736000</v>
      </c>
    </row>
    <row r="1086" spans="1:29" x14ac:dyDescent="0.25">
      <c r="A1086" s="1" t="s">
        <v>766</v>
      </c>
      <c r="B1086" s="1" t="s">
        <v>767</v>
      </c>
      <c r="C1086" s="1" t="s">
        <v>768</v>
      </c>
      <c r="D1086" s="1">
        <v>2022</v>
      </c>
      <c r="E1086" s="1" t="s">
        <v>45</v>
      </c>
      <c r="F1086" s="1">
        <v>2</v>
      </c>
      <c r="G1086" s="1" t="s">
        <v>46</v>
      </c>
      <c r="H1086" s="1" t="s">
        <v>90</v>
      </c>
      <c r="I1086" s="1">
        <v>92000</v>
      </c>
      <c r="J1086" s="1">
        <v>77000</v>
      </c>
      <c r="K1086" s="1">
        <v>15000</v>
      </c>
      <c r="L1086" s="1">
        <v>0</v>
      </c>
      <c r="M1086" s="1" t="s">
        <v>5649</v>
      </c>
      <c r="N1086" s="1" t="s">
        <v>63</v>
      </c>
      <c r="O1086" s="1" t="s">
        <v>71</v>
      </c>
      <c r="P1086" s="1" t="s">
        <v>72</v>
      </c>
      <c r="Q1086" s="1" t="s">
        <v>38</v>
      </c>
      <c r="R1086" s="1" t="s">
        <v>769</v>
      </c>
      <c r="S1086" s="3">
        <v>919797000000</v>
      </c>
      <c r="T1086" s="1" t="s">
        <v>40</v>
      </c>
      <c r="U1086" s="1">
        <v>87</v>
      </c>
      <c r="V1086" s="1">
        <v>87</v>
      </c>
      <c r="W1086" s="1" t="s">
        <v>41</v>
      </c>
      <c r="X1086" s="1">
        <v>729278</v>
      </c>
      <c r="Y1086" s="2">
        <v>35279</v>
      </c>
      <c r="Z1086" s="1">
        <v>12.1789737171464</v>
      </c>
      <c r="AA1086" s="1">
        <v>27</v>
      </c>
      <c r="AB1086" s="1">
        <v>184000</v>
      </c>
      <c r="AC1086" s="1">
        <f t="shared" si="16"/>
        <v>214000</v>
      </c>
    </row>
    <row r="1087" spans="1:29" x14ac:dyDescent="0.25">
      <c r="A1087" s="1" t="s">
        <v>770</v>
      </c>
      <c r="B1087" s="1" t="s">
        <v>771</v>
      </c>
      <c r="C1087" s="1" t="s">
        <v>772</v>
      </c>
      <c r="D1087" s="1">
        <v>2022</v>
      </c>
      <c r="E1087" s="1" t="s">
        <v>31</v>
      </c>
      <c r="F1087" s="1">
        <v>4</v>
      </c>
      <c r="G1087" s="1" t="s">
        <v>32</v>
      </c>
      <c r="H1087" s="1" t="s">
        <v>56</v>
      </c>
      <c r="I1087" s="1">
        <v>169000</v>
      </c>
      <c r="J1087" s="1">
        <v>154000</v>
      </c>
      <c r="K1087" s="1">
        <v>15000</v>
      </c>
      <c r="L1087" s="1">
        <v>0</v>
      </c>
      <c r="M1087" s="1" t="s">
        <v>5649</v>
      </c>
      <c r="N1087" s="1" t="s">
        <v>35</v>
      </c>
      <c r="O1087" s="1" t="s">
        <v>57</v>
      </c>
      <c r="P1087" s="1" t="s">
        <v>57</v>
      </c>
      <c r="Q1087" s="1" t="s">
        <v>38</v>
      </c>
      <c r="R1087" s="1" t="s">
        <v>773</v>
      </c>
      <c r="S1087" s="3">
        <v>917338000000</v>
      </c>
      <c r="T1087" s="1" t="s">
        <v>86</v>
      </c>
      <c r="U1087" s="1">
        <v>87</v>
      </c>
      <c r="V1087" s="1">
        <v>81</v>
      </c>
      <c r="W1087" s="1" t="s">
        <v>52</v>
      </c>
      <c r="X1087" s="1">
        <v>773727</v>
      </c>
      <c r="Y1087" s="2">
        <v>38044</v>
      </c>
      <c r="Z1087" s="1">
        <v>12.1789737171464</v>
      </c>
      <c r="AA1087" s="1">
        <v>20</v>
      </c>
      <c r="AB1087" s="1">
        <v>676000</v>
      </c>
      <c r="AC1087" s="1">
        <f t="shared" si="16"/>
        <v>736000</v>
      </c>
    </row>
    <row r="1088" spans="1:29" x14ac:dyDescent="0.25">
      <c r="A1088" s="1" t="s">
        <v>774</v>
      </c>
      <c r="B1088" s="1" t="s">
        <v>775</v>
      </c>
      <c r="C1088" s="1" t="s">
        <v>776</v>
      </c>
      <c r="D1088" s="1">
        <v>2022</v>
      </c>
      <c r="E1088" s="1" t="s">
        <v>31</v>
      </c>
      <c r="F1088" s="1">
        <v>4</v>
      </c>
      <c r="G1088" s="1" t="s">
        <v>32</v>
      </c>
      <c r="H1088" s="1" t="s">
        <v>56</v>
      </c>
      <c r="I1088" s="1">
        <v>169000</v>
      </c>
      <c r="J1088" s="1">
        <v>154000</v>
      </c>
      <c r="K1088" s="1">
        <v>15000</v>
      </c>
      <c r="L1088" s="1">
        <v>0</v>
      </c>
      <c r="M1088" s="1" t="s">
        <v>5649</v>
      </c>
      <c r="N1088" s="1" t="s">
        <v>35</v>
      </c>
      <c r="O1088" s="1" t="s">
        <v>71</v>
      </c>
      <c r="P1088" s="1" t="s">
        <v>72</v>
      </c>
      <c r="Q1088" s="1" t="s">
        <v>38</v>
      </c>
      <c r="R1088" s="1" t="s">
        <v>777</v>
      </c>
      <c r="S1088" s="3">
        <v>918193000000</v>
      </c>
      <c r="T1088" s="1" t="s">
        <v>51</v>
      </c>
      <c r="U1088" s="1">
        <v>87</v>
      </c>
      <c r="V1088" s="1">
        <v>88</v>
      </c>
      <c r="W1088" s="1" t="s">
        <v>52</v>
      </c>
      <c r="X1088" s="1">
        <v>777433</v>
      </c>
      <c r="Y1088" s="2">
        <v>37465</v>
      </c>
      <c r="Z1088" s="1">
        <v>12.1789737171464</v>
      </c>
      <c r="AA1088" s="1">
        <v>21</v>
      </c>
      <c r="AB1088" s="1">
        <v>676000</v>
      </c>
      <c r="AC1088" s="1">
        <f t="shared" si="16"/>
        <v>736000</v>
      </c>
    </row>
    <row r="1089" spans="1:29" x14ac:dyDescent="0.25">
      <c r="A1089" s="1" t="s">
        <v>802</v>
      </c>
      <c r="B1089" s="1" t="s">
        <v>803</v>
      </c>
      <c r="C1089" s="1" t="s">
        <v>804</v>
      </c>
      <c r="D1089" s="1">
        <v>2022</v>
      </c>
      <c r="E1089" s="1" t="s">
        <v>31</v>
      </c>
      <c r="F1089" s="1">
        <v>4</v>
      </c>
      <c r="G1089" s="1" t="s">
        <v>32</v>
      </c>
      <c r="H1089" s="1" t="s">
        <v>151</v>
      </c>
      <c r="I1089" s="1">
        <v>169000</v>
      </c>
      <c r="J1089" s="1">
        <v>154000</v>
      </c>
      <c r="K1089" s="1">
        <v>15000</v>
      </c>
      <c r="L1089" s="1">
        <v>0</v>
      </c>
      <c r="M1089" s="1" t="s">
        <v>34</v>
      </c>
      <c r="N1089" s="1" t="s">
        <v>70</v>
      </c>
      <c r="O1089" s="1" t="s">
        <v>103</v>
      </c>
      <c r="P1089" s="1" t="s">
        <v>104</v>
      </c>
      <c r="Q1089" s="1" t="s">
        <v>38</v>
      </c>
      <c r="R1089" s="1" t="s">
        <v>805</v>
      </c>
      <c r="S1089" s="3">
        <v>919891000000</v>
      </c>
      <c r="T1089" s="1" t="s">
        <v>74</v>
      </c>
      <c r="U1089" s="1">
        <v>87</v>
      </c>
      <c r="V1089" s="1">
        <v>66</v>
      </c>
      <c r="W1089" s="1" t="s">
        <v>52</v>
      </c>
      <c r="X1089" s="1">
        <v>405826</v>
      </c>
      <c r="Y1089" s="2">
        <v>36741</v>
      </c>
      <c r="Z1089" s="1">
        <v>12.1789737171464</v>
      </c>
      <c r="AA1089" s="1">
        <v>23</v>
      </c>
      <c r="AB1089" s="1">
        <v>676000</v>
      </c>
      <c r="AC1089" s="1">
        <f t="shared" si="16"/>
        <v>736000</v>
      </c>
    </row>
    <row r="1090" spans="1:29" x14ac:dyDescent="0.25">
      <c r="A1090" s="1" t="s">
        <v>818</v>
      </c>
      <c r="B1090" s="1" t="s">
        <v>819</v>
      </c>
      <c r="C1090" s="1" t="s">
        <v>820</v>
      </c>
      <c r="D1090" s="1">
        <v>2022</v>
      </c>
      <c r="E1090" s="1" t="s">
        <v>31</v>
      </c>
      <c r="F1090" s="1">
        <v>4</v>
      </c>
      <c r="G1090" s="1" t="s">
        <v>32</v>
      </c>
      <c r="H1090" s="1" t="s">
        <v>62</v>
      </c>
      <c r="I1090" s="1">
        <v>169000</v>
      </c>
      <c r="J1090" s="1">
        <v>154000</v>
      </c>
      <c r="K1090" s="1">
        <v>15000</v>
      </c>
      <c r="L1090" s="1">
        <v>0</v>
      </c>
      <c r="M1090" s="1" t="s">
        <v>34</v>
      </c>
      <c r="N1090" s="1" t="s">
        <v>63</v>
      </c>
      <c r="O1090" s="1" t="s">
        <v>78</v>
      </c>
      <c r="P1090" s="1" t="s">
        <v>79</v>
      </c>
      <c r="Q1090" s="1" t="s">
        <v>38</v>
      </c>
      <c r="R1090" s="1" t="s">
        <v>821</v>
      </c>
      <c r="S1090" s="3">
        <v>919354000000</v>
      </c>
      <c r="T1090" s="1" t="s">
        <v>40</v>
      </c>
      <c r="U1090" s="1">
        <v>87</v>
      </c>
      <c r="V1090" s="1">
        <v>74</v>
      </c>
      <c r="W1090" s="1" t="s">
        <v>52</v>
      </c>
      <c r="X1090" s="1">
        <v>130717</v>
      </c>
      <c r="Y1090" s="2">
        <v>37151</v>
      </c>
      <c r="Z1090" s="1">
        <v>12.1789737171464</v>
      </c>
      <c r="AA1090" s="1">
        <v>22</v>
      </c>
      <c r="AB1090" s="1">
        <v>676000</v>
      </c>
      <c r="AC1090" s="1">
        <f t="shared" si="16"/>
        <v>736000</v>
      </c>
    </row>
    <row r="1091" spans="1:29" x14ac:dyDescent="0.25">
      <c r="A1091" s="1" t="s">
        <v>830</v>
      </c>
      <c r="B1091" s="1" t="s">
        <v>831</v>
      </c>
      <c r="C1091" s="1" t="s">
        <v>832</v>
      </c>
      <c r="D1091" s="1">
        <v>2022</v>
      </c>
      <c r="E1091" s="1" t="s">
        <v>45</v>
      </c>
      <c r="F1091" s="1">
        <v>2</v>
      </c>
      <c r="G1091" s="1" t="s">
        <v>46</v>
      </c>
      <c r="H1091" s="1" t="s">
        <v>113</v>
      </c>
      <c r="I1091" s="1">
        <v>92000</v>
      </c>
      <c r="J1091" s="1">
        <v>77000</v>
      </c>
      <c r="K1091" s="1">
        <v>15000</v>
      </c>
      <c r="L1091" s="1">
        <v>0</v>
      </c>
      <c r="M1091" s="1" t="s">
        <v>34</v>
      </c>
      <c r="N1091" s="1" t="s">
        <v>63</v>
      </c>
      <c r="O1091" s="1" t="s">
        <v>84</v>
      </c>
      <c r="P1091" s="1" t="s">
        <v>65</v>
      </c>
      <c r="Q1091" s="1" t="s">
        <v>38</v>
      </c>
      <c r="R1091" s="1" t="s">
        <v>833</v>
      </c>
      <c r="S1091" s="3">
        <v>919905000000</v>
      </c>
      <c r="T1091" s="1" t="s">
        <v>51</v>
      </c>
      <c r="U1091" s="1">
        <v>87</v>
      </c>
      <c r="V1091" s="1">
        <v>88</v>
      </c>
      <c r="W1091" s="1" t="s">
        <v>41</v>
      </c>
      <c r="X1091" s="1">
        <v>277488</v>
      </c>
      <c r="Y1091" s="2">
        <v>35806</v>
      </c>
      <c r="Z1091" s="1">
        <v>12.1789737171464</v>
      </c>
      <c r="AA1091" s="1">
        <v>26</v>
      </c>
      <c r="AB1091" s="1">
        <v>184000</v>
      </c>
      <c r="AC1091" s="1">
        <f t="shared" si="16"/>
        <v>214000</v>
      </c>
    </row>
    <row r="1092" spans="1:29" x14ac:dyDescent="0.25">
      <c r="A1092" s="1" t="s">
        <v>866</v>
      </c>
      <c r="B1092" s="1" t="s">
        <v>867</v>
      </c>
      <c r="C1092" s="1" t="s">
        <v>868</v>
      </c>
      <c r="D1092" s="1">
        <v>2022</v>
      </c>
      <c r="E1092" s="1" t="s">
        <v>31</v>
      </c>
      <c r="F1092" s="1">
        <v>4</v>
      </c>
      <c r="G1092" s="1" t="s">
        <v>32</v>
      </c>
      <c r="H1092" s="1" t="s">
        <v>33</v>
      </c>
      <c r="I1092" s="1">
        <v>169000</v>
      </c>
      <c r="J1092" s="1">
        <v>154000</v>
      </c>
      <c r="K1092" s="1">
        <v>15000</v>
      </c>
      <c r="L1092" s="1">
        <v>0</v>
      </c>
      <c r="M1092" s="1" t="s">
        <v>34</v>
      </c>
      <c r="N1092" s="1" t="s">
        <v>70</v>
      </c>
      <c r="O1092" s="1" t="s">
        <v>103</v>
      </c>
      <c r="P1092" s="1" t="s">
        <v>104</v>
      </c>
      <c r="Q1092" s="1" t="s">
        <v>38</v>
      </c>
      <c r="R1092" s="1" t="s">
        <v>869</v>
      </c>
      <c r="S1092" s="3">
        <v>918203000000</v>
      </c>
      <c r="T1092" s="1" t="s">
        <v>98</v>
      </c>
      <c r="U1092" s="1">
        <v>86</v>
      </c>
      <c r="V1092" s="1">
        <v>91</v>
      </c>
      <c r="W1092" s="1" t="s">
        <v>41</v>
      </c>
      <c r="X1092" s="1">
        <v>209900</v>
      </c>
      <c r="Y1092" s="2">
        <v>38576</v>
      </c>
      <c r="Z1092" s="1">
        <v>11.1789737171464</v>
      </c>
      <c r="AA1092" s="1">
        <v>18</v>
      </c>
      <c r="AB1092" s="1">
        <v>676000</v>
      </c>
      <c r="AC1092" s="1">
        <f t="shared" si="16"/>
        <v>736000</v>
      </c>
    </row>
    <row r="1093" spans="1:29" x14ac:dyDescent="0.25">
      <c r="A1093" s="1" t="s">
        <v>926</v>
      </c>
      <c r="B1093" s="1" t="s">
        <v>927</v>
      </c>
      <c r="C1093" s="1" t="s">
        <v>928</v>
      </c>
      <c r="D1093" s="1">
        <v>2022</v>
      </c>
      <c r="E1093" s="1" t="s">
        <v>31</v>
      </c>
      <c r="F1093" s="1">
        <v>4</v>
      </c>
      <c r="G1093" s="1" t="s">
        <v>32</v>
      </c>
      <c r="H1093" s="1" t="s">
        <v>47</v>
      </c>
      <c r="I1093" s="1">
        <v>169000</v>
      </c>
      <c r="J1093" s="1">
        <v>154000</v>
      </c>
      <c r="K1093" s="1">
        <v>15000</v>
      </c>
      <c r="L1093" s="1">
        <v>0</v>
      </c>
      <c r="M1093" s="1" t="s">
        <v>34</v>
      </c>
      <c r="N1093" s="1" t="s">
        <v>63</v>
      </c>
      <c r="O1093" s="1" t="s">
        <v>64</v>
      </c>
      <c r="P1093" s="1" t="s">
        <v>65</v>
      </c>
      <c r="Q1093" s="1" t="s">
        <v>38</v>
      </c>
      <c r="R1093" s="1" t="s">
        <v>929</v>
      </c>
      <c r="S1093" s="3">
        <v>918387000000</v>
      </c>
      <c r="T1093" s="1" t="s">
        <v>74</v>
      </c>
      <c r="U1093" s="1">
        <v>86</v>
      </c>
      <c r="V1093" s="1">
        <v>66</v>
      </c>
      <c r="W1093" s="1" t="s">
        <v>41</v>
      </c>
      <c r="X1093" s="1">
        <v>596290</v>
      </c>
      <c r="Y1093" s="2">
        <v>36811</v>
      </c>
      <c r="Z1093" s="1">
        <v>11.1789737171464</v>
      </c>
      <c r="AA1093" s="1">
        <v>23</v>
      </c>
      <c r="AB1093" s="1">
        <v>676000</v>
      </c>
      <c r="AC1093" s="1">
        <f t="shared" si="16"/>
        <v>736000</v>
      </c>
    </row>
    <row r="1094" spans="1:29" x14ac:dyDescent="0.25">
      <c r="A1094" s="1" t="s">
        <v>938</v>
      </c>
      <c r="B1094" s="1" t="s">
        <v>939</v>
      </c>
      <c r="C1094" s="1" t="s">
        <v>940</v>
      </c>
      <c r="D1094" s="1">
        <v>2022</v>
      </c>
      <c r="E1094" s="1" t="s">
        <v>31</v>
      </c>
      <c r="F1094" s="1">
        <v>4</v>
      </c>
      <c r="G1094" s="1" t="s">
        <v>32</v>
      </c>
      <c r="H1094" s="1" t="s">
        <v>113</v>
      </c>
      <c r="I1094" s="1">
        <v>169000</v>
      </c>
      <c r="J1094" s="1">
        <v>154000</v>
      </c>
      <c r="K1094" s="1">
        <v>15000</v>
      </c>
      <c r="L1094" s="1">
        <v>0</v>
      </c>
      <c r="M1094" s="1" t="s">
        <v>34</v>
      </c>
      <c r="N1094" s="1" t="s">
        <v>63</v>
      </c>
      <c r="O1094" s="1" t="s">
        <v>57</v>
      </c>
      <c r="P1094" s="1" t="s">
        <v>57</v>
      </c>
      <c r="Q1094" s="1" t="s">
        <v>38</v>
      </c>
      <c r="R1094" s="1" t="s">
        <v>941</v>
      </c>
      <c r="S1094" s="3">
        <v>919983000000</v>
      </c>
      <c r="T1094" s="1" t="s">
        <v>40</v>
      </c>
      <c r="U1094" s="1">
        <v>86</v>
      </c>
      <c r="V1094" s="1">
        <v>61</v>
      </c>
      <c r="W1094" s="1" t="s">
        <v>41</v>
      </c>
      <c r="X1094" s="1">
        <v>572033</v>
      </c>
      <c r="Y1094" s="2">
        <v>37170</v>
      </c>
      <c r="Z1094" s="1">
        <v>11.1789737171464</v>
      </c>
      <c r="AA1094" s="1">
        <v>22</v>
      </c>
      <c r="AB1094" s="1">
        <v>676000</v>
      </c>
      <c r="AC1094" s="1">
        <f t="shared" ref="AC1094:AC1157" si="17">IF(F1094 = 2, AB1094+30000,AB1094+60000)</f>
        <v>736000</v>
      </c>
    </row>
    <row r="1095" spans="1:29" x14ac:dyDescent="0.25">
      <c r="A1095" s="1" t="s">
        <v>986</v>
      </c>
      <c r="B1095" s="1" t="s">
        <v>987</v>
      </c>
      <c r="C1095" s="1" t="s">
        <v>988</v>
      </c>
      <c r="D1095" s="1">
        <v>2022</v>
      </c>
      <c r="E1095" s="1" t="s">
        <v>31</v>
      </c>
      <c r="F1095" s="1">
        <v>4</v>
      </c>
      <c r="G1095" s="1" t="s">
        <v>32</v>
      </c>
      <c r="H1095" s="1" t="s">
        <v>33</v>
      </c>
      <c r="I1095" s="1">
        <v>169000</v>
      </c>
      <c r="J1095" s="1">
        <v>154000</v>
      </c>
      <c r="K1095" s="1">
        <v>15000</v>
      </c>
      <c r="L1095" s="1">
        <v>0</v>
      </c>
      <c r="M1095" s="1" t="s">
        <v>34</v>
      </c>
      <c r="N1095" s="1" t="s">
        <v>70</v>
      </c>
      <c r="O1095" s="1" t="s">
        <v>36</v>
      </c>
      <c r="P1095" s="1" t="s">
        <v>37</v>
      </c>
      <c r="Q1095" s="1" t="s">
        <v>38</v>
      </c>
      <c r="R1095" s="1" t="s">
        <v>989</v>
      </c>
      <c r="S1095" s="3">
        <v>918153000000</v>
      </c>
      <c r="T1095" s="1" t="s">
        <v>98</v>
      </c>
      <c r="U1095" s="1">
        <v>86</v>
      </c>
      <c r="V1095" s="1">
        <v>91</v>
      </c>
      <c r="W1095" s="1" t="s">
        <v>41</v>
      </c>
      <c r="X1095" s="1">
        <v>572309</v>
      </c>
      <c r="Y1095" s="2">
        <v>37051</v>
      </c>
      <c r="Z1095" s="1">
        <v>11.1789737171464</v>
      </c>
      <c r="AA1095" s="1">
        <v>23</v>
      </c>
      <c r="AB1095" s="1">
        <v>676000</v>
      </c>
      <c r="AC1095" s="1">
        <f t="shared" si="17"/>
        <v>736000</v>
      </c>
    </row>
    <row r="1096" spans="1:29" x14ac:dyDescent="0.25">
      <c r="A1096" s="1" t="s">
        <v>1018</v>
      </c>
      <c r="B1096" s="1" t="s">
        <v>1019</v>
      </c>
      <c r="C1096" s="1" t="s">
        <v>1020</v>
      </c>
      <c r="D1096" s="1">
        <v>2022</v>
      </c>
      <c r="E1096" s="1" t="s">
        <v>31</v>
      </c>
      <c r="F1096" s="1">
        <v>4</v>
      </c>
      <c r="G1096" s="1" t="s">
        <v>32</v>
      </c>
      <c r="H1096" s="1" t="s">
        <v>33</v>
      </c>
      <c r="I1096" s="1">
        <v>169000</v>
      </c>
      <c r="J1096" s="1">
        <v>154000</v>
      </c>
      <c r="K1096" s="1">
        <v>15000</v>
      </c>
      <c r="L1096" s="1">
        <v>0</v>
      </c>
      <c r="M1096" s="1" t="s">
        <v>34</v>
      </c>
      <c r="N1096" s="1" t="s">
        <v>35</v>
      </c>
      <c r="O1096" s="1" t="s">
        <v>36</v>
      </c>
      <c r="P1096" s="1" t="s">
        <v>37</v>
      </c>
      <c r="Q1096" s="1" t="s">
        <v>38</v>
      </c>
      <c r="R1096" s="1" t="s">
        <v>1021</v>
      </c>
      <c r="S1096" s="3">
        <v>917625000000</v>
      </c>
      <c r="T1096" s="1" t="s">
        <v>74</v>
      </c>
      <c r="U1096" s="1">
        <v>86</v>
      </c>
      <c r="V1096" s="1">
        <v>91</v>
      </c>
      <c r="W1096" s="1" t="s">
        <v>52</v>
      </c>
      <c r="X1096" s="1">
        <v>538098</v>
      </c>
      <c r="Y1096" s="2">
        <v>36932</v>
      </c>
      <c r="Z1096" s="1">
        <v>11.1789737171464</v>
      </c>
      <c r="AA1096" s="1">
        <v>23</v>
      </c>
      <c r="AB1096" s="1">
        <v>676000</v>
      </c>
      <c r="AC1096" s="1">
        <f t="shared" si="17"/>
        <v>736000</v>
      </c>
    </row>
    <row r="1097" spans="1:29" x14ac:dyDescent="0.25">
      <c r="A1097" s="1" t="s">
        <v>1062</v>
      </c>
      <c r="B1097" s="1" t="s">
        <v>208</v>
      </c>
      <c r="C1097" s="1" t="s">
        <v>209</v>
      </c>
      <c r="D1097" s="1">
        <v>2022</v>
      </c>
      <c r="E1097" s="1" t="s">
        <v>45</v>
      </c>
      <c r="F1097" s="1">
        <v>2</v>
      </c>
      <c r="G1097" s="1" t="s">
        <v>46</v>
      </c>
      <c r="H1097" s="1" t="s">
        <v>47</v>
      </c>
      <c r="I1097" s="1">
        <v>92000</v>
      </c>
      <c r="J1097" s="1">
        <v>77000</v>
      </c>
      <c r="K1097" s="1">
        <v>15000</v>
      </c>
      <c r="L1097" s="1">
        <v>0</v>
      </c>
      <c r="M1097" s="1" t="s">
        <v>34</v>
      </c>
      <c r="N1097" s="1" t="s">
        <v>63</v>
      </c>
      <c r="O1097" s="1" t="s">
        <v>64</v>
      </c>
      <c r="P1097" s="1" t="s">
        <v>65</v>
      </c>
      <c r="Q1097" s="1" t="s">
        <v>38</v>
      </c>
      <c r="R1097" s="1" t="s">
        <v>1063</v>
      </c>
      <c r="S1097" s="3">
        <v>919508000000</v>
      </c>
      <c r="T1097" s="1" t="s">
        <v>86</v>
      </c>
      <c r="U1097" s="1">
        <v>86</v>
      </c>
      <c r="V1097" s="1">
        <v>71</v>
      </c>
      <c r="W1097" s="1" t="s">
        <v>41</v>
      </c>
      <c r="X1097" s="1">
        <v>542304</v>
      </c>
      <c r="Y1097" s="2">
        <v>36100</v>
      </c>
      <c r="Z1097" s="1">
        <v>11.1789737171464</v>
      </c>
      <c r="AA1097" s="1">
        <v>25</v>
      </c>
      <c r="AB1097" s="1">
        <v>184000</v>
      </c>
      <c r="AC1097" s="1">
        <f t="shared" si="17"/>
        <v>214000</v>
      </c>
    </row>
    <row r="1098" spans="1:29" x14ac:dyDescent="0.25">
      <c r="A1098" s="1" t="s">
        <v>1064</v>
      </c>
      <c r="B1098" s="1" t="s">
        <v>1065</v>
      </c>
      <c r="C1098" s="1" t="s">
        <v>1066</v>
      </c>
      <c r="D1098" s="1">
        <v>2022</v>
      </c>
      <c r="E1098" s="1" t="s">
        <v>45</v>
      </c>
      <c r="F1098" s="1">
        <v>2</v>
      </c>
      <c r="G1098" s="1" t="s">
        <v>46</v>
      </c>
      <c r="H1098" s="1" t="s">
        <v>90</v>
      </c>
      <c r="I1098" s="1">
        <v>92000</v>
      </c>
      <c r="J1098" s="1">
        <v>77000</v>
      </c>
      <c r="K1098" s="1">
        <v>15000</v>
      </c>
      <c r="L1098" s="1">
        <v>0</v>
      </c>
      <c r="M1098" s="1" t="s">
        <v>34</v>
      </c>
      <c r="N1098" s="1" t="s">
        <v>70</v>
      </c>
      <c r="O1098" s="1" t="s">
        <v>91</v>
      </c>
      <c r="P1098" s="1" t="s">
        <v>92</v>
      </c>
      <c r="Q1098" s="1" t="s">
        <v>38</v>
      </c>
      <c r="R1098" s="1" t="s">
        <v>1067</v>
      </c>
      <c r="S1098" s="3">
        <v>917211000000</v>
      </c>
      <c r="T1098" s="1" t="s">
        <v>40</v>
      </c>
      <c r="U1098" s="1">
        <v>86</v>
      </c>
      <c r="V1098" s="1">
        <v>80</v>
      </c>
      <c r="W1098" s="1" t="s">
        <v>52</v>
      </c>
      <c r="X1098" s="1">
        <v>784930</v>
      </c>
      <c r="Y1098" s="2">
        <v>35562</v>
      </c>
      <c r="Z1098" s="1">
        <v>11.1789737171464</v>
      </c>
      <c r="AA1098" s="1">
        <v>27</v>
      </c>
      <c r="AB1098" s="1">
        <v>184000</v>
      </c>
      <c r="AC1098" s="1">
        <f t="shared" si="17"/>
        <v>214000</v>
      </c>
    </row>
    <row r="1099" spans="1:29" x14ac:dyDescent="0.25">
      <c r="A1099" s="1" t="s">
        <v>1068</v>
      </c>
      <c r="B1099" s="1" t="s">
        <v>1069</v>
      </c>
      <c r="C1099" s="1" t="s">
        <v>1070</v>
      </c>
      <c r="D1099" s="1">
        <v>2022</v>
      </c>
      <c r="E1099" s="1" t="s">
        <v>45</v>
      </c>
      <c r="F1099" s="1">
        <v>2</v>
      </c>
      <c r="G1099" s="1" t="s">
        <v>46</v>
      </c>
      <c r="H1099" s="1" t="s">
        <v>62</v>
      </c>
      <c r="I1099" s="1">
        <v>92000</v>
      </c>
      <c r="J1099" s="1">
        <v>77000</v>
      </c>
      <c r="K1099" s="1">
        <v>15000</v>
      </c>
      <c r="L1099" s="1">
        <v>0</v>
      </c>
      <c r="M1099" s="1" t="s">
        <v>34</v>
      </c>
      <c r="N1099" s="1" t="s">
        <v>35</v>
      </c>
      <c r="O1099" s="1" t="s">
        <v>188</v>
      </c>
      <c r="P1099" s="1" t="s">
        <v>189</v>
      </c>
      <c r="Q1099" s="1" t="s">
        <v>38</v>
      </c>
      <c r="R1099" s="1" t="s">
        <v>1071</v>
      </c>
      <c r="S1099" s="3">
        <v>918040000000</v>
      </c>
      <c r="T1099" s="1" t="s">
        <v>51</v>
      </c>
      <c r="U1099" s="1">
        <v>86</v>
      </c>
      <c r="V1099" s="1">
        <v>72</v>
      </c>
      <c r="W1099" s="1" t="s">
        <v>52</v>
      </c>
      <c r="X1099" s="1">
        <v>591030</v>
      </c>
      <c r="Y1099" s="2">
        <v>36882</v>
      </c>
      <c r="Z1099" s="1">
        <v>11.1789737171464</v>
      </c>
      <c r="AA1099" s="1">
        <v>23</v>
      </c>
      <c r="AB1099" s="1">
        <v>184000</v>
      </c>
      <c r="AC1099" s="1">
        <f t="shared" si="17"/>
        <v>214000</v>
      </c>
    </row>
    <row r="1100" spans="1:29" x14ac:dyDescent="0.25">
      <c r="A1100" s="1" t="s">
        <v>1112</v>
      </c>
      <c r="B1100" s="1" t="s">
        <v>1113</v>
      </c>
      <c r="C1100" s="1" t="s">
        <v>1114</v>
      </c>
      <c r="D1100" s="1">
        <v>2022</v>
      </c>
      <c r="E1100" s="1" t="s">
        <v>31</v>
      </c>
      <c r="F1100" s="1">
        <v>4</v>
      </c>
      <c r="G1100" s="1" t="s">
        <v>32</v>
      </c>
      <c r="H1100" s="1" t="s">
        <v>62</v>
      </c>
      <c r="I1100" s="1">
        <v>169000</v>
      </c>
      <c r="J1100" s="1">
        <v>154000</v>
      </c>
      <c r="K1100" s="1">
        <v>15000</v>
      </c>
      <c r="L1100" s="1">
        <v>0</v>
      </c>
      <c r="M1100" s="1" t="s">
        <v>34</v>
      </c>
      <c r="N1100" s="1" t="s">
        <v>70</v>
      </c>
      <c r="O1100" s="1" t="s">
        <v>91</v>
      </c>
      <c r="P1100" s="1" t="s">
        <v>92</v>
      </c>
      <c r="Q1100" s="1" t="s">
        <v>38</v>
      </c>
      <c r="R1100" s="1" t="s">
        <v>1115</v>
      </c>
      <c r="S1100" s="3">
        <v>917557000000</v>
      </c>
      <c r="T1100" s="1" t="s">
        <v>98</v>
      </c>
      <c r="U1100" s="1">
        <v>85</v>
      </c>
      <c r="V1100" s="1">
        <v>60</v>
      </c>
      <c r="W1100" s="1" t="s">
        <v>52</v>
      </c>
      <c r="X1100" s="1">
        <v>713394</v>
      </c>
      <c r="Y1100" s="2">
        <v>37177</v>
      </c>
      <c r="Z1100" s="1">
        <v>10.1789737171464</v>
      </c>
      <c r="AA1100" s="1">
        <v>22</v>
      </c>
      <c r="AB1100" s="1">
        <v>676000</v>
      </c>
      <c r="AC1100" s="1">
        <f t="shared" si="17"/>
        <v>736000</v>
      </c>
    </row>
    <row r="1101" spans="1:29" x14ac:dyDescent="0.25">
      <c r="A1101" s="1" t="s">
        <v>1116</v>
      </c>
      <c r="B1101" s="1" t="s">
        <v>1117</v>
      </c>
      <c r="C1101" s="1" t="s">
        <v>1118</v>
      </c>
      <c r="D1101" s="1">
        <v>2022</v>
      </c>
      <c r="E1101" s="1" t="s">
        <v>31</v>
      </c>
      <c r="F1101" s="1">
        <v>4</v>
      </c>
      <c r="G1101" s="1" t="s">
        <v>32</v>
      </c>
      <c r="H1101" s="1" t="s">
        <v>113</v>
      </c>
      <c r="I1101" s="1">
        <v>169000</v>
      </c>
      <c r="J1101" s="1">
        <v>154000</v>
      </c>
      <c r="K1101" s="1">
        <v>15000</v>
      </c>
      <c r="L1101" s="1">
        <v>0</v>
      </c>
      <c r="M1101" s="1" t="s">
        <v>34</v>
      </c>
      <c r="N1101" s="1" t="s">
        <v>35</v>
      </c>
      <c r="O1101" s="1" t="s">
        <v>36</v>
      </c>
      <c r="P1101" s="1" t="s">
        <v>37</v>
      </c>
      <c r="Q1101" s="1" t="s">
        <v>38</v>
      </c>
      <c r="R1101" s="1" t="s">
        <v>1119</v>
      </c>
      <c r="S1101" s="3">
        <v>919754000000</v>
      </c>
      <c r="T1101" s="1" t="s">
        <v>51</v>
      </c>
      <c r="U1101" s="1">
        <v>85</v>
      </c>
      <c r="V1101" s="1">
        <v>67</v>
      </c>
      <c r="W1101" s="1" t="s">
        <v>41</v>
      </c>
      <c r="X1101" s="1">
        <v>726164</v>
      </c>
      <c r="Y1101" s="2">
        <v>36896</v>
      </c>
      <c r="Z1101" s="1">
        <v>10.1789737171464</v>
      </c>
      <c r="AA1101" s="1">
        <v>23</v>
      </c>
      <c r="AB1101" s="1">
        <v>676000</v>
      </c>
      <c r="AC1101" s="1">
        <f t="shared" si="17"/>
        <v>736000</v>
      </c>
    </row>
    <row r="1102" spans="1:29" x14ac:dyDescent="0.25">
      <c r="A1102" s="1" t="s">
        <v>1120</v>
      </c>
      <c r="B1102" s="1" t="s">
        <v>1121</v>
      </c>
      <c r="C1102" s="1" t="s">
        <v>1122</v>
      </c>
      <c r="D1102" s="1">
        <v>2022</v>
      </c>
      <c r="E1102" s="1" t="s">
        <v>31</v>
      </c>
      <c r="F1102" s="1">
        <v>4</v>
      </c>
      <c r="G1102" s="1" t="s">
        <v>32</v>
      </c>
      <c r="H1102" s="1" t="s">
        <v>122</v>
      </c>
      <c r="I1102" s="1">
        <v>169000</v>
      </c>
      <c r="J1102" s="1">
        <v>154000</v>
      </c>
      <c r="K1102" s="1">
        <v>15000</v>
      </c>
      <c r="L1102" s="1">
        <v>0</v>
      </c>
      <c r="M1102" s="1" t="s">
        <v>34</v>
      </c>
      <c r="N1102" s="1" t="s">
        <v>63</v>
      </c>
      <c r="O1102" s="1" t="s">
        <v>78</v>
      </c>
      <c r="P1102" s="1" t="s">
        <v>79</v>
      </c>
      <c r="Q1102" s="1" t="s">
        <v>38</v>
      </c>
      <c r="R1102" s="1" t="s">
        <v>1123</v>
      </c>
      <c r="S1102" s="3">
        <v>918361000000</v>
      </c>
      <c r="T1102" s="1" t="s">
        <v>51</v>
      </c>
      <c r="U1102" s="1">
        <v>85</v>
      </c>
      <c r="V1102" s="1">
        <v>77</v>
      </c>
      <c r="W1102" s="1" t="s">
        <v>52</v>
      </c>
      <c r="X1102" s="1">
        <v>427109</v>
      </c>
      <c r="Y1102" s="2">
        <v>38606</v>
      </c>
      <c r="Z1102" s="1">
        <v>10.1789737171464</v>
      </c>
      <c r="AA1102" s="1">
        <v>18</v>
      </c>
      <c r="AB1102" s="1">
        <v>676000</v>
      </c>
      <c r="AC1102" s="1">
        <f t="shared" si="17"/>
        <v>736000</v>
      </c>
    </row>
    <row r="1103" spans="1:29" x14ac:dyDescent="0.25">
      <c r="A1103" s="1" t="s">
        <v>1152</v>
      </c>
      <c r="B1103" s="1" t="s">
        <v>1153</v>
      </c>
      <c r="C1103" s="1" t="s">
        <v>1154</v>
      </c>
      <c r="D1103" s="1">
        <v>2022</v>
      </c>
      <c r="E1103" s="1" t="s">
        <v>31</v>
      </c>
      <c r="F1103" s="1">
        <v>4</v>
      </c>
      <c r="G1103" s="1" t="s">
        <v>32</v>
      </c>
      <c r="H1103" s="1" t="s">
        <v>56</v>
      </c>
      <c r="I1103" s="1">
        <v>169000</v>
      </c>
      <c r="J1103" s="1">
        <v>154000</v>
      </c>
      <c r="K1103" s="1">
        <v>15000</v>
      </c>
      <c r="L1103" s="1">
        <v>0</v>
      </c>
      <c r="M1103" s="1" t="s">
        <v>34</v>
      </c>
      <c r="N1103" s="1" t="s">
        <v>63</v>
      </c>
      <c r="O1103" s="1" t="s">
        <v>48</v>
      </c>
      <c r="P1103" s="1" t="s">
        <v>49</v>
      </c>
      <c r="Q1103" s="1" t="s">
        <v>38</v>
      </c>
      <c r="R1103" s="1" t="s">
        <v>1155</v>
      </c>
      <c r="S1103" s="3">
        <v>917139000000</v>
      </c>
      <c r="T1103" s="1" t="s">
        <v>40</v>
      </c>
      <c r="U1103" s="1">
        <v>85</v>
      </c>
      <c r="V1103" s="1">
        <v>87</v>
      </c>
      <c r="W1103" s="1" t="s">
        <v>41</v>
      </c>
      <c r="X1103" s="1">
        <v>365220</v>
      </c>
      <c r="Y1103" s="2">
        <v>37105</v>
      </c>
      <c r="Z1103" s="1">
        <v>10.1789737171464</v>
      </c>
      <c r="AA1103" s="1">
        <v>22</v>
      </c>
      <c r="AB1103" s="1">
        <v>676000</v>
      </c>
      <c r="AC1103" s="1">
        <f t="shared" si="17"/>
        <v>736000</v>
      </c>
    </row>
    <row r="1104" spans="1:29" x14ac:dyDescent="0.25">
      <c r="A1104" s="1" t="s">
        <v>1196</v>
      </c>
      <c r="B1104" s="1" t="s">
        <v>233</v>
      </c>
      <c r="C1104" s="1" t="s">
        <v>234</v>
      </c>
      <c r="D1104" s="1">
        <v>2022</v>
      </c>
      <c r="E1104" s="1" t="s">
        <v>45</v>
      </c>
      <c r="F1104" s="1">
        <v>2</v>
      </c>
      <c r="G1104" s="1" t="s">
        <v>46</v>
      </c>
      <c r="H1104" s="1" t="s">
        <v>102</v>
      </c>
      <c r="I1104" s="1">
        <v>92000</v>
      </c>
      <c r="J1104" s="1">
        <v>77000</v>
      </c>
      <c r="K1104" s="1">
        <v>15000</v>
      </c>
      <c r="L1104" s="1">
        <v>0</v>
      </c>
      <c r="M1104" s="1" t="s">
        <v>34</v>
      </c>
      <c r="N1104" s="1" t="s">
        <v>35</v>
      </c>
      <c r="O1104" s="1" t="s">
        <v>71</v>
      </c>
      <c r="P1104" s="1" t="s">
        <v>72</v>
      </c>
      <c r="Q1104" s="1" t="s">
        <v>38</v>
      </c>
      <c r="R1104" s="1" t="s">
        <v>1197</v>
      </c>
      <c r="S1104" s="3">
        <v>917126000000</v>
      </c>
      <c r="T1104" s="1" t="s">
        <v>51</v>
      </c>
      <c r="U1104" s="1">
        <v>85</v>
      </c>
      <c r="V1104" s="1">
        <v>83</v>
      </c>
      <c r="W1104" s="1" t="s">
        <v>41</v>
      </c>
      <c r="X1104" s="1">
        <v>722168</v>
      </c>
      <c r="Y1104" s="2">
        <v>35815</v>
      </c>
      <c r="Z1104" s="1">
        <v>10.1789737171464</v>
      </c>
      <c r="AA1104" s="1">
        <v>26</v>
      </c>
      <c r="AB1104" s="1">
        <v>184000</v>
      </c>
      <c r="AC1104" s="1">
        <f t="shared" si="17"/>
        <v>214000</v>
      </c>
    </row>
    <row r="1105" spans="1:29" x14ac:dyDescent="0.25">
      <c r="A1105" s="1" t="s">
        <v>1234</v>
      </c>
      <c r="B1105" s="1" t="s">
        <v>1235</v>
      </c>
      <c r="C1105" s="1" t="s">
        <v>1236</v>
      </c>
      <c r="D1105" s="1">
        <v>2022</v>
      </c>
      <c r="E1105" s="1" t="s">
        <v>31</v>
      </c>
      <c r="F1105" s="1">
        <v>4</v>
      </c>
      <c r="G1105" s="1" t="s">
        <v>32</v>
      </c>
      <c r="H1105" s="1" t="s">
        <v>210</v>
      </c>
      <c r="I1105" s="1">
        <v>169000</v>
      </c>
      <c r="J1105" s="1">
        <v>154000</v>
      </c>
      <c r="K1105" s="1">
        <v>15000</v>
      </c>
      <c r="L1105" s="1">
        <v>0</v>
      </c>
      <c r="M1105" s="1" t="s">
        <v>34</v>
      </c>
      <c r="N1105" s="1" t="s">
        <v>63</v>
      </c>
      <c r="O1105" s="1" t="s">
        <v>64</v>
      </c>
      <c r="P1105" s="1" t="s">
        <v>65</v>
      </c>
      <c r="Q1105" s="1" t="s">
        <v>38</v>
      </c>
      <c r="R1105" s="1" t="s">
        <v>1237</v>
      </c>
      <c r="S1105" s="3">
        <v>919665000000</v>
      </c>
      <c r="T1105" s="1" t="s">
        <v>98</v>
      </c>
      <c r="U1105" s="1">
        <v>85</v>
      </c>
      <c r="V1105" s="1">
        <v>80</v>
      </c>
      <c r="W1105" s="1" t="s">
        <v>52</v>
      </c>
      <c r="X1105" s="1">
        <v>480499</v>
      </c>
      <c r="Y1105" s="2">
        <v>37547</v>
      </c>
      <c r="Z1105" s="1">
        <v>10.1789737171464</v>
      </c>
      <c r="AA1105" s="1">
        <v>21</v>
      </c>
      <c r="AB1105" s="1">
        <v>676000</v>
      </c>
      <c r="AC1105" s="1">
        <f t="shared" si="17"/>
        <v>736000</v>
      </c>
    </row>
    <row r="1106" spans="1:29" x14ac:dyDescent="0.25">
      <c r="A1106" s="1" t="s">
        <v>1248</v>
      </c>
      <c r="B1106" s="1" t="s">
        <v>1249</v>
      </c>
      <c r="C1106" s="1" t="s">
        <v>1250</v>
      </c>
      <c r="D1106" s="1">
        <v>2022</v>
      </c>
      <c r="E1106" s="1" t="s">
        <v>31</v>
      </c>
      <c r="F1106" s="1">
        <v>4</v>
      </c>
      <c r="G1106" s="1" t="s">
        <v>32</v>
      </c>
      <c r="H1106" s="1" t="s">
        <v>210</v>
      </c>
      <c r="I1106" s="1">
        <v>169000</v>
      </c>
      <c r="J1106" s="1">
        <v>154000</v>
      </c>
      <c r="K1106" s="1">
        <v>15000</v>
      </c>
      <c r="L1106" s="1">
        <v>0</v>
      </c>
      <c r="M1106" s="1" t="s">
        <v>34</v>
      </c>
      <c r="N1106" s="1" t="s">
        <v>70</v>
      </c>
      <c r="O1106" s="1" t="s">
        <v>48</v>
      </c>
      <c r="P1106" s="1" t="s">
        <v>49</v>
      </c>
      <c r="Q1106" s="1" t="s">
        <v>38</v>
      </c>
      <c r="R1106" s="1" t="s">
        <v>1251</v>
      </c>
      <c r="S1106" s="3">
        <v>919016000000</v>
      </c>
      <c r="T1106" s="1" t="s">
        <v>86</v>
      </c>
      <c r="U1106" s="1">
        <v>85</v>
      </c>
      <c r="V1106" s="1">
        <v>70</v>
      </c>
      <c r="W1106" s="1" t="s">
        <v>41</v>
      </c>
      <c r="X1106" s="1">
        <v>129536</v>
      </c>
      <c r="Y1106" s="2">
        <v>37295</v>
      </c>
      <c r="Z1106" s="1">
        <v>10.1789737171464</v>
      </c>
      <c r="AA1106" s="1">
        <v>22</v>
      </c>
      <c r="AB1106" s="1">
        <v>676000</v>
      </c>
      <c r="AC1106" s="1">
        <f t="shared" si="17"/>
        <v>736000</v>
      </c>
    </row>
    <row r="1107" spans="1:29" x14ac:dyDescent="0.25">
      <c r="A1107" s="1" t="s">
        <v>1260</v>
      </c>
      <c r="B1107" s="1" t="s">
        <v>1261</v>
      </c>
      <c r="C1107" s="1" t="s">
        <v>1262</v>
      </c>
      <c r="D1107" s="1">
        <v>2022</v>
      </c>
      <c r="E1107" s="1" t="s">
        <v>31</v>
      </c>
      <c r="F1107" s="1">
        <v>4</v>
      </c>
      <c r="G1107" s="1" t="s">
        <v>32</v>
      </c>
      <c r="H1107" s="1" t="s">
        <v>113</v>
      </c>
      <c r="I1107" s="1">
        <v>169000</v>
      </c>
      <c r="J1107" s="1">
        <v>154000</v>
      </c>
      <c r="K1107" s="1">
        <v>15000</v>
      </c>
      <c r="L1107" s="1">
        <v>0</v>
      </c>
      <c r="M1107" s="1" t="s">
        <v>34</v>
      </c>
      <c r="N1107" s="1" t="s">
        <v>35</v>
      </c>
      <c r="O1107" s="1" t="s">
        <v>57</v>
      </c>
      <c r="P1107" s="1" t="s">
        <v>57</v>
      </c>
      <c r="Q1107" s="1" t="s">
        <v>38</v>
      </c>
      <c r="R1107" s="1" t="s">
        <v>1263</v>
      </c>
      <c r="S1107" s="3">
        <v>919542000000</v>
      </c>
      <c r="T1107" s="1" t="s">
        <v>51</v>
      </c>
      <c r="U1107" s="1">
        <v>85</v>
      </c>
      <c r="V1107" s="1">
        <v>89</v>
      </c>
      <c r="W1107" s="1" t="s">
        <v>41</v>
      </c>
      <c r="X1107" s="1">
        <v>790502</v>
      </c>
      <c r="Y1107" s="2">
        <v>36901</v>
      </c>
      <c r="Z1107" s="1">
        <v>10.1789737171464</v>
      </c>
      <c r="AA1107" s="1">
        <v>23</v>
      </c>
      <c r="AB1107" s="1">
        <v>676000</v>
      </c>
      <c r="AC1107" s="1">
        <f t="shared" si="17"/>
        <v>736000</v>
      </c>
    </row>
    <row r="1108" spans="1:29" x14ac:dyDescent="0.25">
      <c r="A1108" s="1" t="s">
        <v>1278</v>
      </c>
      <c r="B1108" s="1" t="s">
        <v>1279</v>
      </c>
      <c r="C1108" s="1" t="s">
        <v>1280</v>
      </c>
      <c r="D1108" s="1">
        <v>2022</v>
      </c>
      <c r="E1108" s="1" t="s">
        <v>31</v>
      </c>
      <c r="F1108" s="1">
        <v>4</v>
      </c>
      <c r="G1108" s="1" t="s">
        <v>32</v>
      </c>
      <c r="H1108" s="1" t="s">
        <v>47</v>
      </c>
      <c r="I1108" s="1">
        <v>169000</v>
      </c>
      <c r="J1108" s="1">
        <v>154000</v>
      </c>
      <c r="K1108" s="1">
        <v>15000</v>
      </c>
      <c r="L1108" s="1">
        <v>0</v>
      </c>
      <c r="M1108" s="1" t="s">
        <v>34</v>
      </c>
      <c r="N1108" s="1" t="s">
        <v>63</v>
      </c>
      <c r="O1108" s="1" t="s">
        <v>91</v>
      </c>
      <c r="P1108" s="1" t="s">
        <v>92</v>
      </c>
      <c r="Q1108" s="1" t="s">
        <v>38</v>
      </c>
      <c r="R1108" s="1" t="s">
        <v>1281</v>
      </c>
      <c r="S1108" s="3">
        <v>917140000000</v>
      </c>
      <c r="T1108" s="1" t="s">
        <v>74</v>
      </c>
      <c r="U1108" s="1">
        <v>84</v>
      </c>
      <c r="V1108" s="1">
        <v>60</v>
      </c>
      <c r="W1108" s="1" t="s">
        <v>52</v>
      </c>
      <c r="X1108" s="1">
        <v>580472</v>
      </c>
      <c r="Y1108" s="2">
        <v>36751</v>
      </c>
      <c r="Z1108" s="1">
        <v>9.1789737171464303</v>
      </c>
      <c r="AA1108" s="1">
        <v>23</v>
      </c>
      <c r="AB1108" s="1">
        <v>676000</v>
      </c>
      <c r="AC1108" s="1">
        <f t="shared" si="17"/>
        <v>736000</v>
      </c>
    </row>
    <row r="1109" spans="1:29" x14ac:dyDescent="0.25">
      <c r="A1109" s="1" t="s">
        <v>1286</v>
      </c>
      <c r="B1109" s="1" t="s">
        <v>1287</v>
      </c>
      <c r="C1109" s="1" t="s">
        <v>1288</v>
      </c>
      <c r="D1109" s="1">
        <v>2022</v>
      </c>
      <c r="E1109" s="1" t="s">
        <v>45</v>
      </c>
      <c r="F1109" s="1">
        <v>2</v>
      </c>
      <c r="G1109" s="1" t="s">
        <v>46</v>
      </c>
      <c r="H1109" s="1" t="s">
        <v>33</v>
      </c>
      <c r="I1109" s="1">
        <v>92000</v>
      </c>
      <c r="J1109" s="1">
        <v>77000</v>
      </c>
      <c r="K1109" s="1">
        <v>15000</v>
      </c>
      <c r="L1109" s="1">
        <v>0</v>
      </c>
      <c r="M1109" s="1" t="s">
        <v>34</v>
      </c>
      <c r="N1109" s="1" t="s">
        <v>35</v>
      </c>
      <c r="O1109" s="1" t="s">
        <v>71</v>
      </c>
      <c r="P1109" s="1" t="s">
        <v>72</v>
      </c>
      <c r="Q1109" s="1" t="s">
        <v>38</v>
      </c>
      <c r="R1109" s="1" t="s">
        <v>1289</v>
      </c>
      <c r="S1109" s="3">
        <v>918436000000</v>
      </c>
      <c r="T1109" s="1" t="s">
        <v>86</v>
      </c>
      <c r="U1109" s="1">
        <v>84</v>
      </c>
      <c r="V1109" s="1">
        <v>85</v>
      </c>
      <c r="W1109" s="1" t="s">
        <v>41</v>
      </c>
      <c r="X1109" s="1">
        <v>357146</v>
      </c>
      <c r="Y1109" s="2">
        <v>37331</v>
      </c>
      <c r="Z1109" s="1">
        <v>9.1789737171464303</v>
      </c>
      <c r="AA1109" s="1">
        <v>22</v>
      </c>
      <c r="AB1109" s="1">
        <v>184000</v>
      </c>
      <c r="AC1109" s="1">
        <f t="shared" si="17"/>
        <v>214000</v>
      </c>
    </row>
    <row r="1110" spans="1:29" x14ac:dyDescent="0.25">
      <c r="A1110" s="1" t="s">
        <v>1308</v>
      </c>
      <c r="B1110" s="1" t="s">
        <v>1309</v>
      </c>
      <c r="C1110" s="1" t="s">
        <v>1310</v>
      </c>
      <c r="D1110" s="1">
        <v>2022</v>
      </c>
      <c r="E1110" s="1" t="s">
        <v>31</v>
      </c>
      <c r="F1110" s="1">
        <v>4</v>
      </c>
      <c r="G1110" s="1" t="s">
        <v>32</v>
      </c>
      <c r="H1110" s="1" t="s">
        <v>151</v>
      </c>
      <c r="I1110" s="1">
        <v>169000</v>
      </c>
      <c r="J1110" s="1">
        <v>154000</v>
      </c>
      <c r="K1110" s="1">
        <v>15000</v>
      </c>
      <c r="L1110" s="1">
        <v>0</v>
      </c>
      <c r="M1110" s="1" t="s">
        <v>34</v>
      </c>
      <c r="N1110" s="1" t="s">
        <v>35</v>
      </c>
      <c r="O1110" s="1" t="s">
        <v>64</v>
      </c>
      <c r="P1110" s="1" t="s">
        <v>65</v>
      </c>
      <c r="Q1110" s="1" t="s">
        <v>38</v>
      </c>
      <c r="R1110" s="1" t="s">
        <v>1311</v>
      </c>
      <c r="S1110" s="3">
        <v>917141000000</v>
      </c>
      <c r="T1110" s="1" t="s">
        <v>86</v>
      </c>
      <c r="U1110" s="1">
        <v>84</v>
      </c>
      <c r="V1110" s="1">
        <v>66</v>
      </c>
      <c r="W1110" s="1" t="s">
        <v>41</v>
      </c>
      <c r="X1110" s="1">
        <v>221727</v>
      </c>
      <c r="Y1110" s="2">
        <v>37750</v>
      </c>
      <c r="Z1110" s="1">
        <v>9.1789737171464303</v>
      </c>
      <c r="AA1110" s="1">
        <v>21</v>
      </c>
      <c r="AB1110" s="1">
        <v>676000</v>
      </c>
      <c r="AC1110" s="1">
        <f t="shared" si="17"/>
        <v>736000</v>
      </c>
    </row>
    <row r="1111" spans="1:29" x14ac:dyDescent="0.25">
      <c r="A1111" s="1" t="s">
        <v>1316</v>
      </c>
      <c r="B1111" s="1" t="s">
        <v>1317</v>
      </c>
      <c r="C1111" s="1" t="s">
        <v>1318</v>
      </c>
      <c r="D1111" s="1">
        <v>2022</v>
      </c>
      <c r="E1111" s="1" t="s">
        <v>45</v>
      </c>
      <c r="F1111" s="1">
        <v>2</v>
      </c>
      <c r="G1111" s="1" t="s">
        <v>46</v>
      </c>
      <c r="H1111" s="1" t="s">
        <v>102</v>
      </c>
      <c r="I1111" s="1">
        <v>92000</v>
      </c>
      <c r="J1111" s="1">
        <v>77000</v>
      </c>
      <c r="K1111" s="1">
        <v>15000</v>
      </c>
      <c r="L1111" s="1">
        <v>0</v>
      </c>
      <c r="M1111" s="1" t="s">
        <v>34</v>
      </c>
      <c r="N1111" s="1" t="s">
        <v>70</v>
      </c>
      <c r="O1111" s="1" t="s">
        <v>36</v>
      </c>
      <c r="P1111" s="1" t="s">
        <v>37</v>
      </c>
      <c r="Q1111" s="1" t="s">
        <v>38</v>
      </c>
      <c r="R1111" s="1" t="s">
        <v>1319</v>
      </c>
      <c r="S1111" s="3">
        <v>917537000000</v>
      </c>
      <c r="T1111" s="1" t="s">
        <v>86</v>
      </c>
      <c r="U1111" s="1">
        <v>84</v>
      </c>
      <c r="V1111" s="1">
        <v>88</v>
      </c>
      <c r="W1111" s="1" t="s">
        <v>52</v>
      </c>
      <c r="X1111" s="1">
        <v>391343</v>
      </c>
      <c r="Y1111" s="2">
        <v>37323</v>
      </c>
      <c r="Z1111" s="1">
        <v>9.1789737171464303</v>
      </c>
      <c r="AA1111" s="1">
        <v>22</v>
      </c>
      <c r="AB1111" s="1">
        <v>184000</v>
      </c>
      <c r="AC1111" s="1">
        <f t="shared" si="17"/>
        <v>214000</v>
      </c>
    </row>
    <row r="1112" spans="1:29" x14ac:dyDescent="0.25">
      <c r="A1112" s="1" t="s">
        <v>1358</v>
      </c>
      <c r="B1112" s="1" t="s">
        <v>1359</v>
      </c>
      <c r="C1112" s="1" t="s">
        <v>1360</v>
      </c>
      <c r="D1112" s="1">
        <v>2022</v>
      </c>
      <c r="E1112" s="1" t="s">
        <v>45</v>
      </c>
      <c r="F1112" s="1">
        <v>2</v>
      </c>
      <c r="G1112" s="1" t="s">
        <v>46</v>
      </c>
      <c r="H1112" s="1" t="s">
        <v>102</v>
      </c>
      <c r="I1112" s="1">
        <v>92000</v>
      </c>
      <c r="J1112" s="1">
        <v>77000</v>
      </c>
      <c r="K1112" s="1">
        <v>15000</v>
      </c>
      <c r="L1112" s="1">
        <v>0</v>
      </c>
      <c r="M1112" s="1" t="s">
        <v>34</v>
      </c>
      <c r="N1112" s="1" t="s">
        <v>70</v>
      </c>
      <c r="O1112" s="1" t="s">
        <v>188</v>
      </c>
      <c r="P1112" s="1" t="s">
        <v>189</v>
      </c>
      <c r="Q1112" s="1" t="s">
        <v>38</v>
      </c>
      <c r="R1112" s="1" t="s">
        <v>1361</v>
      </c>
      <c r="S1112" s="3">
        <v>917051000000</v>
      </c>
      <c r="T1112" s="1" t="s">
        <v>51</v>
      </c>
      <c r="U1112" s="1">
        <v>84</v>
      </c>
      <c r="V1112" s="1">
        <v>73</v>
      </c>
      <c r="W1112" s="1" t="s">
        <v>52</v>
      </c>
      <c r="X1112" s="1">
        <v>537224</v>
      </c>
      <c r="Y1112" s="2">
        <v>36210</v>
      </c>
      <c r="Z1112" s="1">
        <v>9.1789737171464303</v>
      </c>
      <c r="AA1112" s="1">
        <v>25</v>
      </c>
      <c r="AB1112" s="1">
        <v>184000</v>
      </c>
      <c r="AC1112" s="1">
        <f t="shared" si="17"/>
        <v>214000</v>
      </c>
    </row>
    <row r="1113" spans="1:29" x14ac:dyDescent="0.25">
      <c r="A1113" s="1" t="s">
        <v>1394</v>
      </c>
      <c r="B1113" s="1" t="s">
        <v>1069</v>
      </c>
      <c r="C1113" s="1" t="s">
        <v>1070</v>
      </c>
      <c r="D1113" s="1">
        <v>2022</v>
      </c>
      <c r="E1113" s="1" t="s">
        <v>31</v>
      </c>
      <c r="F1113" s="1">
        <v>4</v>
      </c>
      <c r="G1113" s="1" t="s">
        <v>32</v>
      </c>
      <c r="H1113" s="1" t="s">
        <v>113</v>
      </c>
      <c r="I1113" s="1">
        <v>169000</v>
      </c>
      <c r="J1113" s="1">
        <v>154000</v>
      </c>
      <c r="K1113" s="1">
        <v>15000</v>
      </c>
      <c r="L1113" s="1">
        <v>0</v>
      </c>
      <c r="M1113" s="1" t="s">
        <v>34</v>
      </c>
      <c r="N1113" s="1" t="s">
        <v>63</v>
      </c>
      <c r="O1113" s="1" t="s">
        <v>91</v>
      </c>
      <c r="P1113" s="1" t="s">
        <v>92</v>
      </c>
      <c r="Q1113" s="1" t="s">
        <v>38</v>
      </c>
      <c r="R1113" s="1" t="s">
        <v>1395</v>
      </c>
      <c r="S1113" s="3">
        <v>917782000000</v>
      </c>
      <c r="T1113" s="1" t="s">
        <v>74</v>
      </c>
      <c r="U1113" s="1">
        <v>84</v>
      </c>
      <c r="V1113" s="1">
        <v>78</v>
      </c>
      <c r="W1113" s="1" t="s">
        <v>41</v>
      </c>
      <c r="X1113" s="1">
        <v>766257</v>
      </c>
      <c r="Y1113" s="2">
        <v>36988</v>
      </c>
      <c r="Z1113" s="1">
        <v>9.1789737171464303</v>
      </c>
      <c r="AA1113" s="1">
        <v>23</v>
      </c>
      <c r="AB1113" s="1">
        <v>676000</v>
      </c>
      <c r="AC1113" s="1">
        <f t="shared" si="17"/>
        <v>736000</v>
      </c>
    </row>
    <row r="1114" spans="1:29" x14ac:dyDescent="0.25">
      <c r="A1114" s="1" t="s">
        <v>1396</v>
      </c>
      <c r="B1114" s="1" t="s">
        <v>1397</v>
      </c>
      <c r="C1114" s="1" t="s">
        <v>1398</v>
      </c>
      <c r="D1114" s="1">
        <v>2022</v>
      </c>
      <c r="E1114" s="1" t="s">
        <v>31</v>
      </c>
      <c r="F1114" s="1">
        <v>4</v>
      </c>
      <c r="G1114" s="1" t="s">
        <v>32</v>
      </c>
      <c r="H1114" s="1" t="s">
        <v>210</v>
      </c>
      <c r="I1114" s="1">
        <v>169000</v>
      </c>
      <c r="J1114" s="1">
        <v>154000</v>
      </c>
      <c r="K1114" s="1">
        <v>15000</v>
      </c>
      <c r="L1114" s="1">
        <v>0</v>
      </c>
      <c r="M1114" s="1" t="s">
        <v>34</v>
      </c>
      <c r="N1114" s="1" t="s">
        <v>63</v>
      </c>
      <c r="O1114" s="1" t="s">
        <v>57</v>
      </c>
      <c r="P1114" s="1" t="s">
        <v>57</v>
      </c>
      <c r="Q1114" s="1" t="s">
        <v>38</v>
      </c>
      <c r="R1114" s="1" t="s">
        <v>1399</v>
      </c>
      <c r="S1114" s="3">
        <v>918311000000</v>
      </c>
      <c r="T1114" s="1" t="s">
        <v>98</v>
      </c>
      <c r="U1114" s="1">
        <v>84</v>
      </c>
      <c r="V1114" s="1">
        <v>85</v>
      </c>
      <c r="W1114" s="1" t="s">
        <v>52</v>
      </c>
      <c r="X1114" s="1">
        <v>447796</v>
      </c>
      <c r="Y1114" s="2">
        <v>38843</v>
      </c>
      <c r="Z1114" s="1">
        <v>9.1789737171464303</v>
      </c>
      <c r="AA1114" s="1">
        <v>18</v>
      </c>
      <c r="AB1114" s="1">
        <v>676000</v>
      </c>
      <c r="AC1114" s="1">
        <f t="shared" si="17"/>
        <v>736000</v>
      </c>
    </row>
    <row r="1115" spans="1:29" x14ac:dyDescent="0.25">
      <c r="A1115" s="1" t="s">
        <v>1400</v>
      </c>
      <c r="B1115" s="1" t="s">
        <v>1401</v>
      </c>
      <c r="C1115" s="1" t="s">
        <v>1402</v>
      </c>
      <c r="D1115" s="1">
        <v>2022</v>
      </c>
      <c r="E1115" s="1" t="s">
        <v>31</v>
      </c>
      <c r="F1115" s="1">
        <v>4</v>
      </c>
      <c r="G1115" s="1" t="s">
        <v>32</v>
      </c>
      <c r="H1115" s="1" t="s">
        <v>90</v>
      </c>
      <c r="I1115" s="1">
        <v>169000</v>
      </c>
      <c r="J1115" s="1">
        <v>154000</v>
      </c>
      <c r="K1115" s="1">
        <v>15000</v>
      </c>
      <c r="L1115" s="1">
        <v>0</v>
      </c>
      <c r="M1115" s="1" t="s">
        <v>34</v>
      </c>
      <c r="N1115" s="1" t="s">
        <v>63</v>
      </c>
      <c r="O1115" s="1" t="s">
        <v>71</v>
      </c>
      <c r="P1115" s="1" t="s">
        <v>72</v>
      </c>
      <c r="Q1115" s="1" t="s">
        <v>38</v>
      </c>
      <c r="R1115" s="1" t="s">
        <v>1403</v>
      </c>
      <c r="S1115" s="3">
        <v>919393000000</v>
      </c>
      <c r="T1115" s="1" t="s">
        <v>86</v>
      </c>
      <c r="U1115" s="1">
        <v>84</v>
      </c>
      <c r="V1115" s="1">
        <v>80</v>
      </c>
      <c r="W1115" s="1" t="s">
        <v>41</v>
      </c>
      <c r="X1115" s="1">
        <v>424691</v>
      </c>
      <c r="Y1115" s="2">
        <v>37324</v>
      </c>
      <c r="Z1115" s="1">
        <v>9.1789737171464303</v>
      </c>
      <c r="AA1115" s="1">
        <v>22</v>
      </c>
      <c r="AB1115" s="1">
        <v>676000</v>
      </c>
      <c r="AC1115" s="1">
        <f t="shared" si="17"/>
        <v>736000</v>
      </c>
    </row>
    <row r="1116" spans="1:29" x14ac:dyDescent="0.25">
      <c r="A1116" s="1" t="s">
        <v>1418</v>
      </c>
      <c r="B1116" s="1" t="s">
        <v>1419</v>
      </c>
      <c r="C1116" s="1" t="s">
        <v>1420</v>
      </c>
      <c r="D1116" s="1">
        <v>2022</v>
      </c>
      <c r="E1116" s="1" t="s">
        <v>31</v>
      </c>
      <c r="F1116" s="1">
        <v>4</v>
      </c>
      <c r="G1116" s="1" t="s">
        <v>32</v>
      </c>
      <c r="H1116" s="1" t="s">
        <v>113</v>
      </c>
      <c r="I1116" s="1">
        <v>169000</v>
      </c>
      <c r="J1116" s="1">
        <v>154000</v>
      </c>
      <c r="K1116" s="1">
        <v>15000</v>
      </c>
      <c r="L1116" s="1">
        <v>0</v>
      </c>
      <c r="M1116" s="1" t="s">
        <v>34</v>
      </c>
      <c r="N1116" s="1" t="s">
        <v>70</v>
      </c>
      <c r="O1116" s="1" t="s">
        <v>91</v>
      </c>
      <c r="P1116" s="1" t="s">
        <v>92</v>
      </c>
      <c r="Q1116" s="1" t="s">
        <v>38</v>
      </c>
      <c r="R1116" s="1" t="s">
        <v>1421</v>
      </c>
      <c r="S1116" s="3">
        <v>917131000000</v>
      </c>
      <c r="T1116" s="1" t="s">
        <v>98</v>
      </c>
      <c r="U1116" s="1">
        <v>84</v>
      </c>
      <c r="V1116" s="1">
        <v>69</v>
      </c>
      <c r="W1116" s="1" t="s">
        <v>41</v>
      </c>
      <c r="X1116" s="1">
        <v>521791</v>
      </c>
      <c r="Y1116" s="2">
        <v>36731</v>
      </c>
      <c r="Z1116" s="1">
        <v>9.1789737171464303</v>
      </c>
      <c r="AA1116" s="1">
        <v>23</v>
      </c>
      <c r="AB1116" s="1">
        <v>676000</v>
      </c>
      <c r="AC1116" s="1">
        <f t="shared" si="17"/>
        <v>736000</v>
      </c>
    </row>
    <row r="1117" spans="1:29" x14ac:dyDescent="0.25">
      <c r="A1117" s="1" t="s">
        <v>1440</v>
      </c>
      <c r="B1117" s="1" t="s">
        <v>531</v>
      </c>
      <c r="C1117" s="1" t="s">
        <v>532</v>
      </c>
      <c r="D1117" s="1">
        <v>2022</v>
      </c>
      <c r="E1117" s="1" t="s">
        <v>45</v>
      </c>
      <c r="F1117" s="1">
        <v>2</v>
      </c>
      <c r="G1117" s="1" t="s">
        <v>46</v>
      </c>
      <c r="H1117" s="1" t="s">
        <v>90</v>
      </c>
      <c r="I1117" s="1">
        <v>92000</v>
      </c>
      <c r="J1117" s="1">
        <v>77000</v>
      </c>
      <c r="K1117" s="1">
        <v>15000</v>
      </c>
      <c r="L1117" s="1">
        <v>0</v>
      </c>
      <c r="M1117" s="1" t="s">
        <v>34</v>
      </c>
      <c r="N1117" s="1" t="s">
        <v>70</v>
      </c>
      <c r="O1117" s="1" t="s">
        <v>84</v>
      </c>
      <c r="P1117" s="1" t="s">
        <v>65</v>
      </c>
      <c r="Q1117" s="1" t="s">
        <v>38</v>
      </c>
      <c r="R1117" s="1" t="s">
        <v>1441</v>
      </c>
      <c r="S1117" s="3">
        <v>918028000000</v>
      </c>
      <c r="T1117" s="1" t="s">
        <v>40</v>
      </c>
      <c r="U1117" s="1">
        <v>83</v>
      </c>
      <c r="V1117" s="1">
        <v>67</v>
      </c>
      <c r="W1117" s="1" t="s">
        <v>52</v>
      </c>
      <c r="X1117" s="1">
        <v>302908</v>
      </c>
      <c r="Y1117" s="2">
        <v>37422</v>
      </c>
      <c r="Z1117" s="1">
        <v>8.1789737171464303</v>
      </c>
      <c r="AA1117" s="1">
        <v>22</v>
      </c>
      <c r="AB1117" s="1">
        <v>184000</v>
      </c>
      <c r="AC1117" s="1">
        <f t="shared" si="17"/>
        <v>214000</v>
      </c>
    </row>
    <row r="1118" spans="1:29" x14ac:dyDescent="0.25">
      <c r="A1118" s="1" t="s">
        <v>1442</v>
      </c>
      <c r="B1118" s="1" t="s">
        <v>1443</v>
      </c>
      <c r="C1118" s="1" t="s">
        <v>1444</v>
      </c>
      <c r="D1118" s="1">
        <v>2022</v>
      </c>
      <c r="E1118" s="1" t="s">
        <v>31</v>
      </c>
      <c r="F1118" s="1">
        <v>4</v>
      </c>
      <c r="G1118" s="1" t="s">
        <v>32</v>
      </c>
      <c r="H1118" s="1" t="s">
        <v>90</v>
      </c>
      <c r="I1118" s="1">
        <v>169000</v>
      </c>
      <c r="J1118" s="1">
        <v>154000</v>
      </c>
      <c r="K1118" s="1">
        <v>15000</v>
      </c>
      <c r="L1118" s="1">
        <v>0</v>
      </c>
      <c r="M1118" s="1" t="s">
        <v>34</v>
      </c>
      <c r="N1118" s="1" t="s">
        <v>63</v>
      </c>
      <c r="O1118" s="1" t="s">
        <v>84</v>
      </c>
      <c r="P1118" s="1" t="s">
        <v>65</v>
      </c>
      <c r="Q1118" s="1" t="s">
        <v>38</v>
      </c>
      <c r="R1118" s="1" t="s">
        <v>1445</v>
      </c>
      <c r="S1118" s="3">
        <v>919499000000</v>
      </c>
      <c r="T1118" s="1" t="s">
        <v>74</v>
      </c>
      <c r="U1118" s="1">
        <v>83</v>
      </c>
      <c r="V1118" s="1">
        <v>60</v>
      </c>
      <c r="W1118" s="1" t="s">
        <v>41</v>
      </c>
      <c r="X1118" s="1">
        <v>781519</v>
      </c>
      <c r="Y1118" s="2">
        <v>37881</v>
      </c>
      <c r="Z1118" s="1">
        <v>8.1789737171464303</v>
      </c>
      <c r="AA1118" s="1">
        <v>20</v>
      </c>
      <c r="AB1118" s="1">
        <v>676000</v>
      </c>
      <c r="AC1118" s="1">
        <f t="shared" si="17"/>
        <v>736000</v>
      </c>
    </row>
    <row r="1119" spans="1:29" x14ac:dyDescent="0.25">
      <c r="A1119" s="1" t="s">
        <v>1446</v>
      </c>
      <c r="B1119" s="1" t="s">
        <v>1447</v>
      </c>
      <c r="C1119" s="1" t="s">
        <v>1448</v>
      </c>
      <c r="D1119" s="1">
        <v>2022</v>
      </c>
      <c r="E1119" s="1" t="s">
        <v>31</v>
      </c>
      <c r="F1119" s="1">
        <v>4</v>
      </c>
      <c r="G1119" s="1" t="s">
        <v>32</v>
      </c>
      <c r="H1119" s="1" t="s">
        <v>102</v>
      </c>
      <c r="I1119" s="1">
        <v>169000</v>
      </c>
      <c r="J1119" s="1">
        <v>154000</v>
      </c>
      <c r="K1119" s="1">
        <v>15000</v>
      </c>
      <c r="L1119" s="1">
        <v>0</v>
      </c>
      <c r="M1119" s="1" t="s">
        <v>34</v>
      </c>
      <c r="N1119" s="1" t="s">
        <v>70</v>
      </c>
      <c r="O1119" s="1" t="s">
        <v>64</v>
      </c>
      <c r="P1119" s="1" t="s">
        <v>65</v>
      </c>
      <c r="Q1119" s="1" t="s">
        <v>38</v>
      </c>
      <c r="R1119" s="1" t="s">
        <v>1449</v>
      </c>
      <c r="S1119" s="3">
        <v>919590000000</v>
      </c>
      <c r="T1119" s="1" t="s">
        <v>86</v>
      </c>
      <c r="U1119" s="1">
        <v>83</v>
      </c>
      <c r="V1119" s="1">
        <v>77</v>
      </c>
      <c r="W1119" s="1" t="s">
        <v>41</v>
      </c>
      <c r="X1119" s="1">
        <v>479759</v>
      </c>
      <c r="Y1119" s="2">
        <v>38882</v>
      </c>
      <c r="Z1119" s="1">
        <v>8.1789737171464303</v>
      </c>
      <c r="AA1119" s="1">
        <v>18</v>
      </c>
      <c r="AB1119" s="1">
        <v>676000</v>
      </c>
      <c r="AC1119" s="1">
        <f t="shared" si="17"/>
        <v>736000</v>
      </c>
    </row>
    <row r="1120" spans="1:29" x14ac:dyDescent="0.25">
      <c r="A1120" s="1" t="s">
        <v>1498</v>
      </c>
      <c r="B1120" s="1" t="s">
        <v>1499</v>
      </c>
      <c r="C1120" s="1" t="s">
        <v>1500</v>
      </c>
      <c r="D1120" s="1">
        <v>2022</v>
      </c>
      <c r="E1120" s="1" t="s">
        <v>31</v>
      </c>
      <c r="F1120" s="1">
        <v>4</v>
      </c>
      <c r="G1120" s="1" t="s">
        <v>32</v>
      </c>
      <c r="H1120" s="1" t="s">
        <v>151</v>
      </c>
      <c r="I1120" s="1">
        <v>169000</v>
      </c>
      <c r="J1120" s="1">
        <v>154000</v>
      </c>
      <c r="K1120" s="1">
        <v>15000</v>
      </c>
      <c r="L1120" s="1">
        <v>0</v>
      </c>
      <c r="M1120" s="1" t="s">
        <v>5649</v>
      </c>
      <c r="N1120" s="1" t="s">
        <v>35</v>
      </c>
      <c r="O1120" s="1" t="s">
        <v>71</v>
      </c>
      <c r="P1120" s="1" t="s">
        <v>72</v>
      </c>
      <c r="Q1120" s="1" t="s">
        <v>38</v>
      </c>
      <c r="R1120" s="1" t="s">
        <v>1501</v>
      </c>
      <c r="S1120" s="3">
        <v>918345000000</v>
      </c>
      <c r="T1120" s="1" t="s">
        <v>51</v>
      </c>
      <c r="U1120" s="1">
        <v>83</v>
      </c>
      <c r="V1120" s="1">
        <v>69</v>
      </c>
      <c r="W1120" s="1" t="s">
        <v>52</v>
      </c>
      <c r="X1120" s="1">
        <v>394891</v>
      </c>
      <c r="Y1120" s="2">
        <v>38392</v>
      </c>
      <c r="Z1120" s="1">
        <v>8.1789737171464303</v>
      </c>
      <c r="AA1120" s="1">
        <v>19</v>
      </c>
      <c r="AB1120" s="1">
        <v>676000</v>
      </c>
      <c r="AC1120" s="1">
        <f t="shared" si="17"/>
        <v>736000</v>
      </c>
    </row>
    <row r="1121" spans="1:29" x14ac:dyDescent="0.25">
      <c r="A1121" s="1" t="s">
        <v>1502</v>
      </c>
      <c r="B1121" s="1" t="s">
        <v>1503</v>
      </c>
      <c r="C1121" s="1" t="s">
        <v>1504</v>
      </c>
      <c r="D1121" s="1">
        <v>2022</v>
      </c>
      <c r="E1121" s="1" t="s">
        <v>31</v>
      </c>
      <c r="F1121" s="1">
        <v>4</v>
      </c>
      <c r="G1121" s="1" t="s">
        <v>32</v>
      </c>
      <c r="H1121" s="1" t="s">
        <v>113</v>
      </c>
      <c r="I1121" s="1">
        <v>169000</v>
      </c>
      <c r="J1121" s="1">
        <v>154000</v>
      </c>
      <c r="K1121" s="1">
        <v>15000</v>
      </c>
      <c r="L1121" s="1">
        <v>0</v>
      </c>
      <c r="M1121" s="1" t="s">
        <v>5649</v>
      </c>
      <c r="N1121" s="1" t="s">
        <v>70</v>
      </c>
      <c r="O1121" s="1" t="s">
        <v>36</v>
      </c>
      <c r="P1121" s="1" t="s">
        <v>37</v>
      </c>
      <c r="Q1121" s="1" t="s">
        <v>38</v>
      </c>
      <c r="R1121" s="1" t="s">
        <v>1505</v>
      </c>
      <c r="S1121" s="3">
        <v>917862000000</v>
      </c>
      <c r="T1121" s="1" t="s">
        <v>86</v>
      </c>
      <c r="U1121" s="1">
        <v>83</v>
      </c>
      <c r="V1121" s="1">
        <v>78</v>
      </c>
      <c r="W1121" s="1" t="s">
        <v>52</v>
      </c>
      <c r="X1121" s="1">
        <v>232353</v>
      </c>
      <c r="Y1121" s="2">
        <v>38796</v>
      </c>
      <c r="Z1121" s="1">
        <v>8.1789737171464303</v>
      </c>
      <c r="AA1121" s="1">
        <v>18</v>
      </c>
      <c r="AB1121" s="1">
        <v>676000</v>
      </c>
      <c r="AC1121" s="1">
        <f t="shared" si="17"/>
        <v>736000</v>
      </c>
    </row>
    <row r="1122" spans="1:29" x14ac:dyDescent="0.25">
      <c r="A1122" s="1" t="s">
        <v>1508</v>
      </c>
      <c r="B1122" s="1" t="s">
        <v>1509</v>
      </c>
      <c r="C1122" s="1" t="s">
        <v>1510</v>
      </c>
      <c r="D1122" s="1">
        <v>2022</v>
      </c>
      <c r="E1122" s="1" t="s">
        <v>31</v>
      </c>
      <c r="F1122" s="1">
        <v>4</v>
      </c>
      <c r="G1122" s="1" t="s">
        <v>32</v>
      </c>
      <c r="H1122" s="1" t="s">
        <v>62</v>
      </c>
      <c r="I1122" s="1">
        <v>169000</v>
      </c>
      <c r="J1122" s="1">
        <v>154000</v>
      </c>
      <c r="K1122" s="1">
        <v>15000</v>
      </c>
      <c r="L1122" s="1">
        <v>0</v>
      </c>
      <c r="M1122" s="1" t="s">
        <v>5649</v>
      </c>
      <c r="N1122" s="1" t="s">
        <v>63</v>
      </c>
      <c r="O1122" s="1" t="s">
        <v>103</v>
      </c>
      <c r="P1122" s="1" t="s">
        <v>104</v>
      </c>
      <c r="Q1122" s="1" t="s">
        <v>38</v>
      </c>
      <c r="R1122" s="1" t="s">
        <v>1511</v>
      </c>
      <c r="S1122" s="3">
        <v>919637000000</v>
      </c>
      <c r="T1122" s="1" t="s">
        <v>51</v>
      </c>
      <c r="U1122" s="1">
        <v>83</v>
      </c>
      <c r="V1122" s="1">
        <v>67</v>
      </c>
      <c r="W1122" s="1" t="s">
        <v>52</v>
      </c>
      <c r="X1122" s="1">
        <v>175107</v>
      </c>
      <c r="Y1122" s="2">
        <v>37652</v>
      </c>
      <c r="Z1122" s="1">
        <v>8.1789737171464303</v>
      </c>
      <c r="AA1122" s="1">
        <v>21</v>
      </c>
      <c r="AB1122" s="1">
        <v>676000</v>
      </c>
      <c r="AC1122" s="1">
        <f t="shared" si="17"/>
        <v>736000</v>
      </c>
    </row>
    <row r="1123" spans="1:29" x14ac:dyDescent="0.25">
      <c r="A1123" s="1" t="s">
        <v>1578</v>
      </c>
      <c r="B1123" s="1" t="s">
        <v>919</v>
      </c>
      <c r="C1123" s="1" t="s">
        <v>920</v>
      </c>
      <c r="D1123" s="1">
        <v>2022</v>
      </c>
      <c r="E1123" s="1" t="s">
        <v>31</v>
      </c>
      <c r="F1123" s="1">
        <v>4</v>
      </c>
      <c r="G1123" s="1" t="s">
        <v>32</v>
      </c>
      <c r="H1123" s="1" t="s">
        <v>210</v>
      </c>
      <c r="I1123" s="1">
        <v>169000</v>
      </c>
      <c r="J1123" s="1">
        <v>154000</v>
      </c>
      <c r="K1123" s="1">
        <v>15000</v>
      </c>
      <c r="L1123" s="1">
        <v>0</v>
      </c>
      <c r="M1123" s="1" t="s">
        <v>34</v>
      </c>
      <c r="N1123" s="1" t="s">
        <v>63</v>
      </c>
      <c r="O1123" s="1" t="s">
        <v>91</v>
      </c>
      <c r="P1123" s="1" t="s">
        <v>92</v>
      </c>
      <c r="Q1123" s="1" t="s">
        <v>38</v>
      </c>
      <c r="R1123" s="1" t="s">
        <v>1579</v>
      </c>
      <c r="S1123" s="3">
        <v>917198000000</v>
      </c>
      <c r="T1123" s="1" t="s">
        <v>98</v>
      </c>
      <c r="U1123" s="1">
        <v>83</v>
      </c>
      <c r="V1123" s="1">
        <v>78</v>
      </c>
      <c r="W1123" s="1" t="s">
        <v>52</v>
      </c>
      <c r="X1123" s="1">
        <v>444994</v>
      </c>
      <c r="Y1123" s="2">
        <v>38699</v>
      </c>
      <c r="Z1123" s="1">
        <v>8.1789737171464303</v>
      </c>
      <c r="AA1123" s="1">
        <v>18</v>
      </c>
      <c r="AB1123" s="1">
        <v>676000</v>
      </c>
      <c r="AC1123" s="1">
        <f t="shared" si="17"/>
        <v>736000</v>
      </c>
    </row>
    <row r="1124" spans="1:29" x14ac:dyDescent="0.25">
      <c r="A1124" s="1" t="s">
        <v>1592</v>
      </c>
      <c r="B1124" s="1" t="s">
        <v>1593</v>
      </c>
      <c r="C1124" s="1" t="s">
        <v>1594</v>
      </c>
      <c r="D1124" s="1">
        <v>2022</v>
      </c>
      <c r="E1124" s="1" t="s">
        <v>31</v>
      </c>
      <c r="F1124" s="1">
        <v>4</v>
      </c>
      <c r="G1124" s="1" t="s">
        <v>32</v>
      </c>
      <c r="H1124" s="1" t="s">
        <v>62</v>
      </c>
      <c r="I1124" s="1">
        <v>169000</v>
      </c>
      <c r="J1124" s="1">
        <v>154000</v>
      </c>
      <c r="K1124" s="1">
        <v>15000</v>
      </c>
      <c r="L1124" s="1">
        <v>0</v>
      </c>
      <c r="M1124" s="1" t="s">
        <v>34</v>
      </c>
      <c r="N1124" s="1" t="s">
        <v>35</v>
      </c>
      <c r="O1124" s="1" t="s">
        <v>188</v>
      </c>
      <c r="P1124" s="1" t="s">
        <v>189</v>
      </c>
      <c r="Q1124" s="1" t="s">
        <v>38</v>
      </c>
      <c r="R1124" s="1" t="s">
        <v>1595</v>
      </c>
      <c r="S1124" s="3">
        <v>918997000000</v>
      </c>
      <c r="T1124" s="1" t="s">
        <v>74</v>
      </c>
      <c r="U1124" s="1">
        <v>83</v>
      </c>
      <c r="V1124" s="1">
        <v>83</v>
      </c>
      <c r="W1124" s="1" t="s">
        <v>52</v>
      </c>
      <c r="X1124" s="1">
        <v>685581</v>
      </c>
      <c r="Y1124" s="2">
        <v>38425</v>
      </c>
      <c r="Z1124" s="1">
        <v>8.1789737171464303</v>
      </c>
      <c r="AA1124" s="1">
        <v>19</v>
      </c>
      <c r="AB1124" s="1">
        <v>676000</v>
      </c>
      <c r="AC1124" s="1">
        <f t="shared" si="17"/>
        <v>736000</v>
      </c>
    </row>
    <row r="1125" spans="1:29" x14ac:dyDescent="0.25">
      <c r="A1125" s="1" t="s">
        <v>1600</v>
      </c>
      <c r="B1125" s="1" t="s">
        <v>1601</v>
      </c>
      <c r="C1125" s="1" t="s">
        <v>1602</v>
      </c>
      <c r="D1125" s="1">
        <v>2022</v>
      </c>
      <c r="E1125" s="1" t="s">
        <v>31</v>
      </c>
      <c r="F1125" s="1">
        <v>4</v>
      </c>
      <c r="G1125" s="1" t="s">
        <v>32</v>
      </c>
      <c r="H1125" s="1" t="s">
        <v>151</v>
      </c>
      <c r="I1125" s="1">
        <v>169000</v>
      </c>
      <c r="J1125" s="1">
        <v>154000</v>
      </c>
      <c r="K1125" s="1">
        <v>15000</v>
      </c>
      <c r="L1125" s="1">
        <v>0</v>
      </c>
      <c r="M1125" s="1" t="s">
        <v>34</v>
      </c>
      <c r="N1125" s="1" t="s">
        <v>63</v>
      </c>
      <c r="O1125" s="1" t="s">
        <v>91</v>
      </c>
      <c r="P1125" s="1" t="s">
        <v>92</v>
      </c>
      <c r="Q1125" s="1" t="s">
        <v>38</v>
      </c>
      <c r="R1125" s="1" t="s">
        <v>1603</v>
      </c>
      <c r="S1125" s="3">
        <v>917165000000</v>
      </c>
      <c r="T1125" s="1" t="s">
        <v>51</v>
      </c>
      <c r="U1125" s="1">
        <v>83</v>
      </c>
      <c r="V1125" s="1">
        <v>63</v>
      </c>
      <c r="W1125" s="1" t="s">
        <v>41</v>
      </c>
      <c r="X1125" s="1">
        <v>462017</v>
      </c>
      <c r="Y1125" s="2">
        <v>38529</v>
      </c>
      <c r="Z1125" s="1">
        <v>8.1789737171464303</v>
      </c>
      <c r="AA1125" s="1">
        <v>19</v>
      </c>
      <c r="AB1125" s="1">
        <v>676000</v>
      </c>
      <c r="AC1125" s="1">
        <f t="shared" si="17"/>
        <v>736000</v>
      </c>
    </row>
    <row r="1126" spans="1:29" x14ac:dyDescent="0.25">
      <c r="A1126" s="1" t="s">
        <v>1608</v>
      </c>
      <c r="B1126" s="1" t="s">
        <v>1609</v>
      </c>
      <c r="C1126" s="1" t="s">
        <v>1610</v>
      </c>
      <c r="D1126" s="1">
        <v>2022</v>
      </c>
      <c r="E1126" s="1" t="s">
        <v>31</v>
      </c>
      <c r="F1126" s="1">
        <v>4</v>
      </c>
      <c r="G1126" s="1" t="s">
        <v>32</v>
      </c>
      <c r="H1126" s="1" t="s">
        <v>113</v>
      </c>
      <c r="I1126" s="1">
        <v>169000</v>
      </c>
      <c r="J1126" s="1">
        <v>154000</v>
      </c>
      <c r="K1126" s="1">
        <v>15000</v>
      </c>
      <c r="L1126" s="1">
        <v>0</v>
      </c>
      <c r="M1126" s="1" t="s">
        <v>34</v>
      </c>
      <c r="N1126" s="1" t="s">
        <v>35</v>
      </c>
      <c r="O1126" s="1" t="s">
        <v>78</v>
      </c>
      <c r="P1126" s="1" t="s">
        <v>79</v>
      </c>
      <c r="Q1126" s="1" t="s">
        <v>38</v>
      </c>
      <c r="R1126" s="1" t="s">
        <v>1611</v>
      </c>
      <c r="S1126" s="3">
        <v>919964000000</v>
      </c>
      <c r="T1126" s="1" t="s">
        <v>51</v>
      </c>
      <c r="U1126" s="1">
        <v>82</v>
      </c>
      <c r="V1126" s="1">
        <v>86</v>
      </c>
      <c r="W1126" s="1" t="s">
        <v>41</v>
      </c>
      <c r="X1126" s="1">
        <v>389137</v>
      </c>
      <c r="Y1126" s="2">
        <v>38100</v>
      </c>
      <c r="Z1126" s="1">
        <v>7.1789737171464303</v>
      </c>
      <c r="AA1126" s="1">
        <v>20</v>
      </c>
      <c r="AB1126" s="1">
        <v>676000</v>
      </c>
      <c r="AC1126" s="1">
        <f t="shared" si="17"/>
        <v>736000</v>
      </c>
    </row>
    <row r="1127" spans="1:29" x14ac:dyDescent="0.25">
      <c r="A1127" s="1" t="s">
        <v>1640</v>
      </c>
      <c r="B1127" s="1" t="s">
        <v>501</v>
      </c>
      <c r="C1127" s="1" t="s">
        <v>502</v>
      </c>
      <c r="D1127" s="1">
        <v>2022</v>
      </c>
      <c r="E1127" s="1" t="s">
        <v>45</v>
      </c>
      <c r="F1127" s="1">
        <v>2</v>
      </c>
      <c r="G1127" s="1" t="s">
        <v>46</v>
      </c>
      <c r="H1127" s="1" t="s">
        <v>33</v>
      </c>
      <c r="I1127" s="1">
        <v>92000</v>
      </c>
      <c r="J1127" s="1">
        <v>77000</v>
      </c>
      <c r="K1127" s="1">
        <v>15000</v>
      </c>
      <c r="L1127" s="1">
        <v>0</v>
      </c>
      <c r="M1127" s="1" t="s">
        <v>34</v>
      </c>
      <c r="N1127" s="1" t="s">
        <v>63</v>
      </c>
      <c r="O1127" s="1" t="s">
        <v>71</v>
      </c>
      <c r="P1127" s="1" t="s">
        <v>72</v>
      </c>
      <c r="Q1127" s="1" t="s">
        <v>38</v>
      </c>
      <c r="R1127" s="1" t="s">
        <v>1641</v>
      </c>
      <c r="S1127" s="3">
        <v>919493000000</v>
      </c>
      <c r="T1127" s="1" t="s">
        <v>98</v>
      </c>
      <c r="U1127" s="1">
        <v>82</v>
      </c>
      <c r="V1127" s="1">
        <v>85</v>
      </c>
      <c r="W1127" s="1" t="s">
        <v>41</v>
      </c>
      <c r="X1127" s="1">
        <v>374917</v>
      </c>
      <c r="Y1127" s="2">
        <v>37413</v>
      </c>
      <c r="Z1127" s="1">
        <v>7.1789737171464303</v>
      </c>
      <c r="AA1127" s="1">
        <v>22</v>
      </c>
      <c r="AB1127" s="1">
        <v>184000</v>
      </c>
      <c r="AC1127" s="1">
        <f t="shared" si="17"/>
        <v>214000</v>
      </c>
    </row>
    <row r="1128" spans="1:29" x14ac:dyDescent="0.25">
      <c r="A1128" s="1" t="s">
        <v>1664</v>
      </c>
      <c r="B1128" s="1" t="s">
        <v>1665</v>
      </c>
      <c r="C1128" s="1" t="s">
        <v>1666</v>
      </c>
      <c r="D1128" s="1">
        <v>2022</v>
      </c>
      <c r="E1128" s="1" t="s">
        <v>31</v>
      </c>
      <c r="F1128" s="1">
        <v>4</v>
      </c>
      <c r="G1128" s="1" t="s">
        <v>32</v>
      </c>
      <c r="H1128" s="1" t="s">
        <v>151</v>
      </c>
      <c r="I1128" s="1">
        <v>169000</v>
      </c>
      <c r="J1128" s="1">
        <v>154000</v>
      </c>
      <c r="K1128" s="1">
        <v>15000</v>
      </c>
      <c r="L1128" s="1">
        <v>0</v>
      </c>
      <c r="M1128" s="1" t="s">
        <v>34</v>
      </c>
      <c r="N1128" s="1" t="s">
        <v>35</v>
      </c>
      <c r="O1128" s="1" t="s">
        <v>64</v>
      </c>
      <c r="P1128" s="1" t="s">
        <v>65</v>
      </c>
      <c r="Q1128" s="1" t="s">
        <v>38</v>
      </c>
      <c r="R1128" s="1" t="s">
        <v>1667</v>
      </c>
      <c r="S1128" s="3">
        <v>919267000000</v>
      </c>
      <c r="T1128" s="1" t="s">
        <v>40</v>
      </c>
      <c r="U1128" s="1">
        <v>82</v>
      </c>
      <c r="V1128" s="1">
        <v>67</v>
      </c>
      <c r="W1128" s="1" t="s">
        <v>52</v>
      </c>
      <c r="X1128" s="1">
        <v>242268</v>
      </c>
      <c r="Y1128" s="2">
        <v>37653</v>
      </c>
      <c r="Z1128" s="1">
        <v>7.1789737171464303</v>
      </c>
      <c r="AA1128" s="1">
        <v>21</v>
      </c>
      <c r="AB1128" s="1">
        <v>676000</v>
      </c>
      <c r="AC1128" s="1">
        <f t="shared" si="17"/>
        <v>736000</v>
      </c>
    </row>
    <row r="1129" spans="1:29" x14ac:dyDescent="0.25">
      <c r="A1129" s="1" t="s">
        <v>1700</v>
      </c>
      <c r="B1129" s="1" t="s">
        <v>1701</v>
      </c>
      <c r="C1129" s="1" t="s">
        <v>1702</v>
      </c>
      <c r="D1129" s="1">
        <v>2022</v>
      </c>
      <c r="E1129" s="1" t="s">
        <v>31</v>
      </c>
      <c r="F1129" s="1">
        <v>4</v>
      </c>
      <c r="G1129" s="1" t="s">
        <v>32</v>
      </c>
      <c r="H1129" s="1" t="s">
        <v>56</v>
      </c>
      <c r="I1129" s="1">
        <v>169000</v>
      </c>
      <c r="J1129" s="1">
        <v>154000</v>
      </c>
      <c r="K1129" s="1">
        <v>15000</v>
      </c>
      <c r="L1129" s="1">
        <v>0</v>
      </c>
      <c r="M1129" s="1" t="s">
        <v>34</v>
      </c>
      <c r="N1129" s="1" t="s">
        <v>63</v>
      </c>
      <c r="O1129" s="1" t="s">
        <v>36</v>
      </c>
      <c r="P1129" s="1" t="s">
        <v>37</v>
      </c>
      <c r="Q1129" s="1" t="s">
        <v>38</v>
      </c>
      <c r="R1129" s="1" t="s">
        <v>1703</v>
      </c>
      <c r="S1129" s="3">
        <v>918968000000</v>
      </c>
      <c r="T1129" s="1" t="s">
        <v>98</v>
      </c>
      <c r="U1129" s="1">
        <v>82</v>
      </c>
      <c r="V1129" s="1">
        <v>85</v>
      </c>
      <c r="W1129" s="1" t="s">
        <v>52</v>
      </c>
      <c r="X1129" s="1">
        <v>150967</v>
      </c>
      <c r="Y1129" s="2">
        <v>37961</v>
      </c>
      <c r="Z1129" s="1">
        <v>7.1789737171464303</v>
      </c>
      <c r="AA1129" s="1">
        <v>20</v>
      </c>
      <c r="AB1129" s="1">
        <v>676000</v>
      </c>
      <c r="AC1129" s="1">
        <f t="shared" si="17"/>
        <v>736000</v>
      </c>
    </row>
    <row r="1130" spans="1:29" x14ac:dyDescent="0.25">
      <c r="A1130" s="1" t="s">
        <v>1724</v>
      </c>
      <c r="B1130" s="1" t="s">
        <v>1725</v>
      </c>
      <c r="C1130" s="1" t="s">
        <v>1726</v>
      </c>
      <c r="D1130" s="1">
        <v>2022</v>
      </c>
      <c r="E1130" s="1" t="s">
        <v>31</v>
      </c>
      <c r="F1130" s="1">
        <v>4</v>
      </c>
      <c r="G1130" s="1" t="s">
        <v>32</v>
      </c>
      <c r="H1130" s="1" t="s">
        <v>33</v>
      </c>
      <c r="I1130" s="1">
        <v>169000</v>
      </c>
      <c r="J1130" s="1">
        <v>154000</v>
      </c>
      <c r="K1130" s="1">
        <v>15000</v>
      </c>
      <c r="L1130" s="1">
        <v>0</v>
      </c>
      <c r="M1130" s="1" t="s">
        <v>34</v>
      </c>
      <c r="N1130" s="1" t="s">
        <v>70</v>
      </c>
      <c r="O1130" s="1" t="s">
        <v>71</v>
      </c>
      <c r="P1130" s="1" t="s">
        <v>72</v>
      </c>
      <c r="Q1130" s="1" t="s">
        <v>38</v>
      </c>
      <c r="R1130" s="1" t="s">
        <v>1727</v>
      </c>
      <c r="S1130" s="3">
        <v>919416000000</v>
      </c>
      <c r="T1130" s="1" t="s">
        <v>51</v>
      </c>
      <c r="U1130" s="1">
        <v>82</v>
      </c>
      <c r="V1130" s="1">
        <v>88</v>
      </c>
      <c r="W1130" s="1" t="s">
        <v>52</v>
      </c>
      <c r="X1130" s="1">
        <v>160822</v>
      </c>
      <c r="Y1130" s="2">
        <v>37495</v>
      </c>
      <c r="Z1130" s="1">
        <v>7.1789737171464303</v>
      </c>
      <c r="AA1130" s="1">
        <v>21</v>
      </c>
      <c r="AB1130" s="1">
        <v>676000</v>
      </c>
      <c r="AC1130" s="1">
        <f t="shared" si="17"/>
        <v>736000</v>
      </c>
    </row>
    <row r="1131" spans="1:29" x14ac:dyDescent="0.25">
      <c r="A1131" s="1" t="s">
        <v>1736</v>
      </c>
      <c r="B1131" s="1" t="s">
        <v>1737</v>
      </c>
      <c r="C1131" s="1" t="s">
        <v>1738</v>
      </c>
      <c r="D1131" s="1">
        <v>2022</v>
      </c>
      <c r="E1131" s="1" t="s">
        <v>31</v>
      </c>
      <c r="F1131" s="1">
        <v>4</v>
      </c>
      <c r="G1131" s="1" t="s">
        <v>32</v>
      </c>
      <c r="H1131" s="1" t="s">
        <v>62</v>
      </c>
      <c r="I1131" s="1">
        <v>169000</v>
      </c>
      <c r="J1131" s="1">
        <v>154000</v>
      </c>
      <c r="K1131" s="1">
        <v>15000</v>
      </c>
      <c r="L1131" s="1">
        <v>0</v>
      </c>
      <c r="M1131" s="1" t="s">
        <v>34</v>
      </c>
      <c r="N1131" s="1" t="s">
        <v>35</v>
      </c>
      <c r="O1131" s="1" t="s">
        <v>188</v>
      </c>
      <c r="P1131" s="1" t="s">
        <v>189</v>
      </c>
      <c r="Q1131" s="1" t="s">
        <v>38</v>
      </c>
      <c r="R1131" s="1" t="s">
        <v>1739</v>
      </c>
      <c r="S1131" s="3">
        <v>918321000000</v>
      </c>
      <c r="T1131" s="1" t="s">
        <v>51</v>
      </c>
      <c r="U1131" s="1">
        <v>82</v>
      </c>
      <c r="V1131" s="1">
        <v>68</v>
      </c>
      <c r="W1131" s="1" t="s">
        <v>52</v>
      </c>
      <c r="X1131" s="1">
        <v>357495</v>
      </c>
      <c r="Y1131" s="2">
        <v>36800</v>
      </c>
      <c r="Z1131" s="1">
        <v>7.1789737171464303</v>
      </c>
      <c r="AA1131" s="1">
        <v>23</v>
      </c>
      <c r="AB1131" s="1">
        <v>676000</v>
      </c>
      <c r="AC1131" s="1">
        <f t="shared" si="17"/>
        <v>736000</v>
      </c>
    </row>
    <row r="1132" spans="1:29" x14ac:dyDescent="0.25">
      <c r="A1132" s="1" t="s">
        <v>1740</v>
      </c>
      <c r="B1132" s="1" t="s">
        <v>1741</v>
      </c>
      <c r="C1132" s="1" t="s">
        <v>1742</v>
      </c>
      <c r="D1132" s="1">
        <v>2022</v>
      </c>
      <c r="E1132" s="1" t="s">
        <v>31</v>
      </c>
      <c r="F1132" s="1">
        <v>4</v>
      </c>
      <c r="G1132" s="1" t="s">
        <v>32</v>
      </c>
      <c r="H1132" s="1" t="s">
        <v>151</v>
      </c>
      <c r="I1132" s="1">
        <v>169000</v>
      </c>
      <c r="J1132" s="1">
        <v>154000</v>
      </c>
      <c r="K1132" s="1">
        <v>15000</v>
      </c>
      <c r="L1132" s="1">
        <v>0</v>
      </c>
      <c r="M1132" s="1" t="s">
        <v>34</v>
      </c>
      <c r="N1132" s="1" t="s">
        <v>35</v>
      </c>
      <c r="O1132" s="1" t="s">
        <v>91</v>
      </c>
      <c r="P1132" s="1" t="s">
        <v>92</v>
      </c>
      <c r="Q1132" s="1" t="s">
        <v>38</v>
      </c>
      <c r="R1132" s="1" t="s">
        <v>1743</v>
      </c>
      <c r="S1132" s="3">
        <v>918102000000</v>
      </c>
      <c r="T1132" s="1" t="s">
        <v>86</v>
      </c>
      <c r="U1132" s="1">
        <v>82</v>
      </c>
      <c r="V1132" s="1">
        <v>79</v>
      </c>
      <c r="W1132" s="1" t="s">
        <v>52</v>
      </c>
      <c r="X1132" s="1">
        <v>478797</v>
      </c>
      <c r="Y1132" s="2">
        <v>38346</v>
      </c>
      <c r="Z1132" s="1">
        <v>7.1789737171464303</v>
      </c>
      <c r="AA1132" s="1">
        <v>19</v>
      </c>
      <c r="AB1132" s="1">
        <v>676000</v>
      </c>
      <c r="AC1132" s="1">
        <f t="shared" si="17"/>
        <v>736000</v>
      </c>
    </row>
    <row r="1133" spans="1:29" x14ac:dyDescent="0.25">
      <c r="A1133" s="1" t="s">
        <v>1766</v>
      </c>
      <c r="B1133" s="1" t="s">
        <v>1767</v>
      </c>
      <c r="C1133" s="1" t="s">
        <v>1768</v>
      </c>
      <c r="D1133" s="1">
        <v>2022</v>
      </c>
      <c r="E1133" s="1" t="s">
        <v>45</v>
      </c>
      <c r="F1133" s="1">
        <v>2</v>
      </c>
      <c r="G1133" s="1" t="s">
        <v>46</v>
      </c>
      <c r="H1133" s="1" t="s">
        <v>33</v>
      </c>
      <c r="I1133" s="1">
        <v>92000</v>
      </c>
      <c r="J1133" s="1">
        <v>77000</v>
      </c>
      <c r="K1133" s="1">
        <v>15000</v>
      </c>
      <c r="L1133" s="1">
        <v>0</v>
      </c>
      <c r="M1133" s="1" t="s">
        <v>34</v>
      </c>
      <c r="N1133" s="1" t="s">
        <v>63</v>
      </c>
      <c r="O1133" s="1" t="s">
        <v>36</v>
      </c>
      <c r="P1133" s="1" t="s">
        <v>37</v>
      </c>
      <c r="Q1133" s="1" t="s">
        <v>38</v>
      </c>
      <c r="R1133" s="1" t="s">
        <v>1769</v>
      </c>
      <c r="S1133" s="3">
        <v>918627000000</v>
      </c>
      <c r="T1133" s="1" t="s">
        <v>40</v>
      </c>
      <c r="U1133" s="1">
        <v>82</v>
      </c>
      <c r="V1133" s="1">
        <v>74</v>
      </c>
      <c r="W1133" s="1" t="s">
        <v>52</v>
      </c>
      <c r="X1133" s="1">
        <v>613915</v>
      </c>
      <c r="Y1133" s="2">
        <v>36805</v>
      </c>
      <c r="Z1133" s="1">
        <v>7.1789737171464303</v>
      </c>
      <c r="AA1133" s="1">
        <v>23</v>
      </c>
      <c r="AB1133" s="1">
        <v>184000</v>
      </c>
      <c r="AC1133" s="1">
        <f t="shared" si="17"/>
        <v>214000</v>
      </c>
    </row>
    <row r="1134" spans="1:29" x14ac:dyDescent="0.25">
      <c r="A1134" s="1" t="s">
        <v>1770</v>
      </c>
      <c r="B1134" s="1" t="s">
        <v>1771</v>
      </c>
      <c r="C1134" s="1" t="s">
        <v>1772</v>
      </c>
      <c r="D1134" s="1">
        <v>2022</v>
      </c>
      <c r="E1134" s="1" t="s">
        <v>31</v>
      </c>
      <c r="F1134" s="1">
        <v>4</v>
      </c>
      <c r="G1134" s="1" t="s">
        <v>32</v>
      </c>
      <c r="H1134" s="1" t="s">
        <v>122</v>
      </c>
      <c r="I1134" s="1">
        <v>169000</v>
      </c>
      <c r="J1134" s="1">
        <v>154000</v>
      </c>
      <c r="K1134" s="1">
        <v>15000</v>
      </c>
      <c r="L1134" s="1">
        <v>0</v>
      </c>
      <c r="M1134" s="1" t="s">
        <v>34</v>
      </c>
      <c r="N1134" s="1" t="s">
        <v>63</v>
      </c>
      <c r="O1134" s="1" t="s">
        <v>84</v>
      </c>
      <c r="P1134" s="1" t="s">
        <v>65</v>
      </c>
      <c r="Q1134" s="1" t="s">
        <v>38</v>
      </c>
      <c r="R1134" s="1" t="s">
        <v>1773</v>
      </c>
      <c r="S1134" s="3">
        <v>919229000000</v>
      </c>
      <c r="T1134" s="1" t="s">
        <v>40</v>
      </c>
      <c r="U1134" s="1">
        <v>82</v>
      </c>
      <c r="V1134" s="1">
        <v>73</v>
      </c>
      <c r="W1134" s="1" t="s">
        <v>41</v>
      </c>
      <c r="X1134" s="1">
        <v>653654</v>
      </c>
      <c r="Y1134" s="2">
        <v>37110</v>
      </c>
      <c r="Z1134" s="1">
        <v>7.1789737171464303</v>
      </c>
      <c r="AA1134" s="1">
        <v>22</v>
      </c>
      <c r="AB1134" s="1">
        <v>676000</v>
      </c>
      <c r="AC1134" s="1">
        <f t="shared" si="17"/>
        <v>736000</v>
      </c>
    </row>
    <row r="1135" spans="1:29" x14ac:dyDescent="0.25">
      <c r="A1135" s="1" t="s">
        <v>1794</v>
      </c>
      <c r="B1135" s="1" t="s">
        <v>709</v>
      </c>
      <c r="C1135" s="1" t="s">
        <v>710</v>
      </c>
      <c r="D1135" s="1">
        <v>2022</v>
      </c>
      <c r="E1135" s="1" t="s">
        <v>45</v>
      </c>
      <c r="F1135" s="1">
        <v>2</v>
      </c>
      <c r="G1135" s="1" t="s">
        <v>46</v>
      </c>
      <c r="H1135" s="1" t="s">
        <v>113</v>
      </c>
      <c r="I1135" s="1">
        <v>92000</v>
      </c>
      <c r="J1135" s="1">
        <v>77000</v>
      </c>
      <c r="K1135" s="1">
        <v>15000</v>
      </c>
      <c r="L1135" s="1">
        <v>0</v>
      </c>
      <c r="M1135" s="1" t="s">
        <v>34</v>
      </c>
      <c r="N1135" s="1" t="s">
        <v>70</v>
      </c>
      <c r="O1135" s="1" t="s">
        <v>64</v>
      </c>
      <c r="P1135" s="1" t="s">
        <v>65</v>
      </c>
      <c r="Q1135" s="1" t="s">
        <v>38</v>
      </c>
      <c r="R1135" s="1" t="s">
        <v>1795</v>
      </c>
      <c r="S1135" s="3">
        <v>918811000000</v>
      </c>
      <c r="T1135" s="1" t="s">
        <v>86</v>
      </c>
      <c r="U1135" s="1">
        <v>81</v>
      </c>
      <c r="V1135" s="1">
        <v>81</v>
      </c>
      <c r="W1135" s="1" t="s">
        <v>41</v>
      </c>
      <c r="X1135" s="1">
        <v>334262</v>
      </c>
      <c r="Y1135" s="2">
        <v>36420</v>
      </c>
      <c r="Z1135" s="1">
        <v>6.1789737171464303</v>
      </c>
      <c r="AA1135" s="1">
        <v>24</v>
      </c>
      <c r="AB1135" s="1">
        <v>184000</v>
      </c>
      <c r="AC1135" s="1">
        <f t="shared" si="17"/>
        <v>214000</v>
      </c>
    </row>
    <row r="1136" spans="1:29" x14ac:dyDescent="0.25">
      <c r="A1136" s="1" t="s">
        <v>1804</v>
      </c>
      <c r="B1136" s="1" t="s">
        <v>1805</v>
      </c>
      <c r="C1136" s="1" t="s">
        <v>1806</v>
      </c>
      <c r="D1136" s="1">
        <v>2022</v>
      </c>
      <c r="E1136" s="1" t="s">
        <v>31</v>
      </c>
      <c r="F1136" s="1">
        <v>4</v>
      </c>
      <c r="G1136" s="1" t="s">
        <v>32</v>
      </c>
      <c r="H1136" s="1" t="s">
        <v>122</v>
      </c>
      <c r="I1136" s="1">
        <v>169000</v>
      </c>
      <c r="J1136" s="1">
        <v>154000</v>
      </c>
      <c r="K1136" s="1">
        <v>15000</v>
      </c>
      <c r="L1136" s="1">
        <v>0</v>
      </c>
      <c r="M1136" s="1" t="s">
        <v>34</v>
      </c>
      <c r="N1136" s="1" t="s">
        <v>70</v>
      </c>
      <c r="O1136" s="1" t="s">
        <v>91</v>
      </c>
      <c r="P1136" s="1" t="s">
        <v>92</v>
      </c>
      <c r="Q1136" s="1" t="s">
        <v>38</v>
      </c>
      <c r="R1136" s="1" t="s">
        <v>1807</v>
      </c>
      <c r="S1136" s="3">
        <v>917569000000</v>
      </c>
      <c r="T1136" s="1" t="s">
        <v>51</v>
      </c>
      <c r="U1136" s="1">
        <v>81</v>
      </c>
      <c r="V1136" s="1">
        <v>86</v>
      </c>
      <c r="W1136" s="1" t="s">
        <v>52</v>
      </c>
      <c r="X1136" s="1">
        <v>542513</v>
      </c>
      <c r="Y1136" s="2">
        <v>37228</v>
      </c>
      <c r="Z1136" s="1">
        <v>6.1789737171464303</v>
      </c>
      <c r="AA1136" s="1">
        <v>22</v>
      </c>
      <c r="AB1136" s="1">
        <v>676000</v>
      </c>
      <c r="AC1136" s="1">
        <f t="shared" si="17"/>
        <v>736000</v>
      </c>
    </row>
    <row r="1137" spans="1:29" x14ac:dyDescent="0.25">
      <c r="A1137" s="1" t="s">
        <v>296</v>
      </c>
      <c r="B1137" s="1" t="s">
        <v>1808</v>
      </c>
      <c r="C1137" s="1" t="s">
        <v>1809</v>
      </c>
      <c r="D1137" s="1">
        <v>2022</v>
      </c>
      <c r="E1137" s="1" t="s">
        <v>31</v>
      </c>
      <c r="F1137" s="1">
        <v>4</v>
      </c>
      <c r="G1137" s="1" t="s">
        <v>32</v>
      </c>
      <c r="H1137" s="1" t="s">
        <v>62</v>
      </c>
      <c r="I1137" s="1">
        <v>169000</v>
      </c>
      <c r="J1137" s="1">
        <v>154000</v>
      </c>
      <c r="K1137" s="1">
        <v>15000</v>
      </c>
      <c r="L1137" s="1">
        <v>0</v>
      </c>
      <c r="M1137" s="1" t="s">
        <v>34</v>
      </c>
      <c r="N1137" s="1" t="s">
        <v>63</v>
      </c>
      <c r="O1137" s="1" t="s">
        <v>36</v>
      </c>
      <c r="P1137" s="1" t="s">
        <v>37</v>
      </c>
      <c r="Q1137" s="1" t="s">
        <v>38</v>
      </c>
      <c r="R1137" s="1" t="s">
        <v>1810</v>
      </c>
      <c r="S1137" s="3">
        <v>919799000000</v>
      </c>
      <c r="T1137" s="1" t="s">
        <v>86</v>
      </c>
      <c r="U1137" s="1">
        <v>81</v>
      </c>
      <c r="V1137" s="1">
        <v>74</v>
      </c>
      <c r="W1137" s="1" t="s">
        <v>52</v>
      </c>
      <c r="X1137" s="1">
        <v>300263</v>
      </c>
      <c r="Y1137" s="2">
        <v>38685</v>
      </c>
      <c r="Z1137" s="1">
        <v>6.1789737171464303</v>
      </c>
      <c r="AA1137" s="1">
        <v>18</v>
      </c>
      <c r="AB1137" s="1">
        <v>676000</v>
      </c>
      <c r="AC1137" s="1">
        <f t="shared" si="17"/>
        <v>736000</v>
      </c>
    </row>
    <row r="1138" spans="1:29" x14ac:dyDescent="0.25">
      <c r="A1138" s="1" t="s">
        <v>1831</v>
      </c>
      <c r="B1138" s="1" t="s">
        <v>1832</v>
      </c>
      <c r="C1138" s="1" t="s">
        <v>1833</v>
      </c>
      <c r="D1138" s="1">
        <v>2022</v>
      </c>
      <c r="E1138" s="1" t="s">
        <v>31</v>
      </c>
      <c r="F1138" s="1">
        <v>4</v>
      </c>
      <c r="G1138" s="1" t="s">
        <v>32</v>
      </c>
      <c r="H1138" s="1" t="s">
        <v>47</v>
      </c>
      <c r="I1138" s="1">
        <v>169000</v>
      </c>
      <c r="J1138" s="1">
        <v>154000</v>
      </c>
      <c r="K1138" s="1">
        <v>15000</v>
      </c>
      <c r="L1138" s="1">
        <v>0</v>
      </c>
      <c r="M1138" s="1" t="s">
        <v>34</v>
      </c>
      <c r="N1138" s="1" t="s">
        <v>35</v>
      </c>
      <c r="O1138" s="1" t="s">
        <v>91</v>
      </c>
      <c r="P1138" s="1" t="s">
        <v>92</v>
      </c>
      <c r="Q1138" s="1" t="s">
        <v>38</v>
      </c>
      <c r="R1138" s="1" t="s">
        <v>1834</v>
      </c>
      <c r="S1138" s="3">
        <v>919559000000</v>
      </c>
      <c r="T1138" s="1" t="s">
        <v>86</v>
      </c>
      <c r="U1138" s="1">
        <v>81</v>
      </c>
      <c r="V1138" s="1">
        <v>65</v>
      </c>
      <c r="W1138" s="1" t="s">
        <v>41</v>
      </c>
      <c r="X1138" s="1">
        <v>208422</v>
      </c>
      <c r="Y1138" s="2">
        <v>38246</v>
      </c>
      <c r="Z1138" s="1">
        <v>6.1789737171464303</v>
      </c>
      <c r="AA1138" s="1">
        <v>19</v>
      </c>
      <c r="AB1138" s="1">
        <v>676000</v>
      </c>
      <c r="AC1138" s="1">
        <f t="shared" si="17"/>
        <v>736000</v>
      </c>
    </row>
    <row r="1139" spans="1:29" x14ac:dyDescent="0.25">
      <c r="A1139" s="1" t="s">
        <v>1857</v>
      </c>
      <c r="B1139" s="1" t="s">
        <v>54</v>
      </c>
      <c r="C1139" s="1" t="s">
        <v>55</v>
      </c>
      <c r="D1139" s="1">
        <v>2022</v>
      </c>
      <c r="E1139" s="1" t="s">
        <v>45</v>
      </c>
      <c r="F1139" s="1">
        <v>2</v>
      </c>
      <c r="G1139" s="1" t="s">
        <v>46</v>
      </c>
      <c r="H1139" s="1" t="s">
        <v>102</v>
      </c>
      <c r="I1139" s="1">
        <v>92000</v>
      </c>
      <c r="J1139" s="1">
        <v>77000</v>
      </c>
      <c r="K1139" s="1">
        <v>15000</v>
      </c>
      <c r="L1139" s="1">
        <v>0</v>
      </c>
      <c r="M1139" s="1" t="s">
        <v>34</v>
      </c>
      <c r="N1139" s="1" t="s">
        <v>35</v>
      </c>
      <c r="O1139" s="1" t="s">
        <v>103</v>
      </c>
      <c r="P1139" s="1" t="s">
        <v>104</v>
      </c>
      <c r="Q1139" s="1" t="s">
        <v>38</v>
      </c>
      <c r="R1139" s="1" t="s">
        <v>1858</v>
      </c>
      <c r="S1139" s="3">
        <v>918753000000</v>
      </c>
      <c r="T1139" s="1" t="s">
        <v>98</v>
      </c>
      <c r="U1139" s="1">
        <v>81</v>
      </c>
      <c r="V1139" s="1">
        <v>92</v>
      </c>
      <c r="W1139" s="1" t="s">
        <v>52</v>
      </c>
      <c r="X1139" s="1">
        <v>574687</v>
      </c>
      <c r="Y1139" s="2">
        <v>36260</v>
      </c>
      <c r="Z1139" s="1">
        <v>6.1789737171464303</v>
      </c>
      <c r="AA1139" s="1">
        <v>25</v>
      </c>
      <c r="AB1139" s="1">
        <v>184000</v>
      </c>
      <c r="AC1139" s="1">
        <f t="shared" si="17"/>
        <v>214000</v>
      </c>
    </row>
    <row r="1140" spans="1:29" x14ac:dyDescent="0.25">
      <c r="A1140" s="1" t="s">
        <v>1893</v>
      </c>
      <c r="B1140" s="1" t="s">
        <v>1894</v>
      </c>
      <c r="C1140" s="1" t="s">
        <v>1895</v>
      </c>
      <c r="D1140" s="1">
        <v>2022</v>
      </c>
      <c r="E1140" s="1" t="s">
        <v>31</v>
      </c>
      <c r="F1140" s="1">
        <v>4</v>
      </c>
      <c r="G1140" s="1" t="s">
        <v>32</v>
      </c>
      <c r="H1140" s="1" t="s">
        <v>102</v>
      </c>
      <c r="I1140" s="1">
        <v>169000</v>
      </c>
      <c r="J1140" s="1">
        <v>154000</v>
      </c>
      <c r="K1140" s="1">
        <v>15000</v>
      </c>
      <c r="L1140" s="1">
        <v>0</v>
      </c>
      <c r="M1140" s="1" t="s">
        <v>34</v>
      </c>
      <c r="N1140" s="1" t="s">
        <v>35</v>
      </c>
      <c r="O1140" s="1" t="s">
        <v>57</v>
      </c>
      <c r="P1140" s="1" t="s">
        <v>57</v>
      </c>
      <c r="Q1140" s="1" t="s">
        <v>38</v>
      </c>
      <c r="R1140" s="1" t="s">
        <v>1896</v>
      </c>
      <c r="S1140" s="3">
        <v>917519000000</v>
      </c>
      <c r="T1140" s="1" t="s">
        <v>98</v>
      </c>
      <c r="U1140" s="1">
        <v>81</v>
      </c>
      <c r="V1140" s="1">
        <v>76</v>
      </c>
      <c r="W1140" s="1" t="s">
        <v>52</v>
      </c>
      <c r="X1140" s="1">
        <v>307312</v>
      </c>
      <c r="Y1140" s="2">
        <v>38465</v>
      </c>
      <c r="Z1140" s="1">
        <v>6.1789737171464303</v>
      </c>
      <c r="AA1140" s="1">
        <v>19</v>
      </c>
      <c r="AB1140" s="1">
        <v>676000</v>
      </c>
      <c r="AC1140" s="1">
        <f t="shared" si="17"/>
        <v>736000</v>
      </c>
    </row>
    <row r="1141" spans="1:29" x14ac:dyDescent="0.25">
      <c r="A1141" s="1" t="s">
        <v>1929</v>
      </c>
      <c r="B1141" s="1" t="s">
        <v>1930</v>
      </c>
      <c r="C1141" s="1" t="s">
        <v>1931</v>
      </c>
      <c r="D1141" s="1">
        <v>2022</v>
      </c>
      <c r="E1141" s="1" t="s">
        <v>45</v>
      </c>
      <c r="F1141" s="1">
        <v>2</v>
      </c>
      <c r="G1141" s="1" t="s">
        <v>46</v>
      </c>
      <c r="H1141" s="1" t="s">
        <v>90</v>
      </c>
      <c r="I1141" s="1">
        <v>92000</v>
      </c>
      <c r="J1141" s="1">
        <v>77000</v>
      </c>
      <c r="K1141" s="1">
        <v>15000</v>
      </c>
      <c r="L1141" s="1">
        <v>0</v>
      </c>
      <c r="M1141" s="1" t="s">
        <v>34</v>
      </c>
      <c r="N1141" s="1" t="s">
        <v>63</v>
      </c>
      <c r="O1141" s="1" t="s">
        <v>84</v>
      </c>
      <c r="P1141" s="1" t="s">
        <v>65</v>
      </c>
      <c r="Q1141" s="1" t="s">
        <v>38</v>
      </c>
      <c r="R1141" s="1" t="s">
        <v>1932</v>
      </c>
      <c r="S1141" s="3">
        <v>917037000000</v>
      </c>
      <c r="T1141" s="1" t="s">
        <v>51</v>
      </c>
      <c r="U1141" s="1">
        <v>81</v>
      </c>
      <c r="V1141" s="1">
        <v>73</v>
      </c>
      <c r="W1141" s="1" t="s">
        <v>41</v>
      </c>
      <c r="X1141" s="1">
        <v>409186</v>
      </c>
      <c r="Y1141" s="2">
        <v>36666</v>
      </c>
      <c r="Z1141" s="1">
        <v>6.1789737171464303</v>
      </c>
      <c r="AA1141" s="1">
        <v>24</v>
      </c>
      <c r="AB1141" s="1">
        <v>184000</v>
      </c>
      <c r="AC1141" s="1">
        <f t="shared" si="17"/>
        <v>214000</v>
      </c>
    </row>
    <row r="1142" spans="1:29" x14ac:dyDescent="0.25">
      <c r="A1142" s="1" t="s">
        <v>1955</v>
      </c>
      <c r="B1142" s="1" t="s">
        <v>1956</v>
      </c>
      <c r="C1142" s="1" t="s">
        <v>1957</v>
      </c>
      <c r="D1142" s="1">
        <v>2022</v>
      </c>
      <c r="E1142" s="1" t="s">
        <v>31</v>
      </c>
      <c r="F1142" s="1">
        <v>4</v>
      </c>
      <c r="G1142" s="1" t="s">
        <v>32</v>
      </c>
      <c r="H1142" s="1" t="s">
        <v>62</v>
      </c>
      <c r="I1142" s="1">
        <v>169000</v>
      </c>
      <c r="J1142" s="1">
        <v>154000</v>
      </c>
      <c r="K1142" s="1">
        <v>15000</v>
      </c>
      <c r="L1142" s="1">
        <v>0</v>
      </c>
      <c r="M1142" s="1" t="s">
        <v>34</v>
      </c>
      <c r="N1142" s="1" t="s">
        <v>35</v>
      </c>
      <c r="O1142" s="1" t="s">
        <v>188</v>
      </c>
      <c r="P1142" s="1" t="s">
        <v>189</v>
      </c>
      <c r="Q1142" s="1" t="s">
        <v>38</v>
      </c>
      <c r="R1142" s="1" t="s">
        <v>1958</v>
      </c>
      <c r="S1142" s="3">
        <v>918881000000</v>
      </c>
      <c r="T1142" s="1" t="s">
        <v>74</v>
      </c>
      <c r="U1142" s="1">
        <v>81</v>
      </c>
      <c r="V1142" s="1">
        <v>85</v>
      </c>
      <c r="W1142" s="1" t="s">
        <v>52</v>
      </c>
      <c r="X1142" s="1">
        <v>390360</v>
      </c>
      <c r="Y1142" s="2">
        <v>38428</v>
      </c>
      <c r="Z1142" s="1">
        <v>6.1789737171464303</v>
      </c>
      <c r="AA1142" s="1">
        <v>19</v>
      </c>
      <c r="AB1142" s="1">
        <v>676000</v>
      </c>
      <c r="AC1142" s="1">
        <f t="shared" si="17"/>
        <v>736000</v>
      </c>
    </row>
    <row r="1143" spans="1:29" x14ac:dyDescent="0.25">
      <c r="A1143" s="1" t="s">
        <v>1971</v>
      </c>
      <c r="B1143" s="1" t="s">
        <v>1972</v>
      </c>
      <c r="C1143" s="1" t="s">
        <v>1973</v>
      </c>
      <c r="D1143" s="1">
        <v>2022</v>
      </c>
      <c r="E1143" s="1" t="s">
        <v>31</v>
      </c>
      <c r="F1143" s="1">
        <v>4</v>
      </c>
      <c r="G1143" s="1" t="s">
        <v>32</v>
      </c>
      <c r="H1143" s="1" t="s">
        <v>102</v>
      </c>
      <c r="I1143" s="1">
        <v>169000</v>
      </c>
      <c r="J1143" s="1">
        <v>154000</v>
      </c>
      <c r="K1143" s="1">
        <v>15000</v>
      </c>
      <c r="L1143" s="1">
        <v>0</v>
      </c>
      <c r="M1143" s="1" t="s">
        <v>34</v>
      </c>
      <c r="N1143" s="1" t="s">
        <v>35</v>
      </c>
      <c r="O1143" s="1" t="s">
        <v>84</v>
      </c>
      <c r="P1143" s="1" t="s">
        <v>65</v>
      </c>
      <c r="Q1143" s="1" t="s">
        <v>38</v>
      </c>
      <c r="R1143" s="1" t="s">
        <v>1974</v>
      </c>
      <c r="S1143" s="3">
        <v>917825000000</v>
      </c>
      <c r="T1143" s="1" t="s">
        <v>98</v>
      </c>
      <c r="U1143" s="1">
        <v>80</v>
      </c>
      <c r="V1143" s="1">
        <v>86</v>
      </c>
      <c r="W1143" s="1" t="s">
        <v>41</v>
      </c>
      <c r="X1143" s="1">
        <v>391271</v>
      </c>
      <c r="Y1143" s="2">
        <v>37693</v>
      </c>
      <c r="Z1143" s="1">
        <v>5.1789737171464303</v>
      </c>
      <c r="AA1143" s="1">
        <v>21</v>
      </c>
      <c r="AB1143" s="1">
        <v>676000</v>
      </c>
      <c r="AC1143" s="1">
        <f t="shared" si="17"/>
        <v>736000</v>
      </c>
    </row>
    <row r="1144" spans="1:29" x14ac:dyDescent="0.25">
      <c r="A1144" s="1" t="s">
        <v>2005</v>
      </c>
      <c r="B1144" s="1" t="s">
        <v>2006</v>
      </c>
      <c r="C1144" s="1" t="s">
        <v>2007</v>
      </c>
      <c r="D1144" s="1">
        <v>2022</v>
      </c>
      <c r="E1144" s="1" t="s">
        <v>31</v>
      </c>
      <c r="F1144" s="1">
        <v>4</v>
      </c>
      <c r="G1144" s="1" t="s">
        <v>32</v>
      </c>
      <c r="H1144" s="1" t="s">
        <v>210</v>
      </c>
      <c r="I1144" s="1">
        <v>169000</v>
      </c>
      <c r="J1144" s="1">
        <v>154000</v>
      </c>
      <c r="K1144" s="1">
        <v>15000</v>
      </c>
      <c r="L1144" s="1">
        <v>0</v>
      </c>
      <c r="M1144" s="1" t="s">
        <v>34</v>
      </c>
      <c r="N1144" s="1" t="s">
        <v>63</v>
      </c>
      <c r="O1144" s="1" t="s">
        <v>103</v>
      </c>
      <c r="P1144" s="1" t="s">
        <v>104</v>
      </c>
      <c r="Q1144" s="1" t="s">
        <v>38</v>
      </c>
      <c r="R1144" s="1" t="s">
        <v>2008</v>
      </c>
      <c r="S1144" s="3">
        <v>918166000000</v>
      </c>
      <c r="T1144" s="1" t="s">
        <v>86</v>
      </c>
      <c r="U1144" s="1">
        <v>80</v>
      </c>
      <c r="V1144" s="1">
        <v>88</v>
      </c>
      <c r="W1144" s="1" t="s">
        <v>41</v>
      </c>
      <c r="X1144" s="1">
        <v>117306</v>
      </c>
      <c r="Y1144" s="2">
        <v>38738</v>
      </c>
      <c r="Z1144" s="1">
        <v>5.1789737171464303</v>
      </c>
      <c r="AA1144" s="1">
        <v>18</v>
      </c>
      <c r="AB1144" s="1">
        <v>676000</v>
      </c>
      <c r="AC1144" s="1">
        <f t="shared" si="17"/>
        <v>736000</v>
      </c>
    </row>
    <row r="1145" spans="1:29" x14ac:dyDescent="0.25">
      <c r="A1145" s="1" t="s">
        <v>2059</v>
      </c>
      <c r="B1145" s="1" t="s">
        <v>819</v>
      </c>
      <c r="C1145" s="1" t="s">
        <v>820</v>
      </c>
      <c r="D1145" s="1">
        <v>2022</v>
      </c>
      <c r="E1145" s="1" t="s">
        <v>45</v>
      </c>
      <c r="F1145" s="1">
        <v>2</v>
      </c>
      <c r="G1145" s="1" t="s">
        <v>46</v>
      </c>
      <c r="H1145" s="1" t="s">
        <v>47</v>
      </c>
      <c r="I1145" s="1">
        <v>92000</v>
      </c>
      <c r="J1145" s="1">
        <v>77000</v>
      </c>
      <c r="K1145" s="1">
        <v>15000</v>
      </c>
      <c r="L1145" s="1">
        <v>0</v>
      </c>
      <c r="M1145" s="1" t="s">
        <v>34</v>
      </c>
      <c r="N1145" s="1" t="s">
        <v>35</v>
      </c>
      <c r="O1145" s="1" t="s">
        <v>84</v>
      </c>
      <c r="P1145" s="1" t="s">
        <v>65</v>
      </c>
      <c r="Q1145" s="1" t="s">
        <v>38</v>
      </c>
      <c r="R1145" s="1" t="s">
        <v>2060</v>
      </c>
      <c r="S1145" s="3">
        <v>918431000000</v>
      </c>
      <c r="T1145" s="1" t="s">
        <v>98</v>
      </c>
      <c r="U1145" s="1">
        <v>80</v>
      </c>
      <c r="V1145" s="1">
        <v>75</v>
      </c>
      <c r="W1145" s="1" t="s">
        <v>52</v>
      </c>
      <c r="X1145" s="1">
        <v>564912</v>
      </c>
      <c r="Y1145" s="2">
        <v>36656</v>
      </c>
      <c r="Z1145" s="1">
        <v>5.1789737171464303</v>
      </c>
      <c r="AA1145" s="1">
        <v>24</v>
      </c>
      <c r="AB1145" s="1">
        <v>184000</v>
      </c>
      <c r="AC1145" s="1">
        <f t="shared" si="17"/>
        <v>214000</v>
      </c>
    </row>
    <row r="1146" spans="1:29" x14ac:dyDescent="0.25">
      <c r="A1146" s="1" t="s">
        <v>2061</v>
      </c>
      <c r="B1146" s="1" t="s">
        <v>2062</v>
      </c>
      <c r="C1146" s="1" t="s">
        <v>2063</v>
      </c>
      <c r="D1146" s="1">
        <v>2022</v>
      </c>
      <c r="E1146" s="1" t="s">
        <v>31</v>
      </c>
      <c r="F1146" s="1">
        <v>4</v>
      </c>
      <c r="G1146" s="1" t="s">
        <v>32</v>
      </c>
      <c r="H1146" s="1" t="s">
        <v>122</v>
      </c>
      <c r="I1146" s="1">
        <v>169000</v>
      </c>
      <c r="J1146" s="1">
        <v>154000</v>
      </c>
      <c r="K1146" s="1">
        <v>15000</v>
      </c>
      <c r="L1146" s="1">
        <v>0</v>
      </c>
      <c r="M1146" s="1" t="s">
        <v>34</v>
      </c>
      <c r="N1146" s="1" t="s">
        <v>70</v>
      </c>
      <c r="O1146" s="1" t="s">
        <v>36</v>
      </c>
      <c r="P1146" s="1" t="s">
        <v>37</v>
      </c>
      <c r="Q1146" s="1" t="s">
        <v>38</v>
      </c>
      <c r="R1146" s="1" t="s">
        <v>2064</v>
      </c>
      <c r="S1146" s="3">
        <v>917880000000</v>
      </c>
      <c r="T1146" s="1" t="s">
        <v>98</v>
      </c>
      <c r="U1146" s="1">
        <v>80</v>
      </c>
      <c r="V1146" s="1">
        <v>86</v>
      </c>
      <c r="W1146" s="1" t="s">
        <v>52</v>
      </c>
      <c r="X1146" s="1">
        <v>711424</v>
      </c>
      <c r="Y1146" s="2">
        <v>38152</v>
      </c>
      <c r="Z1146" s="1">
        <v>5.1789737171464303</v>
      </c>
      <c r="AA1146" s="1">
        <v>20</v>
      </c>
      <c r="AB1146" s="1">
        <v>676000</v>
      </c>
      <c r="AC1146" s="1">
        <f t="shared" si="17"/>
        <v>736000</v>
      </c>
    </row>
    <row r="1147" spans="1:29" x14ac:dyDescent="0.25">
      <c r="A1147" s="1" t="s">
        <v>2069</v>
      </c>
      <c r="B1147" s="1" t="s">
        <v>2070</v>
      </c>
      <c r="C1147" s="1" t="s">
        <v>2071</v>
      </c>
      <c r="D1147" s="1">
        <v>2022</v>
      </c>
      <c r="E1147" s="1" t="s">
        <v>31</v>
      </c>
      <c r="F1147" s="1">
        <v>4</v>
      </c>
      <c r="G1147" s="1" t="s">
        <v>32</v>
      </c>
      <c r="H1147" s="1" t="s">
        <v>102</v>
      </c>
      <c r="I1147" s="1">
        <v>169000</v>
      </c>
      <c r="J1147" s="1">
        <v>154000</v>
      </c>
      <c r="K1147" s="1">
        <v>15000</v>
      </c>
      <c r="L1147" s="1">
        <v>0</v>
      </c>
      <c r="M1147" s="1" t="s">
        <v>34</v>
      </c>
      <c r="N1147" s="1" t="s">
        <v>70</v>
      </c>
      <c r="O1147" s="1" t="s">
        <v>36</v>
      </c>
      <c r="P1147" s="1" t="s">
        <v>37</v>
      </c>
      <c r="Q1147" s="1" t="s">
        <v>38</v>
      </c>
      <c r="R1147" s="1" t="s">
        <v>2072</v>
      </c>
      <c r="S1147" s="3">
        <v>918142000000</v>
      </c>
      <c r="T1147" s="1" t="s">
        <v>51</v>
      </c>
      <c r="U1147" s="1">
        <v>80</v>
      </c>
      <c r="V1147" s="1">
        <v>64</v>
      </c>
      <c r="W1147" s="1" t="s">
        <v>41</v>
      </c>
      <c r="X1147" s="1">
        <v>233717</v>
      </c>
      <c r="Y1147" s="2">
        <v>37885</v>
      </c>
      <c r="Z1147" s="1">
        <v>5.1789737171464303</v>
      </c>
      <c r="AA1147" s="1">
        <v>20</v>
      </c>
      <c r="AB1147" s="1">
        <v>676000</v>
      </c>
      <c r="AC1147" s="1">
        <f t="shared" si="17"/>
        <v>736000</v>
      </c>
    </row>
    <row r="1148" spans="1:29" x14ac:dyDescent="0.25">
      <c r="A1148" s="1" t="s">
        <v>2073</v>
      </c>
      <c r="B1148" s="1" t="s">
        <v>2074</v>
      </c>
      <c r="C1148" s="1" t="s">
        <v>2075</v>
      </c>
      <c r="D1148" s="1">
        <v>2022</v>
      </c>
      <c r="E1148" s="1" t="s">
        <v>31</v>
      </c>
      <c r="F1148" s="1">
        <v>4</v>
      </c>
      <c r="G1148" s="1" t="s">
        <v>32</v>
      </c>
      <c r="H1148" s="1" t="s">
        <v>33</v>
      </c>
      <c r="I1148" s="1">
        <v>169000</v>
      </c>
      <c r="J1148" s="1">
        <v>154000</v>
      </c>
      <c r="K1148" s="1">
        <v>15000</v>
      </c>
      <c r="L1148" s="1">
        <v>0</v>
      </c>
      <c r="M1148" s="1" t="s">
        <v>34</v>
      </c>
      <c r="N1148" s="1" t="s">
        <v>63</v>
      </c>
      <c r="O1148" s="1" t="s">
        <v>71</v>
      </c>
      <c r="P1148" s="1" t="s">
        <v>72</v>
      </c>
      <c r="Q1148" s="1" t="s">
        <v>38</v>
      </c>
      <c r="R1148" s="1" t="s">
        <v>2076</v>
      </c>
      <c r="S1148" s="3">
        <v>917542000000</v>
      </c>
      <c r="T1148" s="1" t="s">
        <v>74</v>
      </c>
      <c r="U1148" s="1">
        <v>80</v>
      </c>
      <c r="V1148" s="1">
        <v>80</v>
      </c>
      <c r="W1148" s="1" t="s">
        <v>41</v>
      </c>
      <c r="X1148" s="1">
        <v>666586</v>
      </c>
      <c r="Y1148" s="2">
        <v>38052</v>
      </c>
      <c r="Z1148" s="1">
        <v>5.1789737171464303</v>
      </c>
      <c r="AA1148" s="1">
        <v>20</v>
      </c>
      <c r="AB1148" s="1">
        <v>676000</v>
      </c>
      <c r="AC1148" s="1">
        <f t="shared" si="17"/>
        <v>736000</v>
      </c>
    </row>
    <row r="1149" spans="1:29" x14ac:dyDescent="0.25">
      <c r="A1149" s="1" t="s">
        <v>2095</v>
      </c>
      <c r="B1149" s="1" t="s">
        <v>2096</v>
      </c>
      <c r="C1149" s="1" t="s">
        <v>2097</v>
      </c>
      <c r="D1149" s="1">
        <v>2022</v>
      </c>
      <c r="E1149" s="1" t="s">
        <v>31</v>
      </c>
      <c r="F1149" s="1">
        <v>4</v>
      </c>
      <c r="G1149" s="1" t="s">
        <v>32</v>
      </c>
      <c r="H1149" s="1" t="s">
        <v>151</v>
      </c>
      <c r="I1149" s="1">
        <v>169000</v>
      </c>
      <c r="J1149" s="1">
        <v>154000</v>
      </c>
      <c r="K1149" s="1">
        <v>15000</v>
      </c>
      <c r="L1149" s="1">
        <v>0</v>
      </c>
      <c r="M1149" s="1" t="s">
        <v>34</v>
      </c>
      <c r="N1149" s="1" t="s">
        <v>70</v>
      </c>
      <c r="O1149" s="1" t="s">
        <v>188</v>
      </c>
      <c r="P1149" s="1" t="s">
        <v>189</v>
      </c>
      <c r="Q1149" s="1" t="s">
        <v>38</v>
      </c>
      <c r="R1149" s="1" t="s">
        <v>2098</v>
      </c>
      <c r="S1149" s="3">
        <v>918031000000</v>
      </c>
      <c r="T1149" s="1" t="s">
        <v>86</v>
      </c>
      <c r="U1149" s="1">
        <v>80</v>
      </c>
      <c r="V1149" s="1">
        <v>78</v>
      </c>
      <c r="W1149" s="1" t="s">
        <v>41</v>
      </c>
      <c r="X1149" s="1">
        <v>120413</v>
      </c>
      <c r="Y1149" s="2">
        <v>38009</v>
      </c>
      <c r="Z1149" s="1">
        <v>5.1789737171464303</v>
      </c>
      <c r="AA1149" s="1">
        <v>20</v>
      </c>
      <c r="AB1149" s="1">
        <v>676000</v>
      </c>
      <c r="AC1149" s="1">
        <f t="shared" si="17"/>
        <v>736000</v>
      </c>
    </row>
    <row r="1150" spans="1:29" x14ac:dyDescent="0.25">
      <c r="A1150" s="1" t="s">
        <v>2099</v>
      </c>
      <c r="B1150" s="1" t="s">
        <v>2100</v>
      </c>
      <c r="C1150" s="1" t="s">
        <v>2101</v>
      </c>
      <c r="D1150" s="1">
        <v>2022</v>
      </c>
      <c r="E1150" s="1" t="s">
        <v>45</v>
      </c>
      <c r="F1150" s="1">
        <v>2</v>
      </c>
      <c r="G1150" s="1" t="s">
        <v>46</v>
      </c>
      <c r="H1150" s="1" t="s">
        <v>62</v>
      </c>
      <c r="I1150" s="1">
        <v>92000</v>
      </c>
      <c r="J1150" s="1">
        <v>77000</v>
      </c>
      <c r="K1150" s="1">
        <v>15000</v>
      </c>
      <c r="L1150" s="1">
        <v>0</v>
      </c>
      <c r="M1150" s="1" t="s">
        <v>34</v>
      </c>
      <c r="N1150" s="1" t="s">
        <v>63</v>
      </c>
      <c r="O1150" s="1" t="s">
        <v>91</v>
      </c>
      <c r="P1150" s="1" t="s">
        <v>92</v>
      </c>
      <c r="Q1150" s="1" t="s">
        <v>38</v>
      </c>
      <c r="R1150" s="1" t="s">
        <v>2102</v>
      </c>
      <c r="S1150" s="3">
        <v>918165000000</v>
      </c>
      <c r="T1150" s="1" t="s">
        <v>74</v>
      </c>
      <c r="U1150" s="1">
        <v>80</v>
      </c>
      <c r="V1150" s="1">
        <v>60</v>
      </c>
      <c r="W1150" s="1" t="s">
        <v>41</v>
      </c>
      <c r="X1150" s="1">
        <v>153239</v>
      </c>
      <c r="Y1150" s="2">
        <v>36711</v>
      </c>
      <c r="Z1150" s="1">
        <v>5.1789737171464303</v>
      </c>
      <c r="AA1150" s="1">
        <v>24</v>
      </c>
      <c r="AB1150" s="1">
        <v>184000</v>
      </c>
      <c r="AC1150" s="1">
        <f t="shared" si="17"/>
        <v>214000</v>
      </c>
    </row>
    <row r="1151" spans="1:29" x14ac:dyDescent="0.25">
      <c r="A1151" s="1" t="s">
        <v>2145</v>
      </c>
      <c r="B1151" s="1" t="s">
        <v>2146</v>
      </c>
      <c r="C1151" s="1" t="s">
        <v>2147</v>
      </c>
      <c r="D1151" s="1">
        <v>2022</v>
      </c>
      <c r="E1151" s="1" t="s">
        <v>31</v>
      </c>
      <c r="F1151" s="1">
        <v>4</v>
      </c>
      <c r="G1151" s="1" t="s">
        <v>32</v>
      </c>
      <c r="H1151" s="1" t="s">
        <v>151</v>
      </c>
      <c r="I1151" s="1">
        <v>169000</v>
      </c>
      <c r="J1151" s="1">
        <v>154000</v>
      </c>
      <c r="K1151" s="1">
        <v>15000</v>
      </c>
      <c r="L1151" s="1">
        <v>0</v>
      </c>
      <c r="M1151" s="1" t="s">
        <v>34</v>
      </c>
      <c r="N1151" s="1" t="s">
        <v>35</v>
      </c>
      <c r="O1151" s="1" t="s">
        <v>84</v>
      </c>
      <c r="P1151" s="1" t="s">
        <v>65</v>
      </c>
      <c r="Q1151" s="1" t="s">
        <v>38</v>
      </c>
      <c r="R1151" s="1" t="s">
        <v>2148</v>
      </c>
      <c r="S1151" s="3">
        <v>917469000000</v>
      </c>
      <c r="T1151" s="1" t="s">
        <v>86</v>
      </c>
      <c r="U1151" s="1">
        <v>80</v>
      </c>
      <c r="V1151" s="1">
        <v>86</v>
      </c>
      <c r="W1151" s="1" t="s">
        <v>41</v>
      </c>
      <c r="X1151" s="1">
        <v>528481</v>
      </c>
      <c r="Y1151" s="2">
        <v>36977</v>
      </c>
      <c r="Z1151" s="1">
        <v>5.1789737171464303</v>
      </c>
      <c r="AA1151" s="1">
        <v>23</v>
      </c>
      <c r="AB1151" s="1">
        <v>676000</v>
      </c>
      <c r="AC1151" s="1">
        <f t="shared" si="17"/>
        <v>736000</v>
      </c>
    </row>
    <row r="1152" spans="1:29" x14ac:dyDescent="0.25">
      <c r="A1152" s="1" t="s">
        <v>2161</v>
      </c>
      <c r="B1152" s="1" t="s">
        <v>2162</v>
      </c>
      <c r="C1152" s="1" t="s">
        <v>2163</v>
      </c>
      <c r="D1152" s="1">
        <v>2022</v>
      </c>
      <c r="E1152" s="1" t="s">
        <v>31</v>
      </c>
      <c r="F1152" s="1">
        <v>4</v>
      </c>
      <c r="G1152" s="1" t="s">
        <v>32</v>
      </c>
      <c r="H1152" s="1" t="s">
        <v>151</v>
      </c>
      <c r="I1152" s="1">
        <v>169000</v>
      </c>
      <c r="J1152" s="1">
        <v>154000</v>
      </c>
      <c r="K1152" s="1">
        <v>15000</v>
      </c>
      <c r="L1152" s="1">
        <v>0</v>
      </c>
      <c r="M1152" s="1" t="s">
        <v>34</v>
      </c>
      <c r="N1152" s="1" t="s">
        <v>35</v>
      </c>
      <c r="O1152" s="1" t="s">
        <v>57</v>
      </c>
      <c r="P1152" s="1" t="s">
        <v>57</v>
      </c>
      <c r="Q1152" s="1" t="s">
        <v>38</v>
      </c>
      <c r="R1152" s="1" t="s">
        <v>2164</v>
      </c>
      <c r="S1152" s="3">
        <v>918000000000</v>
      </c>
      <c r="T1152" s="1" t="s">
        <v>51</v>
      </c>
      <c r="U1152" s="1">
        <v>79</v>
      </c>
      <c r="V1152" s="1">
        <v>85</v>
      </c>
      <c r="W1152" s="1" t="s">
        <v>41</v>
      </c>
      <c r="X1152" s="1">
        <v>482486</v>
      </c>
      <c r="Y1152" s="2">
        <v>38750</v>
      </c>
      <c r="Z1152" s="1">
        <v>4.1789737171464303</v>
      </c>
      <c r="AA1152" s="1">
        <v>18</v>
      </c>
      <c r="AB1152" s="1">
        <v>676000</v>
      </c>
      <c r="AC1152" s="1">
        <f t="shared" si="17"/>
        <v>736000</v>
      </c>
    </row>
    <row r="1153" spans="1:29" x14ac:dyDescent="0.25">
      <c r="A1153" s="1" t="s">
        <v>2165</v>
      </c>
      <c r="B1153" s="1" t="s">
        <v>2166</v>
      </c>
      <c r="C1153" s="1" t="s">
        <v>2167</v>
      </c>
      <c r="D1153" s="1">
        <v>2022</v>
      </c>
      <c r="E1153" s="1" t="s">
        <v>31</v>
      </c>
      <c r="F1153" s="1">
        <v>4</v>
      </c>
      <c r="G1153" s="1" t="s">
        <v>32</v>
      </c>
      <c r="H1153" s="1" t="s">
        <v>113</v>
      </c>
      <c r="I1153" s="1">
        <v>169000</v>
      </c>
      <c r="J1153" s="1">
        <v>154000</v>
      </c>
      <c r="K1153" s="1">
        <v>15000</v>
      </c>
      <c r="L1153" s="1">
        <v>0</v>
      </c>
      <c r="M1153" s="1" t="s">
        <v>34</v>
      </c>
      <c r="N1153" s="1" t="s">
        <v>35</v>
      </c>
      <c r="O1153" s="1" t="s">
        <v>57</v>
      </c>
      <c r="P1153" s="1" t="s">
        <v>57</v>
      </c>
      <c r="Q1153" s="1" t="s">
        <v>38</v>
      </c>
      <c r="R1153" s="1" t="s">
        <v>2168</v>
      </c>
      <c r="S1153" s="3">
        <v>919172000000</v>
      </c>
      <c r="T1153" s="1" t="s">
        <v>51</v>
      </c>
      <c r="U1153" s="1">
        <v>79</v>
      </c>
      <c r="V1153" s="1">
        <v>87</v>
      </c>
      <c r="W1153" s="1" t="s">
        <v>41</v>
      </c>
      <c r="X1153" s="1">
        <v>281034</v>
      </c>
      <c r="Y1153" s="2">
        <v>37200</v>
      </c>
      <c r="Z1153" s="1">
        <v>4.1789737171464303</v>
      </c>
      <c r="AA1153" s="1">
        <v>22</v>
      </c>
      <c r="AB1153" s="1">
        <v>676000</v>
      </c>
      <c r="AC1153" s="1">
        <f t="shared" si="17"/>
        <v>736000</v>
      </c>
    </row>
    <row r="1154" spans="1:29" x14ac:dyDescent="0.25">
      <c r="A1154" s="1" t="s">
        <v>2181</v>
      </c>
      <c r="B1154" s="1" t="s">
        <v>1491</v>
      </c>
      <c r="C1154" s="1" t="s">
        <v>1492</v>
      </c>
      <c r="D1154" s="1">
        <v>2022</v>
      </c>
      <c r="E1154" s="1" t="s">
        <v>31</v>
      </c>
      <c r="F1154" s="1">
        <v>4</v>
      </c>
      <c r="G1154" s="1" t="s">
        <v>32</v>
      </c>
      <c r="H1154" s="1" t="s">
        <v>90</v>
      </c>
      <c r="I1154" s="1">
        <v>169000</v>
      </c>
      <c r="J1154" s="1">
        <v>154000</v>
      </c>
      <c r="K1154" s="1">
        <v>15000</v>
      </c>
      <c r="L1154" s="1">
        <v>0</v>
      </c>
      <c r="M1154" s="1" t="s">
        <v>34</v>
      </c>
      <c r="N1154" s="1" t="s">
        <v>63</v>
      </c>
      <c r="O1154" s="1" t="s">
        <v>57</v>
      </c>
      <c r="P1154" s="1" t="s">
        <v>57</v>
      </c>
      <c r="Q1154" s="1" t="s">
        <v>38</v>
      </c>
      <c r="R1154" s="1" t="s">
        <v>2182</v>
      </c>
      <c r="S1154" s="3">
        <v>918436000000</v>
      </c>
      <c r="T1154" s="1" t="s">
        <v>51</v>
      </c>
      <c r="U1154" s="1">
        <v>79</v>
      </c>
      <c r="V1154" s="1">
        <v>79</v>
      </c>
      <c r="W1154" s="1" t="s">
        <v>41</v>
      </c>
      <c r="X1154" s="1">
        <v>296019</v>
      </c>
      <c r="Y1154" s="2">
        <v>38628</v>
      </c>
      <c r="Z1154" s="1">
        <v>4.1789737171464303</v>
      </c>
      <c r="AA1154" s="1">
        <v>18</v>
      </c>
      <c r="AB1154" s="1">
        <v>676000</v>
      </c>
      <c r="AC1154" s="1">
        <f t="shared" si="17"/>
        <v>736000</v>
      </c>
    </row>
    <row r="1155" spans="1:29" x14ac:dyDescent="0.25">
      <c r="A1155" s="1" t="s">
        <v>2183</v>
      </c>
      <c r="B1155" s="1" t="s">
        <v>2184</v>
      </c>
      <c r="C1155" s="1" t="s">
        <v>2185</v>
      </c>
      <c r="D1155" s="1">
        <v>2022</v>
      </c>
      <c r="E1155" s="1" t="s">
        <v>45</v>
      </c>
      <c r="F1155" s="1">
        <v>2</v>
      </c>
      <c r="G1155" s="1" t="s">
        <v>46</v>
      </c>
      <c r="H1155" s="1" t="s">
        <v>90</v>
      </c>
      <c r="I1155" s="1">
        <v>92000</v>
      </c>
      <c r="J1155" s="1">
        <v>77000</v>
      </c>
      <c r="K1155" s="1">
        <v>15000</v>
      </c>
      <c r="L1155" s="1">
        <v>0</v>
      </c>
      <c r="M1155" s="1" t="s">
        <v>34</v>
      </c>
      <c r="N1155" s="1" t="s">
        <v>70</v>
      </c>
      <c r="O1155" s="1" t="s">
        <v>71</v>
      </c>
      <c r="P1155" s="1" t="s">
        <v>72</v>
      </c>
      <c r="Q1155" s="1" t="s">
        <v>38</v>
      </c>
      <c r="R1155" s="1" t="s">
        <v>2186</v>
      </c>
      <c r="S1155" s="3">
        <v>919631000000</v>
      </c>
      <c r="T1155" s="1" t="s">
        <v>98</v>
      </c>
      <c r="U1155" s="1">
        <v>79</v>
      </c>
      <c r="V1155" s="1">
        <v>90</v>
      </c>
      <c r="W1155" s="1" t="s">
        <v>41</v>
      </c>
      <c r="X1155" s="1">
        <v>573777</v>
      </c>
      <c r="Y1155" s="2">
        <v>37291</v>
      </c>
      <c r="Z1155" s="1">
        <v>4.1789737171464303</v>
      </c>
      <c r="AA1155" s="1">
        <v>22</v>
      </c>
      <c r="AB1155" s="1">
        <v>184000</v>
      </c>
      <c r="AC1155" s="1">
        <f t="shared" si="17"/>
        <v>214000</v>
      </c>
    </row>
    <row r="1156" spans="1:29" x14ac:dyDescent="0.25">
      <c r="A1156" s="1" t="s">
        <v>2229</v>
      </c>
      <c r="B1156" s="1" t="s">
        <v>2230</v>
      </c>
      <c r="C1156" s="1" t="s">
        <v>2231</v>
      </c>
      <c r="D1156" s="1">
        <v>2022</v>
      </c>
      <c r="E1156" s="1" t="s">
        <v>31</v>
      </c>
      <c r="F1156" s="1">
        <v>4</v>
      </c>
      <c r="G1156" s="1" t="s">
        <v>32</v>
      </c>
      <c r="H1156" s="1" t="s">
        <v>33</v>
      </c>
      <c r="I1156" s="1">
        <v>169000</v>
      </c>
      <c r="J1156" s="1">
        <v>154000</v>
      </c>
      <c r="K1156" s="1">
        <v>15000</v>
      </c>
      <c r="L1156" s="1">
        <v>0</v>
      </c>
      <c r="M1156" s="1" t="s">
        <v>34</v>
      </c>
      <c r="N1156" s="1" t="s">
        <v>63</v>
      </c>
      <c r="O1156" s="1" t="s">
        <v>48</v>
      </c>
      <c r="P1156" s="1" t="s">
        <v>49</v>
      </c>
      <c r="Q1156" s="1" t="s">
        <v>38</v>
      </c>
      <c r="R1156" s="1" t="s">
        <v>2232</v>
      </c>
      <c r="S1156" s="3">
        <v>918764000000</v>
      </c>
      <c r="T1156" s="1" t="s">
        <v>98</v>
      </c>
      <c r="U1156" s="1">
        <v>79</v>
      </c>
      <c r="V1156" s="1">
        <v>89</v>
      </c>
      <c r="W1156" s="1" t="s">
        <v>52</v>
      </c>
      <c r="X1156" s="1">
        <v>240173</v>
      </c>
      <c r="Y1156" s="2">
        <v>36791</v>
      </c>
      <c r="Z1156" s="1">
        <v>4.1789737171464303</v>
      </c>
      <c r="AA1156" s="1">
        <v>23</v>
      </c>
      <c r="AB1156" s="1">
        <v>676000</v>
      </c>
      <c r="AC1156" s="1">
        <f t="shared" si="17"/>
        <v>736000</v>
      </c>
    </row>
    <row r="1157" spans="1:29" x14ac:dyDescent="0.25">
      <c r="A1157" s="1" t="s">
        <v>2249</v>
      </c>
      <c r="B1157" s="1" t="s">
        <v>2250</v>
      </c>
      <c r="C1157" s="1" t="s">
        <v>2251</v>
      </c>
      <c r="D1157" s="1">
        <v>2022</v>
      </c>
      <c r="E1157" s="1" t="s">
        <v>31</v>
      </c>
      <c r="F1157" s="1">
        <v>4</v>
      </c>
      <c r="G1157" s="1" t="s">
        <v>32</v>
      </c>
      <c r="H1157" s="1" t="s">
        <v>210</v>
      </c>
      <c r="I1157" s="1">
        <v>169000</v>
      </c>
      <c r="J1157" s="1">
        <v>154000</v>
      </c>
      <c r="K1157" s="1">
        <v>15000</v>
      </c>
      <c r="L1157" s="1">
        <v>0</v>
      </c>
      <c r="M1157" s="1" t="s">
        <v>34</v>
      </c>
      <c r="N1157" s="1" t="s">
        <v>35</v>
      </c>
      <c r="O1157" s="1" t="s">
        <v>71</v>
      </c>
      <c r="P1157" s="1" t="s">
        <v>72</v>
      </c>
      <c r="Q1157" s="1" t="s">
        <v>38</v>
      </c>
      <c r="R1157" s="1" t="s">
        <v>2252</v>
      </c>
      <c r="S1157" s="3">
        <v>917004000000</v>
      </c>
      <c r="T1157" s="1" t="s">
        <v>51</v>
      </c>
      <c r="U1157" s="1">
        <v>79</v>
      </c>
      <c r="V1157" s="1">
        <v>83</v>
      </c>
      <c r="W1157" s="1" t="s">
        <v>41</v>
      </c>
      <c r="X1157" s="1">
        <v>185269</v>
      </c>
      <c r="Y1157" s="2">
        <v>38883</v>
      </c>
      <c r="Z1157" s="1">
        <v>4.1789737171464303</v>
      </c>
      <c r="AA1157" s="1">
        <v>18</v>
      </c>
      <c r="AB1157" s="1">
        <v>676000</v>
      </c>
      <c r="AC1157" s="1">
        <f t="shared" si="17"/>
        <v>736000</v>
      </c>
    </row>
    <row r="1158" spans="1:29" x14ac:dyDescent="0.25">
      <c r="A1158" s="1" t="s">
        <v>2263</v>
      </c>
      <c r="B1158" s="1" t="s">
        <v>2264</v>
      </c>
      <c r="C1158" s="1" t="s">
        <v>2265</v>
      </c>
      <c r="D1158" s="1">
        <v>2022</v>
      </c>
      <c r="E1158" s="1" t="s">
        <v>31</v>
      </c>
      <c r="F1158" s="1">
        <v>4</v>
      </c>
      <c r="G1158" s="1" t="s">
        <v>32</v>
      </c>
      <c r="H1158" s="1" t="s">
        <v>33</v>
      </c>
      <c r="I1158" s="1">
        <v>169000</v>
      </c>
      <c r="J1158" s="1">
        <v>154000</v>
      </c>
      <c r="K1158" s="1">
        <v>15000</v>
      </c>
      <c r="L1158" s="1">
        <v>0</v>
      </c>
      <c r="M1158" s="1" t="s">
        <v>34</v>
      </c>
      <c r="N1158" s="1" t="s">
        <v>35</v>
      </c>
      <c r="O1158" s="1" t="s">
        <v>64</v>
      </c>
      <c r="P1158" s="1" t="s">
        <v>65</v>
      </c>
      <c r="Q1158" s="1" t="s">
        <v>38</v>
      </c>
      <c r="R1158" s="1" t="s">
        <v>2266</v>
      </c>
      <c r="S1158" s="3">
        <v>918582000000</v>
      </c>
      <c r="T1158" s="1" t="s">
        <v>98</v>
      </c>
      <c r="U1158" s="1">
        <v>79</v>
      </c>
      <c r="V1158" s="1">
        <v>78</v>
      </c>
      <c r="W1158" s="1" t="s">
        <v>41</v>
      </c>
      <c r="X1158" s="1">
        <v>554521</v>
      </c>
      <c r="Y1158" s="2">
        <v>36968</v>
      </c>
      <c r="Z1158" s="1">
        <v>4.1789737171464303</v>
      </c>
      <c r="AA1158" s="1">
        <v>23</v>
      </c>
      <c r="AB1158" s="1">
        <v>676000</v>
      </c>
      <c r="AC1158" s="1">
        <f t="shared" ref="AC1158:AC1221" si="18">IF(F1158 = 2, AB1158+30000,AB1158+60000)</f>
        <v>736000</v>
      </c>
    </row>
    <row r="1159" spans="1:29" x14ac:dyDescent="0.25">
      <c r="A1159" s="1" t="s">
        <v>2287</v>
      </c>
      <c r="B1159" s="1" t="s">
        <v>1605</v>
      </c>
      <c r="C1159" s="1" t="s">
        <v>1606</v>
      </c>
      <c r="D1159" s="1">
        <v>2022</v>
      </c>
      <c r="E1159" s="1" t="s">
        <v>45</v>
      </c>
      <c r="F1159" s="1">
        <v>2</v>
      </c>
      <c r="G1159" s="1" t="s">
        <v>46</v>
      </c>
      <c r="H1159" s="1" t="s">
        <v>90</v>
      </c>
      <c r="I1159" s="1">
        <v>92000</v>
      </c>
      <c r="J1159" s="1">
        <v>77000</v>
      </c>
      <c r="K1159" s="1">
        <v>15000</v>
      </c>
      <c r="L1159" s="1">
        <v>0</v>
      </c>
      <c r="M1159" s="1" t="s">
        <v>34</v>
      </c>
      <c r="N1159" s="1" t="s">
        <v>70</v>
      </c>
      <c r="O1159" s="1" t="s">
        <v>78</v>
      </c>
      <c r="P1159" s="1" t="s">
        <v>79</v>
      </c>
      <c r="Q1159" s="1" t="s">
        <v>38</v>
      </c>
      <c r="R1159" s="1" t="s">
        <v>2288</v>
      </c>
      <c r="S1159" s="3">
        <v>919634000000</v>
      </c>
      <c r="T1159" s="1" t="s">
        <v>98</v>
      </c>
      <c r="U1159" s="1">
        <v>79</v>
      </c>
      <c r="V1159" s="1">
        <v>65</v>
      </c>
      <c r="W1159" s="1" t="s">
        <v>52</v>
      </c>
      <c r="X1159" s="1">
        <v>151184</v>
      </c>
      <c r="Y1159" s="2">
        <v>36618</v>
      </c>
      <c r="Z1159" s="1">
        <v>4.1789737171464303</v>
      </c>
      <c r="AA1159" s="1">
        <v>24</v>
      </c>
      <c r="AB1159" s="1">
        <v>184000</v>
      </c>
      <c r="AC1159" s="1">
        <f t="shared" si="18"/>
        <v>214000</v>
      </c>
    </row>
    <row r="1160" spans="1:29" x14ac:dyDescent="0.25">
      <c r="A1160" s="1" t="s">
        <v>2309</v>
      </c>
      <c r="B1160" s="1" t="s">
        <v>2310</v>
      </c>
      <c r="C1160" s="1" t="s">
        <v>2311</v>
      </c>
      <c r="D1160" s="1">
        <v>2022</v>
      </c>
      <c r="E1160" s="1" t="s">
        <v>31</v>
      </c>
      <c r="F1160" s="1">
        <v>4</v>
      </c>
      <c r="G1160" s="1" t="s">
        <v>32</v>
      </c>
      <c r="H1160" s="1" t="s">
        <v>62</v>
      </c>
      <c r="I1160" s="1">
        <v>169000</v>
      </c>
      <c r="J1160" s="1">
        <v>154000</v>
      </c>
      <c r="K1160" s="1">
        <v>15000</v>
      </c>
      <c r="L1160" s="1">
        <v>0</v>
      </c>
      <c r="M1160" s="1" t="s">
        <v>34</v>
      </c>
      <c r="N1160" s="1" t="s">
        <v>70</v>
      </c>
      <c r="O1160" s="1" t="s">
        <v>71</v>
      </c>
      <c r="P1160" s="1" t="s">
        <v>72</v>
      </c>
      <c r="Q1160" s="1" t="s">
        <v>38</v>
      </c>
      <c r="R1160" s="1" t="s">
        <v>2312</v>
      </c>
      <c r="S1160" s="3">
        <v>919616000000</v>
      </c>
      <c r="T1160" s="1" t="s">
        <v>40</v>
      </c>
      <c r="U1160" s="1">
        <v>79</v>
      </c>
      <c r="V1160" s="1">
        <v>72</v>
      </c>
      <c r="W1160" s="1" t="s">
        <v>41</v>
      </c>
      <c r="X1160" s="1">
        <v>131346</v>
      </c>
      <c r="Y1160" s="2">
        <v>37009</v>
      </c>
      <c r="Z1160" s="1">
        <v>4.1789737171464303</v>
      </c>
      <c r="AA1160" s="1">
        <v>23</v>
      </c>
      <c r="AB1160" s="1">
        <v>676000</v>
      </c>
      <c r="AC1160" s="1">
        <f t="shared" si="18"/>
        <v>736000</v>
      </c>
    </row>
    <row r="1161" spans="1:29" x14ac:dyDescent="0.25">
      <c r="A1161" s="1" t="s">
        <v>2333</v>
      </c>
      <c r="B1161" s="1" t="s">
        <v>2334</v>
      </c>
      <c r="C1161" s="1" t="s">
        <v>2335</v>
      </c>
      <c r="D1161" s="1">
        <v>2022</v>
      </c>
      <c r="E1161" s="1" t="s">
        <v>31</v>
      </c>
      <c r="F1161" s="1">
        <v>4</v>
      </c>
      <c r="G1161" s="1" t="s">
        <v>32</v>
      </c>
      <c r="H1161" s="1" t="s">
        <v>113</v>
      </c>
      <c r="I1161" s="1">
        <v>169000</v>
      </c>
      <c r="J1161" s="1">
        <v>154000</v>
      </c>
      <c r="K1161" s="1">
        <v>15000</v>
      </c>
      <c r="L1161" s="1">
        <v>0</v>
      </c>
      <c r="M1161" s="1" t="s">
        <v>34</v>
      </c>
      <c r="N1161" s="1" t="s">
        <v>35</v>
      </c>
      <c r="O1161" s="1" t="s">
        <v>71</v>
      </c>
      <c r="P1161" s="1" t="s">
        <v>72</v>
      </c>
      <c r="Q1161" s="1" t="s">
        <v>38</v>
      </c>
      <c r="R1161" s="1" t="s">
        <v>2336</v>
      </c>
      <c r="S1161" s="3">
        <v>918998000000</v>
      </c>
      <c r="T1161" s="1" t="s">
        <v>74</v>
      </c>
      <c r="U1161" s="1">
        <v>79</v>
      </c>
      <c r="V1161" s="1">
        <v>91</v>
      </c>
      <c r="W1161" s="1" t="s">
        <v>41</v>
      </c>
      <c r="X1161" s="1">
        <v>756838</v>
      </c>
      <c r="Y1161" s="2">
        <v>37853</v>
      </c>
      <c r="Z1161" s="1">
        <v>4.1789737171464303</v>
      </c>
      <c r="AA1161" s="1">
        <v>20</v>
      </c>
      <c r="AB1161" s="1">
        <v>676000</v>
      </c>
      <c r="AC1161" s="1">
        <f t="shared" si="18"/>
        <v>736000</v>
      </c>
    </row>
    <row r="1162" spans="1:29" x14ac:dyDescent="0.25">
      <c r="A1162" s="1" t="s">
        <v>2361</v>
      </c>
      <c r="B1162" s="1" t="s">
        <v>2362</v>
      </c>
      <c r="C1162" s="1" t="s">
        <v>2363</v>
      </c>
      <c r="D1162" s="1">
        <v>2022</v>
      </c>
      <c r="E1162" s="1" t="s">
        <v>31</v>
      </c>
      <c r="F1162" s="1">
        <v>4</v>
      </c>
      <c r="G1162" s="1" t="s">
        <v>32</v>
      </c>
      <c r="H1162" s="1" t="s">
        <v>62</v>
      </c>
      <c r="I1162" s="1">
        <v>169000</v>
      </c>
      <c r="J1162" s="1">
        <v>154000</v>
      </c>
      <c r="K1162" s="1">
        <v>15000</v>
      </c>
      <c r="L1162" s="1">
        <v>0</v>
      </c>
      <c r="M1162" s="1" t="s">
        <v>34</v>
      </c>
      <c r="N1162" s="1" t="s">
        <v>63</v>
      </c>
      <c r="O1162" s="1" t="s">
        <v>84</v>
      </c>
      <c r="P1162" s="1" t="s">
        <v>65</v>
      </c>
      <c r="Q1162" s="1" t="s">
        <v>38</v>
      </c>
      <c r="R1162" s="1" t="s">
        <v>2364</v>
      </c>
      <c r="S1162" s="3">
        <v>918909000000</v>
      </c>
      <c r="T1162" s="1" t="s">
        <v>86</v>
      </c>
      <c r="U1162" s="1">
        <v>78</v>
      </c>
      <c r="V1162" s="1">
        <v>64</v>
      </c>
      <c r="W1162" s="1" t="s">
        <v>52</v>
      </c>
      <c r="X1162" s="1">
        <v>377113</v>
      </c>
      <c r="Y1162" s="2">
        <v>37923</v>
      </c>
      <c r="Z1162" s="1">
        <v>3.1789737171464298</v>
      </c>
      <c r="AA1162" s="1">
        <v>20</v>
      </c>
      <c r="AB1162" s="1">
        <v>676000</v>
      </c>
      <c r="AC1162" s="1">
        <f t="shared" si="18"/>
        <v>736000</v>
      </c>
    </row>
    <row r="1163" spans="1:29" x14ac:dyDescent="0.25">
      <c r="A1163" s="1" t="s">
        <v>2365</v>
      </c>
      <c r="B1163" s="1" t="s">
        <v>2366</v>
      </c>
      <c r="C1163" s="1" t="s">
        <v>2367</v>
      </c>
      <c r="D1163" s="1">
        <v>2022</v>
      </c>
      <c r="E1163" s="1" t="s">
        <v>31</v>
      </c>
      <c r="F1163" s="1">
        <v>4</v>
      </c>
      <c r="G1163" s="1" t="s">
        <v>32</v>
      </c>
      <c r="H1163" s="1" t="s">
        <v>102</v>
      </c>
      <c r="I1163" s="1">
        <v>169000</v>
      </c>
      <c r="J1163" s="1">
        <v>154000</v>
      </c>
      <c r="K1163" s="1">
        <v>15000</v>
      </c>
      <c r="L1163" s="1">
        <v>0</v>
      </c>
      <c r="M1163" s="1" t="s">
        <v>34</v>
      </c>
      <c r="N1163" s="1" t="s">
        <v>63</v>
      </c>
      <c r="O1163" s="1" t="s">
        <v>64</v>
      </c>
      <c r="P1163" s="1" t="s">
        <v>65</v>
      </c>
      <c r="Q1163" s="1" t="s">
        <v>38</v>
      </c>
      <c r="R1163" s="1" t="s">
        <v>2368</v>
      </c>
      <c r="S1163" s="3">
        <v>918457000000</v>
      </c>
      <c r="T1163" s="1" t="s">
        <v>98</v>
      </c>
      <c r="U1163" s="1">
        <v>78</v>
      </c>
      <c r="V1163" s="1">
        <v>69</v>
      </c>
      <c r="W1163" s="1" t="s">
        <v>41</v>
      </c>
      <c r="X1163" s="1">
        <v>563614</v>
      </c>
      <c r="Y1163" s="2">
        <v>37428</v>
      </c>
      <c r="Z1163" s="1">
        <v>3.1789737171464298</v>
      </c>
      <c r="AA1163" s="1">
        <v>22</v>
      </c>
      <c r="AB1163" s="1">
        <v>676000</v>
      </c>
      <c r="AC1163" s="1">
        <f t="shared" si="18"/>
        <v>736000</v>
      </c>
    </row>
    <row r="1164" spans="1:29" x14ac:dyDescent="0.25">
      <c r="A1164" s="1" t="s">
        <v>2385</v>
      </c>
      <c r="B1164" s="1" t="s">
        <v>2386</v>
      </c>
      <c r="C1164" s="1" t="s">
        <v>2387</v>
      </c>
      <c r="D1164" s="1">
        <v>2022</v>
      </c>
      <c r="E1164" s="1" t="s">
        <v>31</v>
      </c>
      <c r="F1164" s="1">
        <v>4</v>
      </c>
      <c r="G1164" s="1" t="s">
        <v>32</v>
      </c>
      <c r="H1164" s="1" t="s">
        <v>90</v>
      </c>
      <c r="I1164" s="1">
        <v>169000</v>
      </c>
      <c r="J1164" s="1">
        <v>154000</v>
      </c>
      <c r="K1164" s="1">
        <v>15000</v>
      </c>
      <c r="L1164" s="1">
        <v>0</v>
      </c>
      <c r="M1164" s="1" t="s">
        <v>34</v>
      </c>
      <c r="N1164" s="1" t="s">
        <v>35</v>
      </c>
      <c r="O1164" s="1" t="s">
        <v>103</v>
      </c>
      <c r="P1164" s="1" t="s">
        <v>104</v>
      </c>
      <c r="Q1164" s="1" t="s">
        <v>38</v>
      </c>
      <c r="R1164" s="1" t="s">
        <v>2388</v>
      </c>
      <c r="S1164" s="3">
        <v>917957000000</v>
      </c>
      <c r="T1164" s="1" t="s">
        <v>51</v>
      </c>
      <c r="U1164" s="1">
        <v>78</v>
      </c>
      <c r="V1164" s="1">
        <v>90</v>
      </c>
      <c r="W1164" s="1" t="s">
        <v>41</v>
      </c>
      <c r="X1164" s="1">
        <v>578374</v>
      </c>
      <c r="Y1164" s="2">
        <v>38471</v>
      </c>
      <c r="Z1164" s="1">
        <v>3.1789737171464298</v>
      </c>
      <c r="AA1164" s="1">
        <v>19</v>
      </c>
      <c r="AB1164" s="1">
        <v>676000</v>
      </c>
      <c r="AC1164" s="1">
        <f t="shared" si="18"/>
        <v>736000</v>
      </c>
    </row>
    <row r="1165" spans="1:29" x14ac:dyDescent="0.25">
      <c r="A1165" s="1" t="s">
        <v>2425</v>
      </c>
      <c r="B1165" s="1" t="s">
        <v>2426</v>
      </c>
      <c r="C1165" s="1" t="s">
        <v>2427</v>
      </c>
      <c r="D1165" s="1">
        <v>2022</v>
      </c>
      <c r="E1165" s="1" t="s">
        <v>31</v>
      </c>
      <c r="F1165" s="1">
        <v>4</v>
      </c>
      <c r="G1165" s="1" t="s">
        <v>32</v>
      </c>
      <c r="H1165" s="1" t="s">
        <v>102</v>
      </c>
      <c r="I1165" s="1">
        <v>169000</v>
      </c>
      <c r="J1165" s="1">
        <v>154000</v>
      </c>
      <c r="K1165" s="1">
        <v>15000</v>
      </c>
      <c r="L1165" s="1">
        <v>0</v>
      </c>
      <c r="M1165" s="1" t="s">
        <v>34</v>
      </c>
      <c r="N1165" s="1" t="s">
        <v>70</v>
      </c>
      <c r="O1165" s="1" t="s">
        <v>57</v>
      </c>
      <c r="P1165" s="1" t="s">
        <v>57</v>
      </c>
      <c r="Q1165" s="1" t="s">
        <v>38</v>
      </c>
      <c r="R1165" s="1" t="s">
        <v>2428</v>
      </c>
      <c r="S1165" s="3">
        <v>917784000000</v>
      </c>
      <c r="T1165" s="1" t="s">
        <v>86</v>
      </c>
      <c r="U1165" s="1">
        <v>78</v>
      </c>
      <c r="V1165" s="1">
        <v>79</v>
      </c>
      <c r="W1165" s="1" t="s">
        <v>41</v>
      </c>
      <c r="X1165" s="1">
        <v>298574</v>
      </c>
      <c r="Y1165" s="2">
        <v>38108</v>
      </c>
      <c r="Z1165" s="1">
        <v>3.1789737171464298</v>
      </c>
      <c r="AA1165" s="1">
        <v>20</v>
      </c>
      <c r="AB1165" s="1">
        <v>676000</v>
      </c>
      <c r="AC1165" s="1">
        <f t="shared" si="18"/>
        <v>736000</v>
      </c>
    </row>
    <row r="1166" spans="1:29" x14ac:dyDescent="0.25">
      <c r="A1166" s="1" t="s">
        <v>2437</v>
      </c>
      <c r="B1166" s="1" t="s">
        <v>2438</v>
      </c>
      <c r="C1166" s="1" t="s">
        <v>2439</v>
      </c>
      <c r="D1166" s="1">
        <v>2022</v>
      </c>
      <c r="E1166" s="1" t="s">
        <v>31</v>
      </c>
      <c r="F1166" s="1">
        <v>4</v>
      </c>
      <c r="G1166" s="1" t="s">
        <v>32</v>
      </c>
      <c r="H1166" s="1" t="s">
        <v>102</v>
      </c>
      <c r="I1166" s="1">
        <v>169000</v>
      </c>
      <c r="J1166" s="1">
        <v>154000</v>
      </c>
      <c r="K1166" s="1">
        <v>15000</v>
      </c>
      <c r="L1166" s="1">
        <v>0</v>
      </c>
      <c r="M1166" s="1" t="s">
        <v>34</v>
      </c>
      <c r="N1166" s="1" t="s">
        <v>70</v>
      </c>
      <c r="O1166" s="1" t="s">
        <v>64</v>
      </c>
      <c r="P1166" s="1" t="s">
        <v>65</v>
      </c>
      <c r="Q1166" s="1" t="s">
        <v>38</v>
      </c>
      <c r="R1166" s="1" t="s">
        <v>2440</v>
      </c>
      <c r="S1166" s="3">
        <v>919941000000</v>
      </c>
      <c r="T1166" s="1" t="s">
        <v>86</v>
      </c>
      <c r="U1166" s="1">
        <v>78</v>
      </c>
      <c r="V1166" s="1">
        <v>61</v>
      </c>
      <c r="W1166" s="1" t="s">
        <v>41</v>
      </c>
      <c r="X1166" s="1">
        <v>136108</v>
      </c>
      <c r="Y1166" s="2">
        <v>38699</v>
      </c>
      <c r="Z1166" s="1">
        <v>3.1789737171464298</v>
      </c>
      <c r="AA1166" s="1">
        <v>18</v>
      </c>
      <c r="AB1166" s="1">
        <v>676000</v>
      </c>
      <c r="AC1166" s="1">
        <f t="shared" si="18"/>
        <v>736000</v>
      </c>
    </row>
    <row r="1167" spans="1:29" x14ac:dyDescent="0.25">
      <c r="A1167" s="1" t="s">
        <v>2441</v>
      </c>
      <c r="B1167" s="1" t="s">
        <v>763</v>
      </c>
      <c r="C1167" s="1" t="s">
        <v>764</v>
      </c>
      <c r="D1167" s="1">
        <v>2022</v>
      </c>
      <c r="E1167" s="1" t="s">
        <v>31</v>
      </c>
      <c r="F1167" s="1">
        <v>4</v>
      </c>
      <c r="G1167" s="1" t="s">
        <v>32</v>
      </c>
      <c r="H1167" s="1" t="s">
        <v>47</v>
      </c>
      <c r="I1167" s="1">
        <v>169000</v>
      </c>
      <c r="J1167" s="1">
        <v>154000</v>
      </c>
      <c r="K1167" s="1">
        <v>15000</v>
      </c>
      <c r="L1167" s="1">
        <v>0</v>
      </c>
      <c r="M1167" s="1" t="s">
        <v>34</v>
      </c>
      <c r="N1167" s="1" t="s">
        <v>63</v>
      </c>
      <c r="O1167" s="1" t="s">
        <v>71</v>
      </c>
      <c r="P1167" s="1" t="s">
        <v>72</v>
      </c>
      <c r="Q1167" s="1" t="s">
        <v>38</v>
      </c>
      <c r="R1167" s="1" t="s">
        <v>2442</v>
      </c>
      <c r="S1167" s="3">
        <v>917350000000</v>
      </c>
      <c r="T1167" s="1" t="s">
        <v>86</v>
      </c>
      <c r="U1167" s="1">
        <v>78</v>
      </c>
      <c r="V1167" s="1">
        <v>80</v>
      </c>
      <c r="W1167" s="1" t="s">
        <v>41</v>
      </c>
      <c r="X1167" s="1">
        <v>236722</v>
      </c>
      <c r="Y1167" s="2">
        <v>38139</v>
      </c>
      <c r="Z1167" s="1">
        <v>3.1789737171464298</v>
      </c>
      <c r="AA1167" s="1">
        <v>20</v>
      </c>
      <c r="AB1167" s="1">
        <v>676000</v>
      </c>
      <c r="AC1167" s="1">
        <f t="shared" si="18"/>
        <v>736000</v>
      </c>
    </row>
    <row r="1168" spans="1:29" x14ac:dyDescent="0.25">
      <c r="A1168" s="1" t="s">
        <v>2499</v>
      </c>
      <c r="B1168" s="1" t="s">
        <v>2500</v>
      </c>
      <c r="C1168" s="1" t="s">
        <v>2501</v>
      </c>
      <c r="D1168" s="1">
        <v>2022</v>
      </c>
      <c r="E1168" s="1" t="s">
        <v>31</v>
      </c>
      <c r="F1168" s="1">
        <v>4</v>
      </c>
      <c r="G1168" s="1" t="s">
        <v>32</v>
      </c>
      <c r="H1168" s="1" t="s">
        <v>33</v>
      </c>
      <c r="I1168" s="1">
        <v>169000</v>
      </c>
      <c r="J1168" s="1">
        <v>154000</v>
      </c>
      <c r="K1168" s="1">
        <v>15000</v>
      </c>
      <c r="L1168" s="1">
        <v>0</v>
      </c>
      <c r="M1168" s="1" t="s">
        <v>34</v>
      </c>
      <c r="N1168" s="1" t="s">
        <v>63</v>
      </c>
      <c r="O1168" s="1" t="s">
        <v>36</v>
      </c>
      <c r="P1168" s="1" t="s">
        <v>37</v>
      </c>
      <c r="Q1168" s="1" t="s">
        <v>38</v>
      </c>
      <c r="R1168" s="1" t="s">
        <v>2502</v>
      </c>
      <c r="S1168" s="3">
        <v>917026000000</v>
      </c>
      <c r="T1168" s="1" t="s">
        <v>51</v>
      </c>
      <c r="U1168" s="1">
        <v>78</v>
      </c>
      <c r="V1168" s="1">
        <v>67</v>
      </c>
      <c r="W1168" s="1" t="s">
        <v>52</v>
      </c>
      <c r="X1168" s="1">
        <v>182801</v>
      </c>
      <c r="Y1168" s="2">
        <v>37926</v>
      </c>
      <c r="Z1168" s="1">
        <v>3.1789737171464298</v>
      </c>
      <c r="AA1168" s="1">
        <v>20</v>
      </c>
      <c r="AB1168" s="1">
        <v>676000</v>
      </c>
      <c r="AC1168" s="1">
        <f t="shared" si="18"/>
        <v>736000</v>
      </c>
    </row>
    <row r="1169" spans="1:29" x14ac:dyDescent="0.25">
      <c r="A1169" s="1" t="s">
        <v>2503</v>
      </c>
      <c r="B1169" s="1" t="s">
        <v>2504</v>
      </c>
      <c r="C1169" s="1" t="s">
        <v>2505</v>
      </c>
      <c r="D1169" s="1">
        <v>2022</v>
      </c>
      <c r="E1169" s="1" t="s">
        <v>31</v>
      </c>
      <c r="F1169" s="1">
        <v>4</v>
      </c>
      <c r="G1169" s="1" t="s">
        <v>32</v>
      </c>
      <c r="H1169" s="1" t="s">
        <v>47</v>
      </c>
      <c r="I1169" s="1">
        <v>169000</v>
      </c>
      <c r="J1169" s="1">
        <v>154000</v>
      </c>
      <c r="K1169" s="1">
        <v>15000</v>
      </c>
      <c r="L1169" s="1">
        <v>0</v>
      </c>
      <c r="M1169" s="1" t="s">
        <v>34</v>
      </c>
      <c r="N1169" s="1" t="s">
        <v>70</v>
      </c>
      <c r="O1169" s="1" t="s">
        <v>64</v>
      </c>
      <c r="P1169" s="1" t="s">
        <v>65</v>
      </c>
      <c r="Q1169" s="1" t="s">
        <v>38</v>
      </c>
      <c r="R1169" s="1" t="s">
        <v>2506</v>
      </c>
      <c r="S1169" s="3">
        <v>919255000000</v>
      </c>
      <c r="T1169" s="1" t="s">
        <v>40</v>
      </c>
      <c r="U1169" s="1">
        <v>78</v>
      </c>
      <c r="V1169" s="1">
        <v>74</v>
      </c>
      <c r="W1169" s="1" t="s">
        <v>52</v>
      </c>
      <c r="X1169" s="1">
        <v>229021</v>
      </c>
      <c r="Y1169" s="2">
        <v>38477</v>
      </c>
      <c r="Z1169" s="1">
        <v>3.1789737171464298</v>
      </c>
      <c r="AA1169" s="1">
        <v>19</v>
      </c>
      <c r="AB1169" s="1">
        <v>676000</v>
      </c>
      <c r="AC1169" s="1">
        <f t="shared" si="18"/>
        <v>736000</v>
      </c>
    </row>
    <row r="1170" spans="1:29" x14ac:dyDescent="0.25">
      <c r="A1170" s="1" t="s">
        <v>2507</v>
      </c>
      <c r="B1170" s="1" t="s">
        <v>2508</v>
      </c>
      <c r="C1170" s="1" t="s">
        <v>2509</v>
      </c>
      <c r="D1170" s="1">
        <v>2022</v>
      </c>
      <c r="E1170" s="1" t="s">
        <v>45</v>
      </c>
      <c r="F1170" s="1">
        <v>2</v>
      </c>
      <c r="G1170" s="1" t="s">
        <v>46</v>
      </c>
      <c r="H1170" s="1" t="s">
        <v>47</v>
      </c>
      <c r="I1170" s="1">
        <v>92000</v>
      </c>
      <c r="J1170" s="1">
        <v>77000</v>
      </c>
      <c r="K1170" s="1">
        <v>15000</v>
      </c>
      <c r="L1170" s="1">
        <v>0</v>
      </c>
      <c r="M1170" s="1" t="s">
        <v>34</v>
      </c>
      <c r="N1170" s="1" t="s">
        <v>35</v>
      </c>
      <c r="O1170" s="1" t="s">
        <v>103</v>
      </c>
      <c r="P1170" s="1" t="s">
        <v>104</v>
      </c>
      <c r="Q1170" s="1" t="s">
        <v>38</v>
      </c>
      <c r="R1170" s="1" t="s">
        <v>2510</v>
      </c>
      <c r="S1170" s="3">
        <v>918874000000</v>
      </c>
      <c r="T1170" s="1" t="s">
        <v>51</v>
      </c>
      <c r="U1170" s="1">
        <v>78</v>
      </c>
      <c r="V1170" s="1">
        <v>67</v>
      </c>
      <c r="W1170" s="1" t="s">
        <v>41</v>
      </c>
      <c r="X1170" s="1">
        <v>537159</v>
      </c>
      <c r="Y1170" s="2">
        <v>36758</v>
      </c>
      <c r="Z1170" s="1">
        <v>3.1789737171464298</v>
      </c>
      <c r="AA1170" s="1">
        <v>23</v>
      </c>
      <c r="AB1170" s="1">
        <v>184000</v>
      </c>
      <c r="AC1170" s="1">
        <f t="shared" si="18"/>
        <v>214000</v>
      </c>
    </row>
    <row r="1171" spans="1:29" x14ac:dyDescent="0.25">
      <c r="A1171" s="1" t="s">
        <v>2511</v>
      </c>
      <c r="B1171" s="1" t="s">
        <v>2488</v>
      </c>
      <c r="C1171" s="1" t="s">
        <v>2489</v>
      </c>
      <c r="D1171" s="1">
        <v>2022</v>
      </c>
      <c r="E1171" s="1" t="s">
        <v>45</v>
      </c>
      <c r="F1171" s="1">
        <v>2</v>
      </c>
      <c r="G1171" s="1" t="s">
        <v>46</v>
      </c>
      <c r="H1171" s="1" t="s">
        <v>113</v>
      </c>
      <c r="I1171" s="1">
        <v>92000</v>
      </c>
      <c r="J1171" s="1">
        <v>77000</v>
      </c>
      <c r="K1171" s="1">
        <v>15000</v>
      </c>
      <c r="L1171" s="1">
        <v>0</v>
      </c>
      <c r="M1171" s="1" t="s">
        <v>34</v>
      </c>
      <c r="N1171" s="1" t="s">
        <v>70</v>
      </c>
      <c r="O1171" s="1" t="s">
        <v>36</v>
      </c>
      <c r="P1171" s="1" t="s">
        <v>37</v>
      </c>
      <c r="Q1171" s="1" t="s">
        <v>38</v>
      </c>
      <c r="R1171" s="1" t="s">
        <v>2512</v>
      </c>
      <c r="S1171" s="3">
        <v>917221000000</v>
      </c>
      <c r="T1171" s="1" t="s">
        <v>98</v>
      </c>
      <c r="U1171" s="1">
        <v>78</v>
      </c>
      <c r="V1171" s="1">
        <v>69</v>
      </c>
      <c r="W1171" s="1" t="s">
        <v>52</v>
      </c>
      <c r="X1171" s="1">
        <v>463487</v>
      </c>
      <c r="Y1171" s="2">
        <v>35543</v>
      </c>
      <c r="Z1171" s="1">
        <v>3.1789737171464298</v>
      </c>
      <c r="AA1171" s="1">
        <v>27</v>
      </c>
      <c r="AB1171" s="1">
        <v>184000</v>
      </c>
      <c r="AC1171" s="1">
        <f t="shared" si="18"/>
        <v>214000</v>
      </c>
    </row>
    <row r="1172" spans="1:29" x14ac:dyDescent="0.25">
      <c r="A1172" s="1" t="s">
        <v>2534</v>
      </c>
      <c r="B1172" s="1" t="s">
        <v>2535</v>
      </c>
      <c r="C1172" s="1" t="s">
        <v>2536</v>
      </c>
      <c r="D1172" s="1">
        <v>2022</v>
      </c>
      <c r="E1172" s="1" t="s">
        <v>31</v>
      </c>
      <c r="F1172" s="1">
        <v>4</v>
      </c>
      <c r="G1172" s="1" t="s">
        <v>32</v>
      </c>
      <c r="H1172" s="1" t="s">
        <v>33</v>
      </c>
      <c r="I1172" s="1">
        <v>169000</v>
      </c>
      <c r="J1172" s="1">
        <v>154000</v>
      </c>
      <c r="K1172" s="1">
        <v>15000</v>
      </c>
      <c r="L1172" s="1">
        <v>0</v>
      </c>
      <c r="M1172" s="1" t="s">
        <v>34</v>
      </c>
      <c r="N1172" s="1" t="s">
        <v>63</v>
      </c>
      <c r="O1172" s="1" t="s">
        <v>48</v>
      </c>
      <c r="P1172" s="1" t="s">
        <v>49</v>
      </c>
      <c r="Q1172" s="1" t="s">
        <v>38</v>
      </c>
      <c r="R1172" s="1" t="s">
        <v>2537</v>
      </c>
      <c r="S1172" s="3">
        <v>918152000000</v>
      </c>
      <c r="T1172" s="1" t="s">
        <v>40</v>
      </c>
      <c r="U1172" s="1">
        <v>77</v>
      </c>
      <c r="V1172" s="1">
        <v>89</v>
      </c>
      <c r="W1172" s="1" t="s">
        <v>41</v>
      </c>
      <c r="X1172" s="1">
        <v>535205</v>
      </c>
      <c r="Y1172" s="2">
        <v>37789</v>
      </c>
      <c r="Z1172" s="1">
        <v>2.1789737171464298</v>
      </c>
      <c r="AA1172" s="1">
        <v>21</v>
      </c>
      <c r="AB1172" s="1">
        <v>676000</v>
      </c>
      <c r="AC1172" s="1">
        <f t="shared" si="18"/>
        <v>736000</v>
      </c>
    </row>
    <row r="1173" spans="1:29" x14ac:dyDescent="0.25">
      <c r="A1173" s="1" t="s">
        <v>2572</v>
      </c>
      <c r="B1173" s="1" t="s">
        <v>2573</v>
      </c>
      <c r="C1173" s="1" t="s">
        <v>2574</v>
      </c>
      <c r="D1173" s="1">
        <v>2022</v>
      </c>
      <c r="E1173" s="1" t="s">
        <v>31</v>
      </c>
      <c r="F1173" s="1">
        <v>4</v>
      </c>
      <c r="G1173" s="1" t="s">
        <v>32</v>
      </c>
      <c r="H1173" s="1" t="s">
        <v>151</v>
      </c>
      <c r="I1173" s="1">
        <v>169000</v>
      </c>
      <c r="J1173" s="1">
        <v>154000</v>
      </c>
      <c r="K1173" s="1">
        <v>15000</v>
      </c>
      <c r="L1173" s="1">
        <v>0</v>
      </c>
      <c r="M1173" s="1" t="s">
        <v>34</v>
      </c>
      <c r="N1173" s="1" t="s">
        <v>35</v>
      </c>
      <c r="O1173" s="1" t="s">
        <v>36</v>
      </c>
      <c r="P1173" s="1" t="s">
        <v>37</v>
      </c>
      <c r="Q1173" s="1" t="s">
        <v>38</v>
      </c>
      <c r="R1173" s="1" t="s">
        <v>2575</v>
      </c>
      <c r="S1173" s="3">
        <v>918279000000</v>
      </c>
      <c r="T1173" s="1" t="s">
        <v>98</v>
      </c>
      <c r="U1173" s="1">
        <v>77</v>
      </c>
      <c r="V1173" s="1">
        <v>88</v>
      </c>
      <c r="W1173" s="1" t="s">
        <v>41</v>
      </c>
      <c r="X1173" s="1">
        <v>626698</v>
      </c>
      <c r="Y1173" s="2">
        <v>38414</v>
      </c>
      <c r="Z1173" s="1">
        <v>2.1789737171464298</v>
      </c>
      <c r="AA1173" s="1">
        <v>19</v>
      </c>
      <c r="AB1173" s="1">
        <v>676000</v>
      </c>
      <c r="AC1173" s="1">
        <f t="shared" si="18"/>
        <v>736000</v>
      </c>
    </row>
    <row r="1174" spans="1:29" x14ac:dyDescent="0.25">
      <c r="A1174" s="1" t="s">
        <v>2604</v>
      </c>
      <c r="B1174" s="1" t="s">
        <v>2605</v>
      </c>
      <c r="C1174" s="1" t="s">
        <v>2606</v>
      </c>
      <c r="D1174" s="1">
        <v>2022</v>
      </c>
      <c r="E1174" s="1" t="s">
        <v>31</v>
      </c>
      <c r="F1174" s="1">
        <v>4</v>
      </c>
      <c r="G1174" s="1" t="s">
        <v>32</v>
      </c>
      <c r="H1174" s="1" t="s">
        <v>56</v>
      </c>
      <c r="I1174" s="1">
        <v>169000</v>
      </c>
      <c r="J1174" s="1">
        <v>154000</v>
      </c>
      <c r="K1174" s="1">
        <v>15000</v>
      </c>
      <c r="L1174" s="1">
        <v>0</v>
      </c>
      <c r="M1174" s="1" t="s">
        <v>34</v>
      </c>
      <c r="N1174" s="1" t="s">
        <v>70</v>
      </c>
      <c r="O1174" s="1" t="s">
        <v>36</v>
      </c>
      <c r="P1174" s="1" t="s">
        <v>37</v>
      </c>
      <c r="Q1174" s="1" t="s">
        <v>38</v>
      </c>
      <c r="R1174" s="1" t="s">
        <v>2607</v>
      </c>
      <c r="S1174" s="3">
        <v>917612000000</v>
      </c>
      <c r="T1174" s="1" t="s">
        <v>40</v>
      </c>
      <c r="U1174" s="1">
        <v>77</v>
      </c>
      <c r="V1174" s="1">
        <v>62</v>
      </c>
      <c r="W1174" s="1" t="s">
        <v>52</v>
      </c>
      <c r="X1174" s="1">
        <v>689648</v>
      </c>
      <c r="Y1174" s="2">
        <v>38200</v>
      </c>
      <c r="Z1174" s="1">
        <v>2.1789737171464298</v>
      </c>
      <c r="AA1174" s="1">
        <v>19</v>
      </c>
      <c r="AB1174" s="1">
        <v>676000</v>
      </c>
      <c r="AC1174" s="1">
        <f t="shared" si="18"/>
        <v>736000</v>
      </c>
    </row>
    <row r="1175" spans="1:29" x14ac:dyDescent="0.25">
      <c r="A1175" s="1" t="s">
        <v>2618</v>
      </c>
      <c r="B1175" s="1" t="s">
        <v>2619</v>
      </c>
      <c r="C1175" s="1" t="s">
        <v>2620</v>
      </c>
      <c r="D1175" s="1">
        <v>2022</v>
      </c>
      <c r="E1175" s="1" t="s">
        <v>31</v>
      </c>
      <c r="F1175" s="1">
        <v>4</v>
      </c>
      <c r="G1175" s="1" t="s">
        <v>32</v>
      </c>
      <c r="H1175" s="1" t="s">
        <v>102</v>
      </c>
      <c r="I1175" s="1">
        <v>169000</v>
      </c>
      <c r="J1175" s="1">
        <v>154000</v>
      </c>
      <c r="K1175" s="1">
        <v>15000</v>
      </c>
      <c r="L1175" s="1">
        <v>0</v>
      </c>
      <c r="M1175" s="1" t="s">
        <v>34</v>
      </c>
      <c r="N1175" s="1" t="s">
        <v>63</v>
      </c>
      <c r="O1175" s="1" t="s">
        <v>103</v>
      </c>
      <c r="P1175" s="1" t="s">
        <v>104</v>
      </c>
      <c r="Q1175" s="1" t="s">
        <v>38</v>
      </c>
      <c r="R1175" s="1" t="s">
        <v>2621</v>
      </c>
      <c r="S1175" s="3">
        <v>918039000000</v>
      </c>
      <c r="T1175" s="1" t="s">
        <v>51</v>
      </c>
      <c r="U1175" s="1">
        <v>77</v>
      </c>
      <c r="V1175" s="1">
        <v>64</v>
      </c>
      <c r="W1175" s="1" t="s">
        <v>52</v>
      </c>
      <c r="X1175" s="1">
        <v>464380</v>
      </c>
      <c r="Y1175" s="2">
        <v>37704</v>
      </c>
      <c r="Z1175" s="1">
        <v>2.1789737171464298</v>
      </c>
      <c r="AA1175" s="1">
        <v>21</v>
      </c>
      <c r="AB1175" s="1">
        <v>676000</v>
      </c>
      <c r="AC1175" s="1">
        <f t="shared" si="18"/>
        <v>736000</v>
      </c>
    </row>
    <row r="1176" spans="1:29" x14ac:dyDescent="0.25">
      <c r="A1176" s="1" t="s">
        <v>2622</v>
      </c>
      <c r="B1176" s="1" t="s">
        <v>1783</v>
      </c>
      <c r="C1176" s="1" t="s">
        <v>1784</v>
      </c>
      <c r="D1176" s="1">
        <v>2022</v>
      </c>
      <c r="E1176" s="1" t="s">
        <v>31</v>
      </c>
      <c r="F1176" s="1">
        <v>4</v>
      </c>
      <c r="G1176" s="1" t="s">
        <v>32</v>
      </c>
      <c r="H1176" s="1" t="s">
        <v>113</v>
      </c>
      <c r="I1176" s="1">
        <v>169000</v>
      </c>
      <c r="J1176" s="1">
        <v>154000</v>
      </c>
      <c r="K1176" s="1">
        <v>15000</v>
      </c>
      <c r="L1176" s="1">
        <v>0</v>
      </c>
      <c r="M1176" s="1" t="s">
        <v>34</v>
      </c>
      <c r="N1176" s="1" t="s">
        <v>70</v>
      </c>
      <c r="O1176" s="1" t="s">
        <v>103</v>
      </c>
      <c r="P1176" s="1" t="s">
        <v>104</v>
      </c>
      <c r="Q1176" s="1" t="s">
        <v>38</v>
      </c>
      <c r="R1176" s="1" t="s">
        <v>2623</v>
      </c>
      <c r="S1176" s="3">
        <v>917824000000</v>
      </c>
      <c r="T1176" s="1" t="s">
        <v>40</v>
      </c>
      <c r="U1176" s="1">
        <v>77</v>
      </c>
      <c r="V1176" s="1">
        <v>71</v>
      </c>
      <c r="W1176" s="1" t="s">
        <v>41</v>
      </c>
      <c r="X1176" s="1">
        <v>248994</v>
      </c>
      <c r="Y1176" s="2">
        <v>38726</v>
      </c>
      <c r="Z1176" s="1">
        <v>2.1789737171464298</v>
      </c>
      <c r="AA1176" s="1">
        <v>18</v>
      </c>
      <c r="AB1176" s="1">
        <v>676000</v>
      </c>
      <c r="AC1176" s="1">
        <f t="shared" si="18"/>
        <v>736000</v>
      </c>
    </row>
    <row r="1177" spans="1:29" x14ac:dyDescent="0.25">
      <c r="A1177" s="1" t="s">
        <v>2642</v>
      </c>
      <c r="B1177" s="1" t="s">
        <v>2643</v>
      </c>
      <c r="C1177" s="1" t="s">
        <v>2644</v>
      </c>
      <c r="D1177" s="1">
        <v>2022</v>
      </c>
      <c r="E1177" s="1" t="s">
        <v>31</v>
      </c>
      <c r="F1177" s="1">
        <v>4</v>
      </c>
      <c r="G1177" s="1" t="s">
        <v>32</v>
      </c>
      <c r="H1177" s="1" t="s">
        <v>113</v>
      </c>
      <c r="I1177" s="1">
        <v>169000</v>
      </c>
      <c r="J1177" s="1">
        <v>154000</v>
      </c>
      <c r="K1177" s="1">
        <v>15000</v>
      </c>
      <c r="L1177" s="1">
        <v>0</v>
      </c>
      <c r="M1177" s="1" t="s">
        <v>34</v>
      </c>
      <c r="N1177" s="1" t="s">
        <v>70</v>
      </c>
      <c r="O1177" s="1" t="s">
        <v>64</v>
      </c>
      <c r="P1177" s="1" t="s">
        <v>65</v>
      </c>
      <c r="Q1177" s="1" t="s">
        <v>38</v>
      </c>
      <c r="R1177" s="1" t="s">
        <v>2645</v>
      </c>
      <c r="S1177" s="3">
        <v>919197000000</v>
      </c>
      <c r="T1177" s="1" t="s">
        <v>40</v>
      </c>
      <c r="U1177" s="1">
        <v>77</v>
      </c>
      <c r="V1177" s="1">
        <v>85</v>
      </c>
      <c r="W1177" s="1" t="s">
        <v>41</v>
      </c>
      <c r="X1177" s="1">
        <v>765576</v>
      </c>
      <c r="Y1177" s="2">
        <v>37444</v>
      </c>
      <c r="Z1177" s="1">
        <v>2.1789737171464298</v>
      </c>
      <c r="AA1177" s="1">
        <v>22</v>
      </c>
      <c r="AB1177" s="1">
        <v>676000</v>
      </c>
      <c r="AC1177" s="1">
        <f t="shared" si="18"/>
        <v>736000</v>
      </c>
    </row>
    <row r="1178" spans="1:29" x14ac:dyDescent="0.25">
      <c r="A1178" s="1" t="s">
        <v>2646</v>
      </c>
      <c r="B1178" s="1" t="s">
        <v>2647</v>
      </c>
      <c r="C1178" s="1" t="s">
        <v>2648</v>
      </c>
      <c r="D1178" s="1">
        <v>2022</v>
      </c>
      <c r="E1178" s="1" t="s">
        <v>31</v>
      </c>
      <c r="F1178" s="1">
        <v>4</v>
      </c>
      <c r="G1178" s="1" t="s">
        <v>32</v>
      </c>
      <c r="H1178" s="1" t="s">
        <v>102</v>
      </c>
      <c r="I1178" s="1">
        <v>169000</v>
      </c>
      <c r="J1178" s="1">
        <v>154000</v>
      </c>
      <c r="K1178" s="1">
        <v>15000</v>
      </c>
      <c r="L1178" s="1">
        <v>0</v>
      </c>
      <c r="M1178" s="1" t="s">
        <v>34</v>
      </c>
      <c r="N1178" s="1" t="s">
        <v>70</v>
      </c>
      <c r="O1178" s="1" t="s">
        <v>103</v>
      </c>
      <c r="P1178" s="1" t="s">
        <v>104</v>
      </c>
      <c r="Q1178" s="1" t="s">
        <v>38</v>
      </c>
      <c r="R1178" s="1" t="s">
        <v>2649</v>
      </c>
      <c r="S1178" s="3">
        <v>918861000000</v>
      </c>
      <c r="T1178" s="1" t="s">
        <v>74</v>
      </c>
      <c r="U1178" s="1">
        <v>77</v>
      </c>
      <c r="V1178" s="1">
        <v>74</v>
      </c>
      <c r="W1178" s="1" t="s">
        <v>52</v>
      </c>
      <c r="X1178" s="1">
        <v>493969</v>
      </c>
      <c r="Y1178" s="2">
        <v>38027</v>
      </c>
      <c r="Z1178" s="1">
        <v>2.1789737171464298</v>
      </c>
      <c r="AA1178" s="1">
        <v>20</v>
      </c>
      <c r="AB1178" s="1">
        <v>676000</v>
      </c>
      <c r="AC1178" s="1">
        <f t="shared" si="18"/>
        <v>736000</v>
      </c>
    </row>
    <row r="1179" spans="1:29" x14ac:dyDescent="0.25">
      <c r="A1179" s="1" t="s">
        <v>2657</v>
      </c>
      <c r="B1179" s="1" t="s">
        <v>2658</v>
      </c>
      <c r="C1179" s="1" t="s">
        <v>2659</v>
      </c>
      <c r="D1179" s="1">
        <v>2022</v>
      </c>
      <c r="E1179" s="1" t="s">
        <v>31</v>
      </c>
      <c r="F1179" s="1">
        <v>4</v>
      </c>
      <c r="G1179" s="1" t="s">
        <v>32</v>
      </c>
      <c r="H1179" s="1" t="s">
        <v>210</v>
      </c>
      <c r="I1179" s="1">
        <v>169000</v>
      </c>
      <c r="J1179" s="1">
        <v>154000</v>
      </c>
      <c r="K1179" s="1">
        <v>15000</v>
      </c>
      <c r="L1179" s="1">
        <v>0</v>
      </c>
      <c r="M1179" s="1" t="s">
        <v>34</v>
      </c>
      <c r="N1179" s="1" t="s">
        <v>63</v>
      </c>
      <c r="O1179" s="1" t="s">
        <v>84</v>
      </c>
      <c r="P1179" s="1" t="s">
        <v>65</v>
      </c>
      <c r="Q1179" s="1" t="s">
        <v>38</v>
      </c>
      <c r="R1179" s="1" t="s">
        <v>2660</v>
      </c>
      <c r="S1179" s="3">
        <v>917367000000</v>
      </c>
      <c r="T1179" s="1" t="s">
        <v>98</v>
      </c>
      <c r="U1179" s="1">
        <v>77</v>
      </c>
      <c r="V1179" s="1">
        <v>74</v>
      </c>
      <c r="W1179" s="1" t="s">
        <v>52</v>
      </c>
      <c r="X1179" s="1">
        <v>772461</v>
      </c>
      <c r="Y1179" s="2">
        <v>38459</v>
      </c>
      <c r="Z1179" s="1">
        <v>2.1789737171464298</v>
      </c>
      <c r="AA1179" s="1">
        <v>19</v>
      </c>
      <c r="AB1179" s="1">
        <v>676000</v>
      </c>
      <c r="AC1179" s="1">
        <f t="shared" si="18"/>
        <v>736000</v>
      </c>
    </row>
    <row r="1180" spans="1:29" x14ac:dyDescent="0.25">
      <c r="A1180" s="1" t="s">
        <v>2665</v>
      </c>
      <c r="B1180" s="1" t="s">
        <v>2666</v>
      </c>
      <c r="C1180" s="1" t="s">
        <v>2667</v>
      </c>
      <c r="D1180" s="1">
        <v>2022</v>
      </c>
      <c r="E1180" s="1" t="s">
        <v>31</v>
      </c>
      <c r="F1180" s="1">
        <v>4</v>
      </c>
      <c r="G1180" s="1" t="s">
        <v>32</v>
      </c>
      <c r="H1180" s="1" t="s">
        <v>90</v>
      </c>
      <c r="I1180" s="1">
        <v>169000</v>
      </c>
      <c r="J1180" s="1">
        <v>154000</v>
      </c>
      <c r="K1180" s="1">
        <v>15000</v>
      </c>
      <c r="L1180" s="1">
        <v>0</v>
      </c>
      <c r="M1180" s="1" t="s">
        <v>34</v>
      </c>
      <c r="N1180" s="1" t="s">
        <v>70</v>
      </c>
      <c r="O1180" s="1" t="s">
        <v>84</v>
      </c>
      <c r="P1180" s="1" t="s">
        <v>65</v>
      </c>
      <c r="Q1180" s="1" t="s">
        <v>38</v>
      </c>
      <c r="R1180" s="1" t="s">
        <v>2668</v>
      </c>
      <c r="S1180" s="3">
        <v>918432000000</v>
      </c>
      <c r="T1180" s="1" t="s">
        <v>51</v>
      </c>
      <c r="U1180" s="1">
        <v>77</v>
      </c>
      <c r="V1180" s="1">
        <v>61</v>
      </c>
      <c r="W1180" s="1" t="s">
        <v>52</v>
      </c>
      <c r="X1180" s="1">
        <v>151381</v>
      </c>
      <c r="Y1180" s="2">
        <v>38188</v>
      </c>
      <c r="Z1180" s="1">
        <v>2.1789737171464298</v>
      </c>
      <c r="AA1180" s="1">
        <v>19</v>
      </c>
      <c r="AB1180" s="1">
        <v>676000</v>
      </c>
      <c r="AC1180" s="1">
        <f t="shared" si="18"/>
        <v>736000</v>
      </c>
    </row>
    <row r="1181" spans="1:29" x14ac:dyDescent="0.25">
      <c r="A1181" s="1" t="s">
        <v>2673</v>
      </c>
      <c r="B1181" s="1" t="s">
        <v>2674</v>
      </c>
      <c r="C1181" s="1" t="s">
        <v>2675</v>
      </c>
      <c r="D1181" s="1">
        <v>2022</v>
      </c>
      <c r="E1181" s="1" t="s">
        <v>31</v>
      </c>
      <c r="F1181" s="1">
        <v>4</v>
      </c>
      <c r="G1181" s="1" t="s">
        <v>32</v>
      </c>
      <c r="H1181" s="1" t="s">
        <v>102</v>
      </c>
      <c r="I1181" s="1">
        <v>169000</v>
      </c>
      <c r="J1181" s="1">
        <v>154000</v>
      </c>
      <c r="K1181" s="1">
        <v>15000</v>
      </c>
      <c r="L1181" s="1">
        <v>0</v>
      </c>
      <c r="M1181" s="1" t="s">
        <v>34</v>
      </c>
      <c r="N1181" s="1" t="s">
        <v>63</v>
      </c>
      <c r="O1181" s="1" t="s">
        <v>71</v>
      </c>
      <c r="P1181" s="1" t="s">
        <v>72</v>
      </c>
      <c r="Q1181" s="1" t="s">
        <v>38</v>
      </c>
      <c r="R1181" s="1" t="s">
        <v>2676</v>
      </c>
      <c r="S1181" s="3">
        <v>918829000000</v>
      </c>
      <c r="T1181" s="1" t="s">
        <v>74</v>
      </c>
      <c r="U1181" s="1">
        <v>77</v>
      </c>
      <c r="V1181" s="1">
        <v>76</v>
      </c>
      <c r="W1181" s="1" t="s">
        <v>52</v>
      </c>
      <c r="X1181" s="1">
        <v>679743</v>
      </c>
      <c r="Y1181" s="2">
        <v>37144</v>
      </c>
      <c r="Z1181" s="1">
        <v>2.1789737171464298</v>
      </c>
      <c r="AA1181" s="1">
        <v>22</v>
      </c>
      <c r="AB1181" s="1">
        <v>676000</v>
      </c>
      <c r="AC1181" s="1">
        <f t="shared" si="18"/>
        <v>736000</v>
      </c>
    </row>
    <row r="1182" spans="1:29" x14ac:dyDescent="0.25">
      <c r="A1182" s="1" t="s">
        <v>2689</v>
      </c>
      <c r="B1182" s="1" t="s">
        <v>2690</v>
      </c>
      <c r="C1182" s="1" t="s">
        <v>2691</v>
      </c>
      <c r="D1182" s="1">
        <v>2022</v>
      </c>
      <c r="E1182" s="1" t="s">
        <v>31</v>
      </c>
      <c r="F1182" s="1">
        <v>4</v>
      </c>
      <c r="G1182" s="1" t="s">
        <v>32</v>
      </c>
      <c r="H1182" s="1" t="s">
        <v>122</v>
      </c>
      <c r="I1182" s="1">
        <v>169000</v>
      </c>
      <c r="J1182" s="1">
        <v>154000</v>
      </c>
      <c r="K1182" s="1">
        <v>15000</v>
      </c>
      <c r="L1182" s="1">
        <v>0</v>
      </c>
      <c r="M1182" s="1" t="s">
        <v>34</v>
      </c>
      <c r="N1182" s="1" t="s">
        <v>35</v>
      </c>
      <c r="O1182" s="1" t="s">
        <v>57</v>
      </c>
      <c r="P1182" s="1" t="s">
        <v>57</v>
      </c>
      <c r="Q1182" s="1" t="s">
        <v>38</v>
      </c>
      <c r="R1182" s="1" t="s">
        <v>2692</v>
      </c>
      <c r="S1182" s="3">
        <v>917721000000</v>
      </c>
      <c r="T1182" s="1" t="s">
        <v>98</v>
      </c>
      <c r="U1182" s="1">
        <v>77</v>
      </c>
      <c r="V1182" s="1">
        <v>88</v>
      </c>
      <c r="W1182" s="1" t="s">
        <v>52</v>
      </c>
      <c r="X1182" s="1">
        <v>780502</v>
      </c>
      <c r="Y1182" s="2">
        <v>38069</v>
      </c>
      <c r="Z1182" s="1">
        <v>2.1789737171464298</v>
      </c>
      <c r="AA1182" s="1">
        <v>20</v>
      </c>
      <c r="AB1182" s="1">
        <v>676000</v>
      </c>
      <c r="AC1182" s="1">
        <f t="shared" si="18"/>
        <v>736000</v>
      </c>
    </row>
    <row r="1183" spans="1:29" x14ac:dyDescent="0.25">
      <c r="A1183" s="1" t="s">
        <v>2693</v>
      </c>
      <c r="B1183" s="1" t="s">
        <v>1137</v>
      </c>
      <c r="C1183" s="1" t="s">
        <v>1138</v>
      </c>
      <c r="D1183" s="1">
        <v>2022</v>
      </c>
      <c r="E1183" s="1" t="s">
        <v>45</v>
      </c>
      <c r="F1183" s="1">
        <v>2</v>
      </c>
      <c r="G1183" s="1" t="s">
        <v>46</v>
      </c>
      <c r="H1183" s="1" t="s">
        <v>90</v>
      </c>
      <c r="I1183" s="1">
        <v>92000</v>
      </c>
      <c r="J1183" s="1">
        <v>77000</v>
      </c>
      <c r="K1183" s="1">
        <v>15000</v>
      </c>
      <c r="L1183" s="1">
        <v>0</v>
      </c>
      <c r="M1183" s="1" t="s">
        <v>34</v>
      </c>
      <c r="N1183" s="1" t="s">
        <v>63</v>
      </c>
      <c r="O1183" s="1" t="s">
        <v>78</v>
      </c>
      <c r="P1183" s="1" t="s">
        <v>79</v>
      </c>
      <c r="Q1183" s="1" t="s">
        <v>38</v>
      </c>
      <c r="R1183" s="1" t="s">
        <v>2694</v>
      </c>
      <c r="S1183" s="3">
        <v>918750000000</v>
      </c>
      <c r="T1183" s="1" t="s">
        <v>86</v>
      </c>
      <c r="U1183" s="1">
        <v>77</v>
      </c>
      <c r="V1183" s="1">
        <v>90</v>
      </c>
      <c r="W1183" s="1" t="s">
        <v>52</v>
      </c>
      <c r="X1183" s="1">
        <v>191206</v>
      </c>
      <c r="Y1183" s="2">
        <v>35932</v>
      </c>
      <c r="Z1183" s="1">
        <v>2.1789737171464298</v>
      </c>
      <c r="AA1183" s="1">
        <v>26</v>
      </c>
      <c r="AB1183" s="1">
        <v>184000</v>
      </c>
      <c r="AC1183" s="1">
        <f t="shared" si="18"/>
        <v>214000</v>
      </c>
    </row>
    <row r="1184" spans="1:29" x14ac:dyDescent="0.25">
      <c r="A1184" s="1" t="s">
        <v>2707</v>
      </c>
      <c r="B1184" s="1" t="s">
        <v>2708</v>
      </c>
      <c r="C1184" s="1" t="s">
        <v>2709</v>
      </c>
      <c r="D1184" s="1">
        <v>2022</v>
      </c>
      <c r="E1184" s="1" t="s">
        <v>45</v>
      </c>
      <c r="F1184" s="1">
        <v>2</v>
      </c>
      <c r="G1184" s="1" t="s">
        <v>46</v>
      </c>
      <c r="H1184" s="1" t="s">
        <v>102</v>
      </c>
      <c r="I1184" s="1">
        <v>92000</v>
      </c>
      <c r="J1184" s="1">
        <v>77000</v>
      </c>
      <c r="K1184" s="1">
        <v>15000</v>
      </c>
      <c r="L1184" s="1">
        <v>0</v>
      </c>
      <c r="M1184" s="1" t="s">
        <v>34</v>
      </c>
      <c r="N1184" s="1" t="s">
        <v>35</v>
      </c>
      <c r="O1184" s="1" t="s">
        <v>36</v>
      </c>
      <c r="P1184" s="1" t="s">
        <v>37</v>
      </c>
      <c r="Q1184" s="1" t="s">
        <v>38</v>
      </c>
      <c r="R1184" s="1" t="s">
        <v>2710</v>
      </c>
      <c r="S1184" s="3">
        <v>917589000000</v>
      </c>
      <c r="T1184" s="1" t="s">
        <v>51</v>
      </c>
      <c r="U1184" s="1">
        <v>76</v>
      </c>
      <c r="V1184" s="1">
        <v>82</v>
      </c>
      <c r="W1184" s="1" t="s">
        <v>41</v>
      </c>
      <c r="X1184" s="1">
        <v>364941</v>
      </c>
      <c r="Y1184" s="2">
        <v>37237</v>
      </c>
      <c r="Z1184" s="1">
        <v>1.1789737171464301</v>
      </c>
      <c r="AA1184" s="1">
        <v>22</v>
      </c>
      <c r="AB1184" s="1">
        <v>184000</v>
      </c>
      <c r="AC1184" s="1">
        <f t="shared" si="18"/>
        <v>214000</v>
      </c>
    </row>
    <row r="1185" spans="1:29" x14ac:dyDescent="0.25">
      <c r="A1185" s="1" t="s">
        <v>2792</v>
      </c>
      <c r="B1185" s="1" t="s">
        <v>1103</v>
      </c>
      <c r="C1185" s="1" t="s">
        <v>1104</v>
      </c>
      <c r="D1185" s="1">
        <v>2022</v>
      </c>
      <c r="E1185" s="1" t="s">
        <v>31</v>
      </c>
      <c r="F1185" s="1">
        <v>4</v>
      </c>
      <c r="G1185" s="1" t="s">
        <v>32</v>
      </c>
      <c r="H1185" s="1" t="s">
        <v>33</v>
      </c>
      <c r="I1185" s="1">
        <v>169000</v>
      </c>
      <c r="J1185" s="1">
        <v>154000</v>
      </c>
      <c r="K1185" s="1">
        <v>15000</v>
      </c>
      <c r="L1185" s="1">
        <v>0</v>
      </c>
      <c r="M1185" s="1" t="s">
        <v>34</v>
      </c>
      <c r="N1185" s="1" t="s">
        <v>70</v>
      </c>
      <c r="O1185" s="1" t="s">
        <v>48</v>
      </c>
      <c r="P1185" s="1" t="s">
        <v>49</v>
      </c>
      <c r="Q1185" s="1" t="s">
        <v>38</v>
      </c>
      <c r="R1185" s="1" t="s">
        <v>2793</v>
      </c>
      <c r="S1185" s="3">
        <v>918528000000</v>
      </c>
      <c r="T1185" s="1" t="s">
        <v>86</v>
      </c>
      <c r="U1185" s="1">
        <v>76</v>
      </c>
      <c r="V1185" s="1">
        <v>82</v>
      </c>
      <c r="W1185" s="1" t="s">
        <v>52</v>
      </c>
      <c r="X1185" s="1">
        <v>631356</v>
      </c>
      <c r="Y1185" s="2">
        <v>36976</v>
      </c>
      <c r="Z1185" s="1">
        <v>1.1789737171464301</v>
      </c>
      <c r="AA1185" s="1">
        <v>23</v>
      </c>
      <c r="AB1185" s="1">
        <v>676000</v>
      </c>
      <c r="AC1185" s="1">
        <f t="shared" si="18"/>
        <v>736000</v>
      </c>
    </row>
    <row r="1186" spans="1:29" x14ac:dyDescent="0.25">
      <c r="A1186" s="1" t="s">
        <v>2804</v>
      </c>
      <c r="B1186" s="1" t="s">
        <v>2805</v>
      </c>
      <c r="C1186" s="1" t="s">
        <v>2806</v>
      </c>
      <c r="D1186" s="1">
        <v>2022</v>
      </c>
      <c r="E1186" s="1" t="s">
        <v>31</v>
      </c>
      <c r="F1186" s="1">
        <v>4</v>
      </c>
      <c r="G1186" s="1" t="s">
        <v>32</v>
      </c>
      <c r="H1186" s="1" t="s">
        <v>102</v>
      </c>
      <c r="I1186" s="1">
        <v>169000</v>
      </c>
      <c r="J1186" s="1">
        <v>154000</v>
      </c>
      <c r="K1186" s="1">
        <v>15000</v>
      </c>
      <c r="L1186" s="1">
        <v>0</v>
      </c>
      <c r="M1186" s="1" t="s">
        <v>34</v>
      </c>
      <c r="N1186" s="1" t="s">
        <v>63</v>
      </c>
      <c r="O1186" s="1" t="s">
        <v>64</v>
      </c>
      <c r="P1186" s="1" t="s">
        <v>65</v>
      </c>
      <c r="Q1186" s="1" t="s">
        <v>38</v>
      </c>
      <c r="R1186" s="1" t="s">
        <v>2807</v>
      </c>
      <c r="S1186" s="3">
        <v>919993000000</v>
      </c>
      <c r="T1186" s="1" t="s">
        <v>98</v>
      </c>
      <c r="U1186" s="1">
        <v>76</v>
      </c>
      <c r="V1186" s="1">
        <v>75</v>
      </c>
      <c r="W1186" s="1" t="s">
        <v>52</v>
      </c>
      <c r="X1186" s="1">
        <v>462674</v>
      </c>
      <c r="Y1186" s="2">
        <v>38223</v>
      </c>
      <c r="Z1186" s="1">
        <v>1.1789737171464301</v>
      </c>
      <c r="AA1186" s="1">
        <v>19</v>
      </c>
      <c r="AB1186" s="1">
        <v>676000</v>
      </c>
      <c r="AC1186" s="1">
        <f t="shared" si="18"/>
        <v>736000</v>
      </c>
    </row>
    <row r="1187" spans="1:29" x14ac:dyDescent="0.25">
      <c r="A1187" s="1" t="s">
        <v>2832</v>
      </c>
      <c r="B1187" s="1" t="s">
        <v>1193</v>
      </c>
      <c r="C1187" s="1" t="s">
        <v>1194</v>
      </c>
      <c r="D1187" s="1">
        <v>2022</v>
      </c>
      <c r="E1187" s="1" t="s">
        <v>31</v>
      </c>
      <c r="F1187" s="1">
        <v>4</v>
      </c>
      <c r="G1187" s="1" t="s">
        <v>32</v>
      </c>
      <c r="H1187" s="1" t="s">
        <v>62</v>
      </c>
      <c r="I1187" s="1">
        <v>169000</v>
      </c>
      <c r="J1187" s="1">
        <v>154000</v>
      </c>
      <c r="K1187" s="1">
        <v>15000</v>
      </c>
      <c r="L1187" s="1">
        <v>0</v>
      </c>
      <c r="M1187" s="1" t="s">
        <v>34</v>
      </c>
      <c r="N1187" s="1" t="s">
        <v>70</v>
      </c>
      <c r="O1187" s="1" t="s">
        <v>103</v>
      </c>
      <c r="P1187" s="1" t="s">
        <v>104</v>
      </c>
      <c r="Q1187" s="1" t="s">
        <v>38</v>
      </c>
      <c r="R1187" s="1" t="s">
        <v>2833</v>
      </c>
      <c r="S1187" s="3">
        <v>918939000000</v>
      </c>
      <c r="T1187" s="1" t="s">
        <v>74</v>
      </c>
      <c r="U1187" s="1">
        <v>76</v>
      </c>
      <c r="V1187" s="1">
        <v>90</v>
      </c>
      <c r="W1187" s="1" t="s">
        <v>52</v>
      </c>
      <c r="X1187" s="1">
        <v>533155</v>
      </c>
      <c r="Y1187" s="2">
        <v>38351</v>
      </c>
      <c r="Z1187" s="1">
        <v>1.1789737171464301</v>
      </c>
      <c r="AA1187" s="1">
        <v>19</v>
      </c>
      <c r="AB1187" s="1">
        <v>676000</v>
      </c>
      <c r="AC1187" s="1">
        <f t="shared" si="18"/>
        <v>736000</v>
      </c>
    </row>
    <row r="1188" spans="1:29" x14ac:dyDescent="0.25">
      <c r="A1188" s="1" t="s">
        <v>2860</v>
      </c>
      <c r="B1188" s="1" t="s">
        <v>759</v>
      </c>
      <c r="C1188" s="1" t="s">
        <v>760</v>
      </c>
      <c r="D1188" s="1">
        <v>2022</v>
      </c>
      <c r="E1188" s="1" t="s">
        <v>31</v>
      </c>
      <c r="F1188" s="1">
        <v>4</v>
      </c>
      <c r="G1188" s="1" t="s">
        <v>32</v>
      </c>
      <c r="H1188" s="1" t="s">
        <v>33</v>
      </c>
      <c r="I1188" s="1">
        <v>169000</v>
      </c>
      <c r="J1188" s="1">
        <v>154000</v>
      </c>
      <c r="K1188" s="1">
        <v>15000</v>
      </c>
      <c r="L1188" s="1">
        <v>0</v>
      </c>
      <c r="M1188" s="1" t="s">
        <v>34</v>
      </c>
      <c r="N1188" s="1" t="s">
        <v>70</v>
      </c>
      <c r="O1188" s="1" t="s">
        <v>91</v>
      </c>
      <c r="P1188" s="1" t="s">
        <v>92</v>
      </c>
      <c r="Q1188" s="1" t="s">
        <v>38</v>
      </c>
      <c r="R1188" s="1" t="s">
        <v>2861</v>
      </c>
      <c r="S1188" s="3">
        <v>919843000000</v>
      </c>
      <c r="T1188" s="1" t="s">
        <v>86</v>
      </c>
      <c r="U1188" s="1">
        <v>76</v>
      </c>
      <c r="V1188" s="1">
        <v>90</v>
      </c>
      <c r="W1188" s="1" t="s">
        <v>41</v>
      </c>
      <c r="X1188" s="1">
        <v>573538</v>
      </c>
      <c r="Y1188" s="2">
        <v>37608</v>
      </c>
      <c r="Z1188" s="1">
        <v>1.1789737171464301</v>
      </c>
      <c r="AA1188" s="1">
        <v>21</v>
      </c>
      <c r="AB1188" s="1">
        <v>676000</v>
      </c>
      <c r="AC1188" s="1">
        <f t="shared" si="18"/>
        <v>736000</v>
      </c>
    </row>
    <row r="1189" spans="1:29" x14ac:dyDescent="0.25">
      <c r="A1189" s="1" t="s">
        <v>2862</v>
      </c>
      <c r="B1189" s="1" t="s">
        <v>2863</v>
      </c>
      <c r="C1189" s="1" t="s">
        <v>2864</v>
      </c>
      <c r="D1189" s="1">
        <v>2022</v>
      </c>
      <c r="E1189" s="1" t="s">
        <v>45</v>
      </c>
      <c r="F1189" s="1">
        <v>2</v>
      </c>
      <c r="G1189" s="1" t="s">
        <v>46</v>
      </c>
      <c r="H1189" s="1" t="s">
        <v>90</v>
      </c>
      <c r="I1189" s="1">
        <v>92000</v>
      </c>
      <c r="J1189" s="1">
        <v>77000</v>
      </c>
      <c r="K1189" s="1">
        <v>15000</v>
      </c>
      <c r="L1189" s="1">
        <v>0</v>
      </c>
      <c r="M1189" s="1" t="s">
        <v>34</v>
      </c>
      <c r="N1189" s="1" t="s">
        <v>35</v>
      </c>
      <c r="O1189" s="1" t="s">
        <v>57</v>
      </c>
      <c r="P1189" s="1" t="s">
        <v>57</v>
      </c>
      <c r="Q1189" s="1" t="s">
        <v>38</v>
      </c>
      <c r="R1189" s="1" t="s">
        <v>2865</v>
      </c>
      <c r="S1189" s="3">
        <v>917812000000</v>
      </c>
      <c r="T1189" s="1" t="s">
        <v>40</v>
      </c>
      <c r="U1189" s="1">
        <v>76</v>
      </c>
      <c r="V1189" s="1">
        <v>71</v>
      </c>
      <c r="W1189" s="1" t="s">
        <v>52</v>
      </c>
      <c r="X1189" s="1">
        <v>617340</v>
      </c>
      <c r="Y1189" s="2">
        <v>35555</v>
      </c>
      <c r="Z1189" s="1">
        <v>1.1789737171464301</v>
      </c>
      <c r="AA1189" s="1">
        <v>27</v>
      </c>
      <c r="AB1189" s="1">
        <v>184000</v>
      </c>
      <c r="AC1189" s="1">
        <f t="shared" si="18"/>
        <v>214000</v>
      </c>
    </row>
    <row r="1190" spans="1:29" x14ac:dyDescent="0.25">
      <c r="A1190" s="1" t="s">
        <v>2888</v>
      </c>
      <c r="B1190" s="1" t="s">
        <v>2889</v>
      </c>
      <c r="C1190" s="1" t="s">
        <v>2890</v>
      </c>
      <c r="D1190" s="1">
        <v>2022</v>
      </c>
      <c r="E1190" s="1" t="s">
        <v>45</v>
      </c>
      <c r="F1190" s="1">
        <v>2</v>
      </c>
      <c r="G1190" s="1" t="s">
        <v>46</v>
      </c>
      <c r="H1190" s="1" t="s">
        <v>33</v>
      </c>
      <c r="I1190" s="1">
        <v>92000</v>
      </c>
      <c r="J1190" s="1">
        <v>77000</v>
      </c>
      <c r="K1190" s="1">
        <v>15000</v>
      </c>
      <c r="L1190" s="1">
        <v>0</v>
      </c>
      <c r="M1190" s="1" t="s">
        <v>34</v>
      </c>
      <c r="N1190" s="1" t="s">
        <v>63</v>
      </c>
      <c r="O1190" s="1" t="s">
        <v>78</v>
      </c>
      <c r="P1190" s="1" t="s">
        <v>79</v>
      </c>
      <c r="Q1190" s="1" t="s">
        <v>38</v>
      </c>
      <c r="R1190" s="1" t="s">
        <v>2891</v>
      </c>
      <c r="S1190" s="3">
        <v>918930000000</v>
      </c>
      <c r="T1190" s="1" t="s">
        <v>74</v>
      </c>
      <c r="U1190" s="1">
        <v>76</v>
      </c>
      <c r="V1190" s="1">
        <v>90</v>
      </c>
      <c r="W1190" s="1" t="s">
        <v>52</v>
      </c>
      <c r="X1190" s="1">
        <v>763587</v>
      </c>
      <c r="Y1190" s="2">
        <v>36361</v>
      </c>
      <c r="Z1190" s="1">
        <v>1.1789737171464301</v>
      </c>
      <c r="AA1190" s="1">
        <v>24</v>
      </c>
      <c r="AB1190" s="1">
        <v>184000</v>
      </c>
      <c r="AC1190" s="1">
        <f t="shared" si="18"/>
        <v>214000</v>
      </c>
    </row>
    <row r="1191" spans="1:29" x14ac:dyDescent="0.25">
      <c r="A1191" s="1" t="s">
        <v>2910</v>
      </c>
      <c r="B1191" s="1" t="s">
        <v>2911</v>
      </c>
      <c r="C1191" s="1" t="s">
        <v>2912</v>
      </c>
      <c r="D1191" s="1">
        <v>2022</v>
      </c>
      <c r="E1191" s="1" t="s">
        <v>31</v>
      </c>
      <c r="F1191" s="1">
        <v>4</v>
      </c>
      <c r="G1191" s="1" t="s">
        <v>32</v>
      </c>
      <c r="H1191" s="1" t="s">
        <v>47</v>
      </c>
      <c r="I1191" s="1">
        <v>169000</v>
      </c>
      <c r="J1191" s="1">
        <v>154000</v>
      </c>
      <c r="K1191" s="1">
        <v>15000</v>
      </c>
      <c r="L1191" s="1">
        <v>0</v>
      </c>
      <c r="M1191" s="1" t="s">
        <v>34</v>
      </c>
      <c r="N1191" s="1" t="s">
        <v>63</v>
      </c>
      <c r="O1191" s="1" t="s">
        <v>71</v>
      </c>
      <c r="P1191" s="1" t="s">
        <v>72</v>
      </c>
      <c r="Q1191" s="1" t="s">
        <v>38</v>
      </c>
      <c r="R1191" s="1" t="s">
        <v>2913</v>
      </c>
      <c r="S1191" s="3">
        <v>919984000000</v>
      </c>
      <c r="T1191" s="1" t="s">
        <v>51</v>
      </c>
      <c r="U1191" s="1">
        <v>75</v>
      </c>
      <c r="V1191" s="1">
        <v>66</v>
      </c>
      <c r="W1191" s="1" t="s">
        <v>52</v>
      </c>
      <c r="X1191" s="1">
        <v>152813</v>
      </c>
      <c r="Y1191" s="2">
        <v>38852</v>
      </c>
      <c r="Z1191" s="1">
        <v>0.17897371714643301</v>
      </c>
      <c r="AA1191" s="1">
        <v>18</v>
      </c>
      <c r="AB1191" s="1">
        <v>676000</v>
      </c>
      <c r="AC1191" s="1">
        <f t="shared" si="18"/>
        <v>736000</v>
      </c>
    </row>
    <row r="1192" spans="1:29" x14ac:dyDescent="0.25">
      <c r="A1192" s="1" t="s">
        <v>2914</v>
      </c>
      <c r="B1192" s="1" t="s">
        <v>2915</v>
      </c>
      <c r="C1192" s="1" t="s">
        <v>2916</v>
      </c>
      <c r="D1192" s="1">
        <v>2022</v>
      </c>
      <c r="E1192" s="1" t="s">
        <v>31</v>
      </c>
      <c r="F1192" s="1">
        <v>4</v>
      </c>
      <c r="G1192" s="1" t="s">
        <v>32</v>
      </c>
      <c r="H1192" s="1" t="s">
        <v>62</v>
      </c>
      <c r="I1192" s="1">
        <v>169000</v>
      </c>
      <c r="J1192" s="1">
        <v>154000</v>
      </c>
      <c r="K1192" s="1">
        <v>15000</v>
      </c>
      <c r="L1192" s="1">
        <v>0</v>
      </c>
      <c r="M1192" s="1" t="s">
        <v>34</v>
      </c>
      <c r="N1192" s="1" t="s">
        <v>63</v>
      </c>
      <c r="O1192" s="1" t="s">
        <v>103</v>
      </c>
      <c r="P1192" s="1" t="s">
        <v>104</v>
      </c>
      <c r="Q1192" s="1" t="s">
        <v>38</v>
      </c>
      <c r="R1192" s="1" t="s">
        <v>2917</v>
      </c>
      <c r="S1192" s="3">
        <v>919721000000</v>
      </c>
      <c r="T1192" s="1" t="s">
        <v>51</v>
      </c>
      <c r="U1192" s="1">
        <v>75</v>
      </c>
      <c r="V1192" s="1">
        <v>81</v>
      </c>
      <c r="W1192" s="1" t="s">
        <v>52</v>
      </c>
      <c r="X1192" s="1">
        <v>204802</v>
      </c>
      <c r="Y1192" s="2">
        <v>37391</v>
      </c>
      <c r="Z1192" s="1">
        <v>0.17897371714643301</v>
      </c>
      <c r="AA1192" s="1">
        <v>22</v>
      </c>
      <c r="AB1192" s="1">
        <v>676000</v>
      </c>
      <c r="AC1192" s="1">
        <f t="shared" si="18"/>
        <v>736000</v>
      </c>
    </row>
    <row r="1193" spans="1:29" x14ac:dyDescent="0.25">
      <c r="A1193" s="1" t="s">
        <v>2922</v>
      </c>
      <c r="B1193" s="1" t="s">
        <v>2923</v>
      </c>
      <c r="C1193" s="1" t="s">
        <v>2924</v>
      </c>
      <c r="D1193" s="1">
        <v>2022</v>
      </c>
      <c r="E1193" s="1" t="s">
        <v>31</v>
      </c>
      <c r="F1193" s="1">
        <v>4</v>
      </c>
      <c r="G1193" s="1" t="s">
        <v>32</v>
      </c>
      <c r="H1193" s="1" t="s">
        <v>47</v>
      </c>
      <c r="I1193" s="1">
        <v>169000</v>
      </c>
      <c r="J1193" s="1">
        <v>154000</v>
      </c>
      <c r="K1193" s="1">
        <v>15000</v>
      </c>
      <c r="L1193" s="1">
        <v>0</v>
      </c>
      <c r="M1193" s="1" t="s">
        <v>34</v>
      </c>
      <c r="N1193" s="1" t="s">
        <v>70</v>
      </c>
      <c r="O1193" s="1" t="s">
        <v>64</v>
      </c>
      <c r="P1193" s="1" t="s">
        <v>65</v>
      </c>
      <c r="Q1193" s="1" t="s">
        <v>38</v>
      </c>
      <c r="R1193" s="1" t="s">
        <v>2925</v>
      </c>
      <c r="S1193" s="3">
        <v>919018000000</v>
      </c>
      <c r="T1193" s="1" t="s">
        <v>51</v>
      </c>
      <c r="U1193" s="1">
        <v>75</v>
      </c>
      <c r="V1193" s="1">
        <v>83</v>
      </c>
      <c r="W1193" s="1" t="s">
        <v>52</v>
      </c>
      <c r="X1193" s="1">
        <v>217606</v>
      </c>
      <c r="Y1193" s="2">
        <v>37817</v>
      </c>
      <c r="Z1193" s="1">
        <v>0.17897371714643301</v>
      </c>
      <c r="AA1193" s="1">
        <v>20</v>
      </c>
      <c r="AB1193" s="1">
        <v>676000</v>
      </c>
      <c r="AC1193" s="1">
        <f t="shared" si="18"/>
        <v>736000</v>
      </c>
    </row>
    <row r="1194" spans="1:29" x14ac:dyDescent="0.25">
      <c r="A1194" s="1" t="s">
        <v>2952</v>
      </c>
      <c r="B1194" s="1" t="s">
        <v>2953</v>
      </c>
      <c r="C1194" s="1" t="s">
        <v>2954</v>
      </c>
      <c r="D1194" s="1">
        <v>2022</v>
      </c>
      <c r="E1194" s="1" t="s">
        <v>31</v>
      </c>
      <c r="F1194" s="1">
        <v>4</v>
      </c>
      <c r="G1194" s="1" t="s">
        <v>32</v>
      </c>
      <c r="H1194" s="1" t="s">
        <v>113</v>
      </c>
      <c r="I1194" s="1">
        <v>169000</v>
      </c>
      <c r="J1194" s="1">
        <v>154000</v>
      </c>
      <c r="K1194" s="1">
        <v>15000</v>
      </c>
      <c r="L1194" s="1">
        <v>0</v>
      </c>
      <c r="M1194" s="1" t="s">
        <v>34</v>
      </c>
      <c r="N1194" s="1" t="s">
        <v>63</v>
      </c>
      <c r="O1194" s="1" t="s">
        <v>57</v>
      </c>
      <c r="P1194" s="1" t="s">
        <v>57</v>
      </c>
      <c r="Q1194" s="1" t="s">
        <v>38</v>
      </c>
      <c r="R1194" s="1" t="s">
        <v>2955</v>
      </c>
      <c r="S1194" s="3">
        <v>919757000000</v>
      </c>
      <c r="T1194" s="1" t="s">
        <v>51</v>
      </c>
      <c r="U1194" s="1">
        <v>75</v>
      </c>
      <c r="V1194" s="1">
        <v>78</v>
      </c>
      <c r="W1194" s="1" t="s">
        <v>52</v>
      </c>
      <c r="X1194" s="1">
        <v>239006</v>
      </c>
      <c r="Y1194" s="2">
        <v>37102</v>
      </c>
      <c r="Z1194" s="1">
        <v>0.17897371714643301</v>
      </c>
      <c r="AA1194" s="1">
        <v>22</v>
      </c>
      <c r="AB1194" s="1">
        <v>676000</v>
      </c>
      <c r="AC1194" s="1">
        <f t="shared" si="18"/>
        <v>736000</v>
      </c>
    </row>
    <row r="1195" spans="1:29" x14ac:dyDescent="0.25">
      <c r="A1195" s="1" t="s">
        <v>2956</v>
      </c>
      <c r="B1195" s="1" t="s">
        <v>2879</v>
      </c>
      <c r="C1195" s="1" t="s">
        <v>2880</v>
      </c>
      <c r="D1195" s="1">
        <v>2022</v>
      </c>
      <c r="E1195" s="1" t="s">
        <v>31</v>
      </c>
      <c r="F1195" s="1">
        <v>4</v>
      </c>
      <c r="G1195" s="1" t="s">
        <v>32</v>
      </c>
      <c r="H1195" s="1" t="s">
        <v>122</v>
      </c>
      <c r="I1195" s="1">
        <v>169000</v>
      </c>
      <c r="J1195" s="1">
        <v>154000</v>
      </c>
      <c r="K1195" s="1">
        <v>15000</v>
      </c>
      <c r="L1195" s="1">
        <v>0</v>
      </c>
      <c r="M1195" s="1" t="s">
        <v>34</v>
      </c>
      <c r="N1195" s="1" t="s">
        <v>63</v>
      </c>
      <c r="O1195" s="1" t="s">
        <v>64</v>
      </c>
      <c r="P1195" s="1" t="s">
        <v>65</v>
      </c>
      <c r="Q1195" s="1" t="s">
        <v>38</v>
      </c>
      <c r="R1195" s="1" t="s">
        <v>2957</v>
      </c>
      <c r="S1195" s="3">
        <v>919882000000</v>
      </c>
      <c r="T1195" s="1" t="s">
        <v>98</v>
      </c>
      <c r="U1195" s="1">
        <v>75</v>
      </c>
      <c r="V1195" s="1">
        <v>73</v>
      </c>
      <c r="W1195" s="1" t="s">
        <v>41</v>
      </c>
      <c r="X1195" s="1">
        <v>247976</v>
      </c>
      <c r="Y1195" s="2">
        <v>37396</v>
      </c>
      <c r="Z1195" s="1">
        <v>0.17897371714643301</v>
      </c>
      <c r="AA1195" s="1">
        <v>22</v>
      </c>
      <c r="AB1195" s="1">
        <v>676000</v>
      </c>
      <c r="AC1195" s="1">
        <f t="shared" si="18"/>
        <v>736000</v>
      </c>
    </row>
    <row r="1196" spans="1:29" x14ac:dyDescent="0.25">
      <c r="A1196" s="1" t="s">
        <v>2976</v>
      </c>
      <c r="B1196" s="1" t="s">
        <v>2977</v>
      </c>
      <c r="C1196" s="1" t="s">
        <v>2978</v>
      </c>
      <c r="D1196" s="1">
        <v>2022</v>
      </c>
      <c r="E1196" s="1" t="s">
        <v>31</v>
      </c>
      <c r="F1196" s="1">
        <v>4</v>
      </c>
      <c r="G1196" s="1" t="s">
        <v>32</v>
      </c>
      <c r="H1196" s="1" t="s">
        <v>56</v>
      </c>
      <c r="I1196" s="1">
        <v>169000</v>
      </c>
      <c r="J1196" s="1">
        <v>154000</v>
      </c>
      <c r="K1196" s="1">
        <v>15000</v>
      </c>
      <c r="L1196" s="1">
        <v>0</v>
      </c>
      <c r="M1196" s="1" t="s">
        <v>34</v>
      </c>
      <c r="N1196" s="1" t="s">
        <v>63</v>
      </c>
      <c r="O1196" s="1" t="s">
        <v>48</v>
      </c>
      <c r="P1196" s="1" t="s">
        <v>49</v>
      </c>
      <c r="Q1196" s="1" t="s">
        <v>38</v>
      </c>
      <c r="R1196" s="1" t="s">
        <v>2979</v>
      </c>
      <c r="S1196" s="3">
        <v>918076000000</v>
      </c>
      <c r="T1196" s="1" t="s">
        <v>51</v>
      </c>
      <c r="U1196" s="1">
        <v>75</v>
      </c>
      <c r="V1196" s="1">
        <v>73</v>
      </c>
      <c r="W1196" s="1" t="s">
        <v>52</v>
      </c>
      <c r="X1196" s="1">
        <v>432088</v>
      </c>
      <c r="Y1196" s="2">
        <v>38385</v>
      </c>
      <c r="Z1196" s="1">
        <v>0.17897371714643301</v>
      </c>
      <c r="AA1196" s="1">
        <v>19</v>
      </c>
      <c r="AB1196" s="1">
        <v>676000</v>
      </c>
      <c r="AC1196" s="1">
        <f t="shared" si="18"/>
        <v>736000</v>
      </c>
    </row>
    <row r="1197" spans="1:29" x14ac:dyDescent="0.25">
      <c r="A1197" s="1" t="s">
        <v>2986</v>
      </c>
      <c r="B1197" s="1" t="s">
        <v>2987</v>
      </c>
      <c r="C1197" s="1" t="s">
        <v>2988</v>
      </c>
      <c r="D1197" s="1">
        <v>2022</v>
      </c>
      <c r="E1197" s="1" t="s">
        <v>31</v>
      </c>
      <c r="F1197" s="1">
        <v>4</v>
      </c>
      <c r="G1197" s="1" t="s">
        <v>32</v>
      </c>
      <c r="H1197" s="1" t="s">
        <v>151</v>
      </c>
      <c r="I1197" s="1">
        <v>169000</v>
      </c>
      <c r="J1197" s="1">
        <v>154000</v>
      </c>
      <c r="K1197" s="1">
        <v>15000</v>
      </c>
      <c r="L1197" s="1">
        <v>0</v>
      </c>
      <c r="M1197" s="1" t="s">
        <v>34</v>
      </c>
      <c r="N1197" s="1" t="s">
        <v>63</v>
      </c>
      <c r="O1197" s="1" t="s">
        <v>103</v>
      </c>
      <c r="P1197" s="1" t="s">
        <v>104</v>
      </c>
      <c r="Q1197" s="1" t="s">
        <v>38</v>
      </c>
      <c r="R1197" s="1" t="s">
        <v>2989</v>
      </c>
      <c r="S1197" s="3">
        <v>917681000000</v>
      </c>
      <c r="T1197" s="1" t="s">
        <v>98</v>
      </c>
      <c r="U1197" s="1">
        <v>75</v>
      </c>
      <c r="V1197" s="1">
        <v>78</v>
      </c>
      <c r="W1197" s="1" t="s">
        <v>41</v>
      </c>
      <c r="X1197" s="1">
        <v>418116</v>
      </c>
      <c r="Y1197" s="2">
        <v>36815</v>
      </c>
      <c r="Z1197" s="1">
        <v>0.17897371714643301</v>
      </c>
      <c r="AA1197" s="1">
        <v>23</v>
      </c>
      <c r="AB1197" s="1">
        <v>676000</v>
      </c>
      <c r="AC1197" s="1">
        <f t="shared" si="18"/>
        <v>736000</v>
      </c>
    </row>
    <row r="1198" spans="1:29" x14ac:dyDescent="0.25">
      <c r="A1198" s="1" t="s">
        <v>3026</v>
      </c>
      <c r="B1198" s="1" t="s">
        <v>3027</v>
      </c>
      <c r="C1198" s="1" t="s">
        <v>3028</v>
      </c>
      <c r="D1198" s="1">
        <v>2022</v>
      </c>
      <c r="E1198" s="1" t="s">
        <v>31</v>
      </c>
      <c r="F1198" s="1">
        <v>4</v>
      </c>
      <c r="G1198" s="1" t="s">
        <v>32</v>
      </c>
      <c r="H1198" s="1" t="s">
        <v>33</v>
      </c>
      <c r="I1198" s="1">
        <v>169000</v>
      </c>
      <c r="J1198" s="1">
        <v>154000</v>
      </c>
      <c r="K1198" s="1">
        <v>15000</v>
      </c>
      <c r="L1198" s="1">
        <v>0</v>
      </c>
      <c r="M1198" s="1" t="s">
        <v>34</v>
      </c>
      <c r="N1198" s="1" t="s">
        <v>70</v>
      </c>
      <c r="O1198" s="1" t="s">
        <v>64</v>
      </c>
      <c r="P1198" s="1" t="s">
        <v>65</v>
      </c>
      <c r="Q1198" s="1" t="s">
        <v>38</v>
      </c>
      <c r="R1198" s="1" t="s">
        <v>3029</v>
      </c>
      <c r="S1198" s="3">
        <v>918299000000</v>
      </c>
      <c r="T1198" s="1" t="s">
        <v>40</v>
      </c>
      <c r="U1198" s="1">
        <v>75</v>
      </c>
      <c r="V1198" s="1">
        <v>74</v>
      </c>
      <c r="W1198" s="1" t="s">
        <v>52</v>
      </c>
      <c r="X1198" s="1">
        <v>376011</v>
      </c>
      <c r="Y1198" s="2">
        <v>38861</v>
      </c>
      <c r="Z1198" s="1">
        <v>0.17897371714643301</v>
      </c>
      <c r="AA1198" s="1">
        <v>18</v>
      </c>
      <c r="AB1198" s="1">
        <v>676000</v>
      </c>
      <c r="AC1198" s="1">
        <f t="shared" si="18"/>
        <v>736000</v>
      </c>
    </row>
    <row r="1199" spans="1:29" x14ac:dyDescent="0.25">
      <c r="A1199" s="1" t="s">
        <v>3034</v>
      </c>
      <c r="B1199" s="1" t="s">
        <v>3035</v>
      </c>
      <c r="C1199" s="1" t="s">
        <v>3036</v>
      </c>
      <c r="D1199" s="1">
        <v>2022</v>
      </c>
      <c r="E1199" s="1" t="s">
        <v>31</v>
      </c>
      <c r="F1199" s="1">
        <v>4</v>
      </c>
      <c r="G1199" s="1" t="s">
        <v>32</v>
      </c>
      <c r="H1199" s="1" t="s">
        <v>90</v>
      </c>
      <c r="I1199" s="1">
        <v>169000</v>
      </c>
      <c r="J1199" s="1">
        <v>154000</v>
      </c>
      <c r="K1199" s="1">
        <v>15000</v>
      </c>
      <c r="L1199" s="1">
        <v>0</v>
      </c>
      <c r="M1199" s="1" t="s">
        <v>34</v>
      </c>
      <c r="N1199" s="1" t="s">
        <v>35</v>
      </c>
      <c r="O1199" s="1" t="s">
        <v>91</v>
      </c>
      <c r="P1199" s="1" t="s">
        <v>92</v>
      </c>
      <c r="Q1199" s="1" t="s">
        <v>38</v>
      </c>
      <c r="R1199" s="1" t="s">
        <v>3037</v>
      </c>
      <c r="S1199" s="3">
        <v>918251000000</v>
      </c>
      <c r="T1199" s="1" t="s">
        <v>51</v>
      </c>
      <c r="U1199" s="1">
        <v>75</v>
      </c>
      <c r="V1199" s="1">
        <v>64</v>
      </c>
      <c r="W1199" s="1" t="s">
        <v>52</v>
      </c>
      <c r="X1199" s="1">
        <v>540614</v>
      </c>
      <c r="Y1199" s="2">
        <v>38162</v>
      </c>
      <c r="Z1199" s="1">
        <v>0.17897371714643301</v>
      </c>
      <c r="AA1199" s="1">
        <v>20</v>
      </c>
      <c r="AB1199" s="1">
        <v>676000</v>
      </c>
      <c r="AC1199" s="1">
        <f t="shared" si="18"/>
        <v>736000</v>
      </c>
    </row>
    <row r="1200" spans="1:29" x14ac:dyDescent="0.25">
      <c r="A1200" s="1" t="s">
        <v>3054</v>
      </c>
      <c r="B1200" s="1" t="s">
        <v>1621</v>
      </c>
      <c r="C1200" s="1" t="s">
        <v>1622</v>
      </c>
      <c r="D1200" s="1">
        <v>2022</v>
      </c>
      <c r="E1200" s="1" t="s">
        <v>45</v>
      </c>
      <c r="F1200" s="1">
        <v>2</v>
      </c>
      <c r="G1200" s="1" t="s">
        <v>46</v>
      </c>
      <c r="H1200" s="1" t="s">
        <v>33</v>
      </c>
      <c r="I1200" s="1">
        <v>92000</v>
      </c>
      <c r="J1200" s="1">
        <v>77000</v>
      </c>
      <c r="K1200" s="1">
        <v>15000</v>
      </c>
      <c r="L1200" s="1">
        <v>0</v>
      </c>
      <c r="M1200" s="1" t="s">
        <v>34</v>
      </c>
      <c r="N1200" s="1" t="s">
        <v>63</v>
      </c>
      <c r="O1200" s="1" t="s">
        <v>78</v>
      </c>
      <c r="P1200" s="1" t="s">
        <v>79</v>
      </c>
      <c r="Q1200" s="1" t="s">
        <v>38</v>
      </c>
      <c r="R1200" s="1" t="s">
        <v>3055</v>
      </c>
      <c r="S1200" s="3">
        <v>917222000000</v>
      </c>
      <c r="T1200" s="1" t="s">
        <v>74</v>
      </c>
      <c r="U1200" s="1">
        <v>75</v>
      </c>
      <c r="V1200" s="1">
        <v>92</v>
      </c>
      <c r="W1200" s="1" t="s">
        <v>41</v>
      </c>
      <c r="X1200" s="1">
        <v>662088</v>
      </c>
      <c r="Y1200" s="2">
        <v>35762</v>
      </c>
      <c r="Z1200" s="1">
        <v>0.17897371714643301</v>
      </c>
      <c r="AA1200" s="1">
        <v>26</v>
      </c>
      <c r="AB1200" s="1">
        <v>184000</v>
      </c>
      <c r="AC1200" s="1">
        <f t="shared" si="18"/>
        <v>214000</v>
      </c>
    </row>
    <row r="1201" spans="1:29" x14ac:dyDescent="0.25">
      <c r="A1201" s="1" t="s">
        <v>3056</v>
      </c>
      <c r="B1201" s="1" t="s">
        <v>3057</v>
      </c>
      <c r="C1201" s="1" t="s">
        <v>3058</v>
      </c>
      <c r="D1201" s="1">
        <v>2022</v>
      </c>
      <c r="E1201" s="1" t="s">
        <v>31</v>
      </c>
      <c r="F1201" s="1">
        <v>4</v>
      </c>
      <c r="G1201" s="1" t="s">
        <v>32</v>
      </c>
      <c r="H1201" s="1" t="s">
        <v>113</v>
      </c>
      <c r="I1201" s="1">
        <v>169000</v>
      </c>
      <c r="J1201" s="1">
        <v>154000</v>
      </c>
      <c r="K1201" s="1">
        <v>15000</v>
      </c>
      <c r="L1201" s="1">
        <v>0</v>
      </c>
      <c r="M1201" s="1" t="s">
        <v>34</v>
      </c>
      <c r="N1201" s="1" t="s">
        <v>63</v>
      </c>
      <c r="O1201" s="1" t="s">
        <v>78</v>
      </c>
      <c r="P1201" s="1" t="s">
        <v>79</v>
      </c>
      <c r="Q1201" s="1" t="s">
        <v>38</v>
      </c>
      <c r="R1201" s="1" t="s">
        <v>3059</v>
      </c>
      <c r="S1201" s="3">
        <v>919506000000</v>
      </c>
      <c r="T1201" s="1" t="s">
        <v>98</v>
      </c>
      <c r="U1201" s="1">
        <v>75</v>
      </c>
      <c r="V1201" s="1">
        <v>74</v>
      </c>
      <c r="W1201" s="1" t="s">
        <v>52</v>
      </c>
      <c r="X1201" s="1">
        <v>422584</v>
      </c>
      <c r="Y1201" s="2">
        <v>36799</v>
      </c>
      <c r="Z1201" s="1">
        <v>0.17897371714643301</v>
      </c>
      <c r="AA1201" s="1">
        <v>23</v>
      </c>
      <c r="AB1201" s="1">
        <v>676000</v>
      </c>
      <c r="AC1201" s="1">
        <f t="shared" si="18"/>
        <v>736000</v>
      </c>
    </row>
    <row r="1202" spans="1:29" x14ac:dyDescent="0.25">
      <c r="A1202" s="1" t="s">
        <v>3082</v>
      </c>
      <c r="B1202" s="1" t="s">
        <v>3083</v>
      </c>
      <c r="C1202" s="1" t="s">
        <v>3084</v>
      </c>
      <c r="D1202" s="1">
        <v>2022</v>
      </c>
      <c r="E1202" s="1" t="s">
        <v>31</v>
      </c>
      <c r="F1202" s="1">
        <v>4</v>
      </c>
      <c r="G1202" s="1" t="s">
        <v>32</v>
      </c>
      <c r="H1202" s="1" t="s">
        <v>122</v>
      </c>
      <c r="I1202" s="1">
        <v>169000</v>
      </c>
      <c r="J1202" s="1">
        <v>154000</v>
      </c>
      <c r="K1202" s="1">
        <v>15000</v>
      </c>
      <c r="L1202" s="1">
        <v>0</v>
      </c>
      <c r="M1202" s="1" t="s">
        <v>34</v>
      </c>
      <c r="N1202" s="1" t="s">
        <v>35</v>
      </c>
      <c r="O1202" s="1" t="s">
        <v>91</v>
      </c>
      <c r="P1202" s="1" t="s">
        <v>92</v>
      </c>
      <c r="Q1202" s="1" t="s">
        <v>38</v>
      </c>
      <c r="R1202" s="1" t="s">
        <v>3085</v>
      </c>
      <c r="S1202" s="3">
        <v>918055000000</v>
      </c>
      <c r="T1202" s="1" t="s">
        <v>74</v>
      </c>
      <c r="U1202" s="1">
        <v>74</v>
      </c>
      <c r="V1202" s="1">
        <v>80</v>
      </c>
      <c r="W1202" s="1" t="s">
        <v>41</v>
      </c>
      <c r="X1202" s="1">
        <v>704562</v>
      </c>
      <c r="Y1202" s="2">
        <v>38532</v>
      </c>
      <c r="Z1202" s="1">
        <v>-0.82102628285356605</v>
      </c>
      <c r="AA1202" s="1">
        <v>19</v>
      </c>
      <c r="AB1202" s="1">
        <v>676000</v>
      </c>
      <c r="AC1202" s="1">
        <f t="shared" si="18"/>
        <v>736000</v>
      </c>
    </row>
    <row r="1203" spans="1:29" x14ac:dyDescent="0.25">
      <c r="A1203" s="1" t="s">
        <v>3090</v>
      </c>
      <c r="B1203" s="1" t="s">
        <v>3091</v>
      </c>
      <c r="C1203" s="1" t="s">
        <v>3092</v>
      </c>
      <c r="D1203" s="1">
        <v>2022</v>
      </c>
      <c r="E1203" s="1" t="s">
        <v>31</v>
      </c>
      <c r="F1203" s="1">
        <v>4</v>
      </c>
      <c r="G1203" s="1" t="s">
        <v>32</v>
      </c>
      <c r="H1203" s="1" t="s">
        <v>210</v>
      </c>
      <c r="I1203" s="1">
        <v>169000</v>
      </c>
      <c r="J1203" s="1">
        <v>154000</v>
      </c>
      <c r="K1203" s="1">
        <v>15000</v>
      </c>
      <c r="L1203" s="1">
        <v>0</v>
      </c>
      <c r="M1203" s="1" t="s">
        <v>34</v>
      </c>
      <c r="N1203" s="1" t="s">
        <v>70</v>
      </c>
      <c r="O1203" s="1" t="s">
        <v>78</v>
      </c>
      <c r="P1203" s="1" t="s">
        <v>79</v>
      </c>
      <c r="Q1203" s="1" t="s">
        <v>38</v>
      </c>
      <c r="R1203" s="1" t="s">
        <v>3093</v>
      </c>
      <c r="S1203" s="3">
        <v>917438000000</v>
      </c>
      <c r="T1203" s="1" t="s">
        <v>40</v>
      </c>
      <c r="U1203" s="1">
        <v>74</v>
      </c>
      <c r="V1203" s="1">
        <v>69</v>
      </c>
      <c r="W1203" s="1" t="s">
        <v>41</v>
      </c>
      <c r="X1203" s="1">
        <v>315442</v>
      </c>
      <c r="Y1203" s="2">
        <v>38203</v>
      </c>
      <c r="Z1203" s="1">
        <v>-0.82102628285356605</v>
      </c>
      <c r="AA1203" s="1">
        <v>19</v>
      </c>
      <c r="AB1203" s="1">
        <v>676000</v>
      </c>
      <c r="AC1203" s="1">
        <f t="shared" si="18"/>
        <v>736000</v>
      </c>
    </row>
    <row r="1204" spans="1:29" x14ac:dyDescent="0.25">
      <c r="A1204" s="1" t="s">
        <v>3094</v>
      </c>
      <c r="B1204" s="1" t="s">
        <v>3095</v>
      </c>
      <c r="C1204" s="1" t="s">
        <v>3096</v>
      </c>
      <c r="D1204" s="1">
        <v>2022</v>
      </c>
      <c r="E1204" s="1" t="s">
        <v>31</v>
      </c>
      <c r="F1204" s="1">
        <v>4</v>
      </c>
      <c r="G1204" s="1" t="s">
        <v>32</v>
      </c>
      <c r="H1204" s="1" t="s">
        <v>210</v>
      </c>
      <c r="I1204" s="1">
        <v>169000</v>
      </c>
      <c r="J1204" s="1">
        <v>154000</v>
      </c>
      <c r="K1204" s="1">
        <v>15000</v>
      </c>
      <c r="L1204" s="1">
        <v>0</v>
      </c>
      <c r="M1204" s="1" t="s">
        <v>34</v>
      </c>
      <c r="N1204" s="1" t="s">
        <v>70</v>
      </c>
      <c r="O1204" s="1" t="s">
        <v>64</v>
      </c>
      <c r="P1204" s="1" t="s">
        <v>65</v>
      </c>
      <c r="Q1204" s="1" t="s">
        <v>38</v>
      </c>
      <c r="R1204" s="1" t="s">
        <v>3097</v>
      </c>
      <c r="S1204" s="3">
        <v>918346000000</v>
      </c>
      <c r="T1204" s="1" t="s">
        <v>51</v>
      </c>
      <c r="U1204" s="1">
        <v>74</v>
      </c>
      <c r="V1204" s="1">
        <v>61</v>
      </c>
      <c r="W1204" s="1" t="s">
        <v>52</v>
      </c>
      <c r="X1204" s="1">
        <v>293634</v>
      </c>
      <c r="Y1204" s="2">
        <v>37488</v>
      </c>
      <c r="Z1204" s="1">
        <v>-0.82102628285356605</v>
      </c>
      <c r="AA1204" s="1">
        <v>21</v>
      </c>
      <c r="AB1204" s="1">
        <v>676000</v>
      </c>
      <c r="AC1204" s="1">
        <f t="shared" si="18"/>
        <v>736000</v>
      </c>
    </row>
    <row r="1205" spans="1:29" x14ac:dyDescent="0.25">
      <c r="A1205" s="1" t="s">
        <v>3132</v>
      </c>
      <c r="B1205" s="1" t="s">
        <v>2761</v>
      </c>
      <c r="C1205" s="1" t="s">
        <v>2762</v>
      </c>
      <c r="D1205" s="1">
        <v>2022</v>
      </c>
      <c r="E1205" s="1" t="s">
        <v>45</v>
      </c>
      <c r="F1205" s="1">
        <v>2</v>
      </c>
      <c r="G1205" s="1" t="s">
        <v>46</v>
      </c>
      <c r="H1205" s="1" t="s">
        <v>62</v>
      </c>
      <c r="I1205" s="1">
        <v>92000</v>
      </c>
      <c r="J1205" s="1">
        <v>77000</v>
      </c>
      <c r="K1205" s="1">
        <v>15000</v>
      </c>
      <c r="L1205" s="1">
        <v>0</v>
      </c>
      <c r="M1205" s="1" t="s">
        <v>34</v>
      </c>
      <c r="N1205" s="1" t="s">
        <v>35</v>
      </c>
      <c r="O1205" s="1" t="s">
        <v>64</v>
      </c>
      <c r="P1205" s="1" t="s">
        <v>65</v>
      </c>
      <c r="Q1205" s="1" t="s">
        <v>38</v>
      </c>
      <c r="R1205" s="1" t="s">
        <v>3133</v>
      </c>
      <c r="S1205" s="3">
        <v>918827000000</v>
      </c>
      <c r="T1205" s="1" t="s">
        <v>51</v>
      </c>
      <c r="U1205" s="1">
        <v>74</v>
      </c>
      <c r="V1205" s="1">
        <v>72</v>
      </c>
      <c r="W1205" s="1" t="s">
        <v>41</v>
      </c>
      <c r="X1205" s="1">
        <v>769510</v>
      </c>
      <c r="Y1205" s="2">
        <v>37015</v>
      </c>
      <c r="Z1205" s="1">
        <v>-0.82102628285356605</v>
      </c>
      <c r="AA1205" s="1">
        <v>23</v>
      </c>
      <c r="AB1205" s="1">
        <v>184000</v>
      </c>
      <c r="AC1205" s="1">
        <f t="shared" si="18"/>
        <v>214000</v>
      </c>
    </row>
    <row r="1206" spans="1:29" x14ac:dyDescent="0.25">
      <c r="A1206" s="1" t="s">
        <v>3146</v>
      </c>
      <c r="B1206" s="1" t="s">
        <v>269</v>
      </c>
      <c r="C1206" s="1" t="s">
        <v>270</v>
      </c>
      <c r="D1206" s="1">
        <v>2022</v>
      </c>
      <c r="E1206" s="1" t="s">
        <v>45</v>
      </c>
      <c r="F1206" s="1">
        <v>2</v>
      </c>
      <c r="G1206" s="1" t="s">
        <v>46</v>
      </c>
      <c r="H1206" s="1" t="s">
        <v>62</v>
      </c>
      <c r="I1206" s="1">
        <v>92000</v>
      </c>
      <c r="J1206" s="1">
        <v>77000</v>
      </c>
      <c r="K1206" s="1">
        <v>15000</v>
      </c>
      <c r="L1206" s="1">
        <v>0</v>
      </c>
      <c r="M1206" s="1" t="s">
        <v>34</v>
      </c>
      <c r="N1206" s="1" t="s">
        <v>70</v>
      </c>
      <c r="O1206" s="1" t="s">
        <v>36</v>
      </c>
      <c r="P1206" s="1" t="s">
        <v>37</v>
      </c>
      <c r="Q1206" s="1" t="s">
        <v>38</v>
      </c>
      <c r="R1206" s="1" t="s">
        <v>3147</v>
      </c>
      <c r="S1206" s="3">
        <v>917758000000</v>
      </c>
      <c r="T1206" s="1" t="s">
        <v>86</v>
      </c>
      <c r="U1206" s="1">
        <v>74</v>
      </c>
      <c r="V1206" s="1">
        <v>67</v>
      </c>
      <c r="W1206" s="1" t="s">
        <v>41</v>
      </c>
      <c r="X1206" s="1">
        <v>109133</v>
      </c>
      <c r="Y1206" s="2">
        <v>36186</v>
      </c>
      <c r="Z1206" s="1">
        <v>-0.82102628285356605</v>
      </c>
      <c r="AA1206" s="1">
        <v>25</v>
      </c>
      <c r="AB1206" s="1">
        <v>184000</v>
      </c>
      <c r="AC1206" s="1">
        <f t="shared" si="18"/>
        <v>214000</v>
      </c>
    </row>
    <row r="1207" spans="1:29" x14ac:dyDescent="0.25">
      <c r="A1207" s="1" t="s">
        <v>3164</v>
      </c>
      <c r="B1207" s="1" t="s">
        <v>1011</v>
      </c>
      <c r="C1207" s="1" t="s">
        <v>1012</v>
      </c>
      <c r="D1207" s="1">
        <v>2022</v>
      </c>
      <c r="E1207" s="1" t="s">
        <v>45</v>
      </c>
      <c r="F1207" s="1">
        <v>2</v>
      </c>
      <c r="G1207" s="1" t="s">
        <v>46</v>
      </c>
      <c r="H1207" s="1" t="s">
        <v>33</v>
      </c>
      <c r="I1207" s="1">
        <v>92000</v>
      </c>
      <c r="J1207" s="1">
        <v>77000</v>
      </c>
      <c r="K1207" s="1">
        <v>15000</v>
      </c>
      <c r="L1207" s="1">
        <v>0</v>
      </c>
      <c r="M1207" s="1" t="s">
        <v>34</v>
      </c>
      <c r="N1207" s="1" t="s">
        <v>70</v>
      </c>
      <c r="O1207" s="1" t="s">
        <v>84</v>
      </c>
      <c r="P1207" s="1" t="s">
        <v>65</v>
      </c>
      <c r="Q1207" s="1" t="s">
        <v>38</v>
      </c>
      <c r="R1207" s="1" t="s">
        <v>3165</v>
      </c>
      <c r="S1207" s="3">
        <v>917707000000</v>
      </c>
      <c r="T1207" s="1" t="s">
        <v>74</v>
      </c>
      <c r="U1207" s="1">
        <v>74</v>
      </c>
      <c r="V1207" s="1">
        <v>74</v>
      </c>
      <c r="W1207" s="1" t="s">
        <v>52</v>
      </c>
      <c r="X1207" s="1">
        <v>766359</v>
      </c>
      <c r="Y1207" s="2">
        <v>36912</v>
      </c>
      <c r="Z1207" s="1">
        <v>-0.82102628285356605</v>
      </c>
      <c r="AA1207" s="1">
        <v>23</v>
      </c>
      <c r="AB1207" s="1">
        <v>184000</v>
      </c>
      <c r="AC1207" s="1">
        <f t="shared" si="18"/>
        <v>214000</v>
      </c>
    </row>
    <row r="1208" spans="1:29" x14ac:dyDescent="0.25">
      <c r="A1208" s="1" t="s">
        <v>3176</v>
      </c>
      <c r="B1208" s="1" t="s">
        <v>3177</v>
      </c>
      <c r="C1208" s="1" t="s">
        <v>3178</v>
      </c>
      <c r="D1208" s="1">
        <v>2022</v>
      </c>
      <c r="E1208" s="1" t="s">
        <v>31</v>
      </c>
      <c r="F1208" s="1">
        <v>4</v>
      </c>
      <c r="G1208" s="1" t="s">
        <v>32</v>
      </c>
      <c r="H1208" s="1" t="s">
        <v>122</v>
      </c>
      <c r="I1208" s="1">
        <v>169000</v>
      </c>
      <c r="J1208" s="1">
        <v>154000</v>
      </c>
      <c r="K1208" s="1">
        <v>15000</v>
      </c>
      <c r="L1208" s="1">
        <v>0</v>
      </c>
      <c r="M1208" s="1" t="s">
        <v>34</v>
      </c>
      <c r="N1208" s="1" t="s">
        <v>63</v>
      </c>
      <c r="O1208" s="1" t="s">
        <v>188</v>
      </c>
      <c r="P1208" s="1" t="s">
        <v>189</v>
      </c>
      <c r="Q1208" s="1" t="s">
        <v>38</v>
      </c>
      <c r="R1208" s="1" t="s">
        <v>3179</v>
      </c>
      <c r="S1208" s="3">
        <v>919194000000</v>
      </c>
      <c r="T1208" s="1" t="s">
        <v>51</v>
      </c>
      <c r="U1208" s="1">
        <v>74</v>
      </c>
      <c r="V1208" s="1">
        <v>67</v>
      </c>
      <c r="W1208" s="1" t="s">
        <v>52</v>
      </c>
      <c r="X1208" s="1">
        <v>192965</v>
      </c>
      <c r="Y1208" s="2">
        <v>37983</v>
      </c>
      <c r="Z1208" s="1">
        <v>-0.82102628285356605</v>
      </c>
      <c r="AA1208" s="1">
        <v>20</v>
      </c>
      <c r="AB1208" s="1">
        <v>676000</v>
      </c>
      <c r="AC1208" s="1">
        <f t="shared" si="18"/>
        <v>736000</v>
      </c>
    </row>
    <row r="1209" spans="1:29" x14ac:dyDescent="0.25">
      <c r="A1209" s="1" t="s">
        <v>3192</v>
      </c>
      <c r="B1209" s="1" t="s">
        <v>3193</v>
      </c>
      <c r="C1209" s="1" t="s">
        <v>3194</v>
      </c>
      <c r="D1209" s="1">
        <v>2022</v>
      </c>
      <c r="E1209" s="1" t="s">
        <v>45</v>
      </c>
      <c r="F1209" s="1">
        <v>2</v>
      </c>
      <c r="G1209" s="1" t="s">
        <v>46</v>
      </c>
      <c r="H1209" s="1" t="s">
        <v>47</v>
      </c>
      <c r="I1209" s="1">
        <v>92000</v>
      </c>
      <c r="J1209" s="1">
        <v>77000</v>
      </c>
      <c r="K1209" s="1">
        <v>15000</v>
      </c>
      <c r="L1209" s="1">
        <v>0</v>
      </c>
      <c r="M1209" s="1" t="s">
        <v>34</v>
      </c>
      <c r="N1209" s="1" t="s">
        <v>35</v>
      </c>
      <c r="O1209" s="1" t="s">
        <v>57</v>
      </c>
      <c r="P1209" s="1" t="s">
        <v>57</v>
      </c>
      <c r="Q1209" s="1" t="s">
        <v>38</v>
      </c>
      <c r="R1209" s="1" t="s">
        <v>3195</v>
      </c>
      <c r="S1209" s="3">
        <v>919110000000</v>
      </c>
      <c r="T1209" s="1" t="s">
        <v>98</v>
      </c>
      <c r="U1209" s="1">
        <v>74</v>
      </c>
      <c r="V1209" s="1">
        <v>62</v>
      </c>
      <c r="W1209" s="1" t="s">
        <v>41</v>
      </c>
      <c r="X1209" s="1">
        <v>524628</v>
      </c>
      <c r="Y1209" s="2">
        <v>35564</v>
      </c>
      <c r="Z1209" s="1">
        <v>-0.82102628285356605</v>
      </c>
      <c r="AA1209" s="1">
        <v>27</v>
      </c>
      <c r="AB1209" s="1">
        <v>184000</v>
      </c>
      <c r="AC1209" s="1">
        <f t="shared" si="18"/>
        <v>214000</v>
      </c>
    </row>
    <row r="1210" spans="1:29" x14ac:dyDescent="0.25">
      <c r="A1210" s="1" t="s">
        <v>3226</v>
      </c>
      <c r="B1210" s="1" t="s">
        <v>3227</v>
      </c>
      <c r="C1210" s="1" t="s">
        <v>3228</v>
      </c>
      <c r="D1210" s="1">
        <v>2022</v>
      </c>
      <c r="E1210" s="1" t="s">
        <v>31</v>
      </c>
      <c r="F1210" s="1">
        <v>4</v>
      </c>
      <c r="G1210" s="1" t="s">
        <v>32</v>
      </c>
      <c r="H1210" s="1" t="s">
        <v>47</v>
      </c>
      <c r="I1210" s="1">
        <v>169000</v>
      </c>
      <c r="J1210" s="1">
        <v>154000</v>
      </c>
      <c r="K1210" s="1">
        <v>15000</v>
      </c>
      <c r="L1210" s="1">
        <v>0</v>
      </c>
      <c r="M1210" s="1" t="s">
        <v>34</v>
      </c>
      <c r="N1210" s="1" t="s">
        <v>63</v>
      </c>
      <c r="O1210" s="1" t="s">
        <v>188</v>
      </c>
      <c r="P1210" s="1" t="s">
        <v>189</v>
      </c>
      <c r="Q1210" s="1" t="s">
        <v>38</v>
      </c>
      <c r="R1210" s="1" t="s">
        <v>3229</v>
      </c>
      <c r="S1210" s="3">
        <v>919716000000</v>
      </c>
      <c r="T1210" s="1" t="s">
        <v>74</v>
      </c>
      <c r="U1210" s="1">
        <v>74</v>
      </c>
      <c r="V1210" s="1">
        <v>90</v>
      </c>
      <c r="W1210" s="1" t="s">
        <v>52</v>
      </c>
      <c r="X1210" s="1">
        <v>323584</v>
      </c>
      <c r="Y1210" s="2">
        <v>37175</v>
      </c>
      <c r="Z1210" s="1">
        <v>-0.82102628285356605</v>
      </c>
      <c r="AA1210" s="1">
        <v>22</v>
      </c>
      <c r="AB1210" s="1">
        <v>676000</v>
      </c>
      <c r="AC1210" s="1">
        <f t="shared" si="18"/>
        <v>736000</v>
      </c>
    </row>
    <row r="1211" spans="1:29" x14ac:dyDescent="0.25">
      <c r="A1211" s="1" t="s">
        <v>3242</v>
      </c>
      <c r="B1211" s="1" t="s">
        <v>1203</v>
      </c>
      <c r="C1211" s="1" t="s">
        <v>1204</v>
      </c>
      <c r="D1211" s="1">
        <v>2022</v>
      </c>
      <c r="E1211" s="1" t="s">
        <v>45</v>
      </c>
      <c r="F1211" s="1">
        <v>2</v>
      </c>
      <c r="G1211" s="1" t="s">
        <v>46</v>
      </c>
      <c r="H1211" s="1" t="s">
        <v>102</v>
      </c>
      <c r="I1211" s="1">
        <v>92000</v>
      </c>
      <c r="J1211" s="1">
        <v>77000</v>
      </c>
      <c r="K1211" s="1">
        <v>15000</v>
      </c>
      <c r="L1211" s="1">
        <v>0</v>
      </c>
      <c r="M1211" s="1" t="s">
        <v>34</v>
      </c>
      <c r="N1211" s="1" t="s">
        <v>63</v>
      </c>
      <c r="O1211" s="1" t="s">
        <v>57</v>
      </c>
      <c r="P1211" s="1" t="s">
        <v>57</v>
      </c>
      <c r="Q1211" s="1" t="s">
        <v>38</v>
      </c>
      <c r="R1211" s="1" t="s">
        <v>3243</v>
      </c>
      <c r="S1211" s="3">
        <v>918248000000</v>
      </c>
      <c r="T1211" s="1" t="s">
        <v>86</v>
      </c>
      <c r="U1211" s="1">
        <v>74</v>
      </c>
      <c r="V1211" s="1">
        <v>70</v>
      </c>
      <c r="W1211" s="1" t="s">
        <v>41</v>
      </c>
      <c r="X1211" s="1">
        <v>267625</v>
      </c>
      <c r="Y1211" s="2">
        <v>35972</v>
      </c>
      <c r="Z1211" s="1">
        <v>-0.82102628285356605</v>
      </c>
      <c r="AA1211" s="1">
        <v>26</v>
      </c>
      <c r="AB1211" s="1">
        <v>184000</v>
      </c>
      <c r="AC1211" s="1">
        <f t="shared" si="18"/>
        <v>214000</v>
      </c>
    </row>
    <row r="1212" spans="1:29" x14ac:dyDescent="0.25">
      <c r="A1212" s="1" t="s">
        <v>3291</v>
      </c>
      <c r="B1212" s="1" t="s">
        <v>3292</v>
      </c>
      <c r="C1212" s="1" t="s">
        <v>3293</v>
      </c>
      <c r="D1212" s="1">
        <v>2022</v>
      </c>
      <c r="E1212" s="1" t="s">
        <v>45</v>
      </c>
      <c r="F1212" s="1">
        <v>2</v>
      </c>
      <c r="G1212" s="1" t="s">
        <v>46</v>
      </c>
      <c r="H1212" s="1" t="s">
        <v>102</v>
      </c>
      <c r="I1212" s="1">
        <v>92000</v>
      </c>
      <c r="J1212" s="1">
        <v>77000</v>
      </c>
      <c r="K1212" s="1">
        <v>15000</v>
      </c>
      <c r="L1212" s="1">
        <v>0</v>
      </c>
      <c r="M1212" s="1" t="s">
        <v>34</v>
      </c>
      <c r="N1212" s="1" t="s">
        <v>63</v>
      </c>
      <c r="O1212" s="1" t="s">
        <v>36</v>
      </c>
      <c r="P1212" s="1" t="s">
        <v>37</v>
      </c>
      <c r="Q1212" s="1" t="s">
        <v>38</v>
      </c>
      <c r="R1212" s="1" t="s">
        <v>3294</v>
      </c>
      <c r="S1212" s="3">
        <v>918890000000</v>
      </c>
      <c r="T1212" s="1" t="s">
        <v>98</v>
      </c>
      <c r="U1212" s="1">
        <v>74</v>
      </c>
      <c r="V1212" s="1">
        <v>66</v>
      </c>
      <c r="W1212" s="1" t="s">
        <v>41</v>
      </c>
      <c r="X1212" s="1">
        <v>339140</v>
      </c>
      <c r="Y1212" s="2">
        <v>36587</v>
      </c>
      <c r="Z1212" s="1">
        <v>-0.82102628285356605</v>
      </c>
      <c r="AA1212" s="1">
        <v>24</v>
      </c>
      <c r="AB1212" s="1">
        <v>184000</v>
      </c>
      <c r="AC1212" s="1">
        <f t="shared" si="18"/>
        <v>214000</v>
      </c>
    </row>
    <row r="1213" spans="1:29" x14ac:dyDescent="0.25">
      <c r="A1213" s="1" t="s">
        <v>3349</v>
      </c>
      <c r="B1213" s="1" t="s">
        <v>1651</v>
      </c>
      <c r="C1213" s="1" t="s">
        <v>1652</v>
      </c>
      <c r="D1213" s="1">
        <v>2022</v>
      </c>
      <c r="E1213" s="1" t="s">
        <v>45</v>
      </c>
      <c r="F1213" s="1">
        <v>2</v>
      </c>
      <c r="G1213" s="1" t="s">
        <v>46</v>
      </c>
      <c r="H1213" s="1" t="s">
        <v>62</v>
      </c>
      <c r="I1213" s="1">
        <v>92000</v>
      </c>
      <c r="J1213" s="1">
        <v>77000</v>
      </c>
      <c r="K1213" s="1">
        <v>15000</v>
      </c>
      <c r="L1213" s="1">
        <v>0</v>
      </c>
      <c r="M1213" s="1" t="s">
        <v>34</v>
      </c>
      <c r="N1213" s="1" t="s">
        <v>70</v>
      </c>
      <c r="O1213" s="1" t="s">
        <v>57</v>
      </c>
      <c r="P1213" s="1" t="s">
        <v>57</v>
      </c>
      <c r="Q1213" s="1" t="s">
        <v>38</v>
      </c>
      <c r="R1213" s="1" t="s">
        <v>3350</v>
      </c>
      <c r="S1213" s="3">
        <v>918805000000</v>
      </c>
      <c r="T1213" s="1" t="s">
        <v>40</v>
      </c>
      <c r="U1213" s="1">
        <v>73</v>
      </c>
      <c r="V1213" s="1">
        <v>66</v>
      </c>
      <c r="W1213" s="1" t="s">
        <v>52</v>
      </c>
      <c r="X1213" s="1">
        <v>294411</v>
      </c>
      <c r="Y1213" s="2">
        <v>35923</v>
      </c>
      <c r="Z1213" s="1">
        <v>-1.8210262828535599</v>
      </c>
      <c r="AA1213" s="1">
        <v>26</v>
      </c>
      <c r="AB1213" s="1">
        <v>184000</v>
      </c>
      <c r="AC1213" s="1">
        <f t="shared" si="18"/>
        <v>214000</v>
      </c>
    </row>
    <row r="1214" spans="1:29" x14ac:dyDescent="0.25">
      <c r="A1214" s="1" t="s">
        <v>3351</v>
      </c>
      <c r="B1214" s="1" t="s">
        <v>3352</v>
      </c>
      <c r="C1214" s="1" t="s">
        <v>3353</v>
      </c>
      <c r="D1214" s="1">
        <v>2022</v>
      </c>
      <c r="E1214" s="1" t="s">
        <v>31</v>
      </c>
      <c r="F1214" s="1">
        <v>4</v>
      </c>
      <c r="G1214" s="1" t="s">
        <v>32</v>
      </c>
      <c r="H1214" s="1" t="s">
        <v>56</v>
      </c>
      <c r="I1214" s="1">
        <v>169000</v>
      </c>
      <c r="J1214" s="1">
        <v>154000</v>
      </c>
      <c r="K1214" s="1">
        <v>15000</v>
      </c>
      <c r="L1214" s="1">
        <v>0</v>
      </c>
      <c r="M1214" s="1" t="s">
        <v>34</v>
      </c>
      <c r="N1214" s="1" t="s">
        <v>70</v>
      </c>
      <c r="O1214" s="1" t="s">
        <v>71</v>
      </c>
      <c r="P1214" s="1" t="s">
        <v>72</v>
      </c>
      <c r="Q1214" s="1" t="s">
        <v>38</v>
      </c>
      <c r="R1214" s="1" t="s">
        <v>3354</v>
      </c>
      <c r="S1214" s="3">
        <v>919639000000</v>
      </c>
      <c r="T1214" s="1" t="s">
        <v>51</v>
      </c>
      <c r="U1214" s="1">
        <v>73</v>
      </c>
      <c r="V1214" s="1">
        <v>87</v>
      </c>
      <c r="W1214" s="1" t="s">
        <v>52</v>
      </c>
      <c r="X1214" s="1">
        <v>515124</v>
      </c>
      <c r="Y1214" s="2">
        <v>36827</v>
      </c>
      <c r="Z1214" s="1">
        <v>-1.8210262828535599</v>
      </c>
      <c r="AA1214" s="1">
        <v>23</v>
      </c>
      <c r="AB1214" s="1">
        <v>676000</v>
      </c>
      <c r="AC1214" s="1">
        <f t="shared" si="18"/>
        <v>736000</v>
      </c>
    </row>
    <row r="1215" spans="1:29" x14ac:dyDescent="0.25">
      <c r="A1215" s="1" t="s">
        <v>3373</v>
      </c>
      <c r="B1215" s="1" t="s">
        <v>3374</v>
      </c>
      <c r="C1215" s="1" t="s">
        <v>3375</v>
      </c>
      <c r="D1215" s="1">
        <v>2022</v>
      </c>
      <c r="E1215" s="1" t="s">
        <v>31</v>
      </c>
      <c r="F1215" s="1">
        <v>4</v>
      </c>
      <c r="G1215" s="1" t="s">
        <v>32</v>
      </c>
      <c r="H1215" s="1" t="s">
        <v>62</v>
      </c>
      <c r="I1215" s="1">
        <v>169000</v>
      </c>
      <c r="J1215" s="1">
        <v>154000</v>
      </c>
      <c r="K1215" s="1">
        <v>15000</v>
      </c>
      <c r="L1215" s="1">
        <v>0</v>
      </c>
      <c r="M1215" s="1" t="s">
        <v>34</v>
      </c>
      <c r="N1215" s="1" t="s">
        <v>63</v>
      </c>
      <c r="O1215" s="1" t="s">
        <v>48</v>
      </c>
      <c r="P1215" s="1" t="s">
        <v>49</v>
      </c>
      <c r="Q1215" s="1" t="s">
        <v>38</v>
      </c>
      <c r="R1215" s="1" t="s">
        <v>3376</v>
      </c>
      <c r="S1215" s="3">
        <v>918066000000</v>
      </c>
      <c r="T1215" s="1" t="s">
        <v>40</v>
      </c>
      <c r="U1215" s="1">
        <v>73</v>
      </c>
      <c r="V1215" s="1">
        <v>87</v>
      </c>
      <c r="W1215" s="1" t="s">
        <v>41</v>
      </c>
      <c r="X1215" s="1">
        <v>339129</v>
      </c>
      <c r="Y1215" s="2">
        <v>37645</v>
      </c>
      <c r="Z1215" s="1">
        <v>-1.8210262828535599</v>
      </c>
      <c r="AA1215" s="1">
        <v>21</v>
      </c>
      <c r="AB1215" s="1">
        <v>676000</v>
      </c>
      <c r="AC1215" s="1">
        <f t="shared" si="18"/>
        <v>736000</v>
      </c>
    </row>
    <row r="1216" spans="1:29" x14ac:dyDescent="0.25">
      <c r="A1216" s="1" t="s">
        <v>2053</v>
      </c>
      <c r="B1216" s="1" t="s">
        <v>3377</v>
      </c>
      <c r="C1216" s="1" t="s">
        <v>3378</v>
      </c>
      <c r="D1216" s="1">
        <v>2022</v>
      </c>
      <c r="E1216" s="1" t="s">
        <v>31</v>
      </c>
      <c r="F1216" s="1">
        <v>4</v>
      </c>
      <c r="G1216" s="1" t="s">
        <v>32</v>
      </c>
      <c r="H1216" s="1" t="s">
        <v>151</v>
      </c>
      <c r="I1216" s="1">
        <v>169000</v>
      </c>
      <c r="J1216" s="1">
        <v>154000</v>
      </c>
      <c r="K1216" s="1">
        <v>15000</v>
      </c>
      <c r="L1216" s="1">
        <v>0</v>
      </c>
      <c r="M1216" s="1" t="s">
        <v>34</v>
      </c>
      <c r="N1216" s="1" t="s">
        <v>63</v>
      </c>
      <c r="O1216" s="1" t="s">
        <v>36</v>
      </c>
      <c r="P1216" s="1" t="s">
        <v>37</v>
      </c>
      <c r="Q1216" s="1" t="s">
        <v>38</v>
      </c>
      <c r="R1216" s="1" t="s">
        <v>3379</v>
      </c>
      <c r="S1216" s="3">
        <v>917016000000</v>
      </c>
      <c r="T1216" s="1" t="s">
        <v>40</v>
      </c>
      <c r="U1216" s="1">
        <v>73</v>
      </c>
      <c r="V1216" s="1">
        <v>83</v>
      </c>
      <c r="W1216" s="1" t="s">
        <v>52</v>
      </c>
      <c r="X1216" s="1">
        <v>626275</v>
      </c>
      <c r="Y1216" s="2">
        <v>37549</v>
      </c>
      <c r="Z1216" s="1">
        <v>-1.8210262828535599</v>
      </c>
      <c r="AA1216" s="1">
        <v>21</v>
      </c>
      <c r="AB1216" s="1">
        <v>676000</v>
      </c>
      <c r="AC1216" s="1">
        <f t="shared" si="18"/>
        <v>736000</v>
      </c>
    </row>
    <row r="1217" spans="1:29" x14ac:dyDescent="0.25">
      <c r="A1217" s="1" t="s">
        <v>3388</v>
      </c>
      <c r="B1217" s="1" t="s">
        <v>3389</v>
      </c>
      <c r="C1217" s="1" t="s">
        <v>3390</v>
      </c>
      <c r="D1217" s="1">
        <v>2022</v>
      </c>
      <c r="E1217" s="1" t="s">
        <v>31</v>
      </c>
      <c r="F1217" s="1">
        <v>4</v>
      </c>
      <c r="G1217" s="1" t="s">
        <v>32</v>
      </c>
      <c r="H1217" s="1" t="s">
        <v>56</v>
      </c>
      <c r="I1217" s="1">
        <v>169000</v>
      </c>
      <c r="J1217" s="1">
        <v>154000</v>
      </c>
      <c r="K1217" s="1">
        <v>15000</v>
      </c>
      <c r="L1217" s="1">
        <v>0</v>
      </c>
      <c r="M1217" s="1" t="s">
        <v>34</v>
      </c>
      <c r="N1217" s="1" t="s">
        <v>63</v>
      </c>
      <c r="O1217" s="1" t="s">
        <v>57</v>
      </c>
      <c r="P1217" s="1" t="s">
        <v>57</v>
      </c>
      <c r="Q1217" s="1" t="s">
        <v>38</v>
      </c>
      <c r="R1217" s="1" t="s">
        <v>3391</v>
      </c>
      <c r="S1217" s="3">
        <v>919670000000</v>
      </c>
      <c r="T1217" s="1" t="s">
        <v>98</v>
      </c>
      <c r="U1217" s="1">
        <v>73</v>
      </c>
      <c r="V1217" s="1">
        <v>74</v>
      </c>
      <c r="W1217" s="1" t="s">
        <v>41</v>
      </c>
      <c r="X1217" s="1">
        <v>694221</v>
      </c>
      <c r="Y1217" s="2">
        <v>37617</v>
      </c>
      <c r="Z1217" s="1">
        <v>-1.8210262828535599</v>
      </c>
      <c r="AA1217" s="1">
        <v>21</v>
      </c>
      <c r="AB1217" s="1">
        <v>676000</v>
      </c>
      <c r="AC1217" s="1">
        <f t="shared" si="18"/>
        <v>736000</v>
      </c>
    </row>
    <row r="1218" spans="1:29" x14ac:dyDescent="0.25">
      <c r="A1218" s="1" t="s">
        <v>3392</v>
      </c>
      <c r="B1218" s="1" t="s">
        <v>3393</v>
      </c>
      <c r="C1218" s="1" t="s">
        <v>3394</v>
      </c>
      <c r="D1218" s="1">
        <v>2022</v>
      </c>
      <c r="E1218" s="1" t="s">
        <v>31</v>
      </c>
      <c r="F1218" s="1">
        <v>4</v>
      </c>
      <c r="G1218" s="1" t="s">
        <v>32</v>
      </c>
      <c r="H1218" s="1" t="s">
        <v>113</v>
      </c>
      <c r="I1218" s="1">
        <v>169000</v>
      </c>
      <c r="J1218" s="1">
        <v>154000</v>
      </c>
      <c r="K1218" s="1">
        <v>15000</v>
      </c>
      <c r="L1218" s="1">
        <v>0</v>
      </c>
      <c r="M1218" s="1" t="s">
        <v>34</v>
      </c>
      <c r="N1218" s="1" t="s">
        <v>63</v>
      </c>
      <c r="O1218" s="1" t="s">
        <v>78</v>
      </c>
      <c r="P1218" s="1" t="s">
        <v>79</v>
      </c>
      <c r="Q1218" s="1" t="s">
        <v>38</v>
      </c>
      <c r="R1218" s="1" t="s">
        <v>3395</v>
      </c>
      <c r="S1218" s="3">
        <v>919418000000</v>
      </c>
      <c r="T1218" s="1" t="s">
        <v>74</v>
      </c>
      <c r="U1218" s="1">
        <v>73</v>
      </c>
      <c r="V1218" s="1">
        <v>77</v>
      </c>
      <c r="W1218" s="1" t="s">
        <v>52</v>
      </c>
      <c r="X1218" s="1">
        <v>224599</v>
      </c>
      <c r="Y1218" s="2">
        <v>38631</v>
      </c>
      <c r="Z1218" s="1">
        <v>-1.8210262828535599</v>
      </c>
      <c r="AA1218" s="1">
        <v>18</v>
      </c>
      <c r="AB1218" s="1">
        <v>676000</v>
      </c>
      <c r="AC1218" s="1">
        <f t="shared" si="18"/>
        <v>736000</v>
      </c>
    </row>
    <row r="1219" spans="1:29" x14ac:dyDescent="0.25">
      <c r="A1219" s="1" t="s">
        <v>3412</v>
      </c>
      <c r="B1219" s="1" t="s">
        <v>3413</v>
      </c>
      <c r="C1219" s="1" t="s">
        <v>3414</v>
      </c>
      <c r="D1219" s="1">
        <v>2022</v>
      </c>
      <c r="E1219" s="1" t="s">
        <v>31</v>
      </c>
      <c r="F1219" s="1">
        <v>4</v>
      </c>
      <c r="G1219" s="1" t="s">
        <v>32</v>
      </c>
      <c r="H1219" s="1" t="s">
        <v>102</v>
      </c>
      <c r="I1219" s="1">
        <v>169000</v>
      </c>
      <c r="J1219" s="1">
        <v>154000</v>
      </c>
      <c r="K1219" s="1">
        <v>15000</v>
      </c>
      <c r="L1219" s="1">
        <v>0</v>
      </c>
      <c r="M1219" s="1" t="s">
        <v>34</v>
      </c>
      <c r="N1219" s="1" t="s">
        <v>35</v>
      </c>
      <c r="O1219" s="1" t="s">
        <v>84</v>
      </c>
      <c r="P1219" s="1" t="s">
        <v>65</v>
      </c>
      <c r="Q1219" s="1" t="s">
        <v>38</v>
      </c>
      <c r="R1219" s="1" t="s">
        <v>3415</v>
      </c>
      <c r="S1219" s="3">
        <v>919541000000</v>
      </c>
      <c r="T1219" s="1" t="s">
        <v>51</v>
      </c>
      <c r="U1219" s="1">
        <v>73</v>
      </c>
      <c r="V1219" s="1">
        <v>65</v>
      </c>
      <c r="W1219" s="1" t="s">
        <v>52</v>
      </c>
      <c r="X1219" s="1">
        <v>107234</v>
      </c>
      <c r="Y1219" s="2">
        <v>38216</v>
      </c>
      <c r="Z1219" s="1">
        <v>-1.8210262828535599</v>
      </c>
      <c r="AA1219" s="1">
        <v>19</v>
      </c>
      <c r="AB1219" s="1">
        <v>676000</v>
      </c>
      <c r="AC1219" s="1">
        <f t="shared" si="18"/>
        <v>736000</v>
      </c>
    </row>
    <row r="1220" spans="1:29" x14ac:dyDescent="0.25">
      <c r="A1220" s="1" t="s">
        <v>3419</v>
      </c>
      <c r="B1220" s="1" t="s">
        <v>3420</v>
      </c>
      <c r="C1220" s="1" t="s">
        <v>3421</v>
      </c>
      <c r="D1220" s="1">
        <v>2022</v>
      </c>
      <c r="E1220" s="1" t="s">
        <v>31</v>
      </c>
      <c r="F1220" s="1">
        <v>4</v>
      </c>
      <c r="G1220" s="1" t="s">
        <v>32</v>
      </c>
      <c r="H1220" s="1" t="s">
        <v>62</v>
      </c>
      <c r="I1220" s="1">
        <v>169000</v>
      </c>
      <c r="J1220" s="1">
        <v>154000</v>
      </c>
      <c r="K1220" s="1">
        <v>15000</v>
      </c>
      <c r="L1220" s="1">
        <v>0</v>
      </c>
      <c r="M1220" s="1" t="s">
        <v>34</v>
      </c>
      <c r="N1220" s="1" t="s">
        <v>70</v>
      </c>
      <c r="O1220" s="1" t="s">
        <v>48</v>
      </c>
      <c r="P1220" s="1" t="s">
        <v>49</v>
      </c>
      <c r="Q1220" s="1" t="s">
        <v>38</v>
      </c>
      <c r="R1220" s="1" t="s">
        <v>3422</v>
      </c>
      <c r="S1220" s="3">
        <v>919536000000</v>
      </c>
      <c r="T1220" s="1" t="s">
        <v>98</v>
      </c>
      <c r="U1220" s="1">
        <v>73</v>
      </c>
      <c r="V1220" s="1">
        <v>66</v>
      </c>
      <c r="W1220" s="1" t="s">
        <v>52</v>
      </c>
      <c r="X1220" s="1">
        <v>542769</v>
      </c>
      <c r="Y1220" s="2">
        <v>38220</v>
      </c>
      <c r="Z1220" s="1">
        <v>-1.8210262828535599</v>
      </c>
      <c r="AA1220" s="1">
        <v>19</v>
      </c>
      <c r="AB1220" s="1">
        <v>676000</v>
      </c>
      <c r="AC1220" s="1">
        <f t="shared" si="18"/>
        <v>736000</v>
      </c>
    </row>
    <row r="1221" spans="1:29" x14ac:dyDescent="0.25">
      <c r="A1221" s="1" t="s">
        <v>3441</v>
      </c>
      <c r="B1221" s="1" t="s">
        <v>3442</v>
      </c>
      <c r="C1221" s="1" t="s">
        <v>3443</v>
      </c>
      <c r="D1221" s="1">
        <v>2022</v>
      </c>
      <c r="E1221" s="1" t="s">
        <v>31</v>
      </c>
      <c r="F1221" s="1">
        <v>4</v>
      </c>
      <c r="G1221" s="1" t="s">
        <v>32</v>
      </c>
      <c r="H1221" s="1" t="s">
        <v>113</v>
      </c>
      <c r="I1221" s="1">
        <v>169000</v>
      </c>
      <c r="J1221" s="1">
        <v>154000</v>
      </c>
      <c r="K1221" s="1">
        <v>15000</v>
      </c>
      <c r="L1221" s="1">
        <v>0</v>
      </c>
      <c r="M1221" s="1" t="s">
        <v>34</v>
      </c>
      <c r="N1221" s="1" t="s">
        <v>35</v>
      </c>
      <c r="O1221" s="1" t="s">
        <v>64</v>
      </c>
      <c r="P1221" s="1" t="s">
        <v>65</v>
      </c>
      <c r="Q1221" s="1" t="s">
        <v>38</v>
      </c>
      <c r="R1221" s="1" t="s">
        <v>3444</v>
      </c>
      <c r="S1221" s="3">
        <v>917739000000</v>
      </c>
      <c r="T1221" s="1" t="s">
        <v>74</v>
      </c>
      <c r="U1221" s="1">
        <v>73</v>
      </c>
      <c r="V1221" s="1">
        <v>87</v>
      </c>
      <c r="W1221" s="1" t="s">
        <v>52</v>
      </c>
      <c r="X1221" s="1">
        <v>245055</v>
      </c>
      <c r="Y1221" s="2">
        <v>38695</v>
      </c>
      <c r="Z1221" s="1">
        <v>-1.8210262828535599</v>
      </c>
      <c r="AA1221" s="1">
        <v>18</v>
      </c>
      <c r="AB1221" s="1">
        <v>676000</v>
      </c>
      <c r="AC1221" s="1">
        <f t="shared" si="18"/>
        <v>736000</v>
      </c>
    </row>
    <row r="1222" spans="1:29" x14ac:dyDescent="0.25">
      <c r="A1222" s="1" t="s">
        <v>3445</v>
      </c>
      <c r="B1222" s="1" t="s">
        <v>3446</v>
      </c>
      <c r="C1222" s="1" t="s">
        <v>3447</v>
      </c>
      <c r="D1222" s="1">
        <v>2022</v>
      </c>
      <c r="E1222" s="1" t="s">
        <v>31</v>
      </c>
      <c r="F1222" s="1">
        <v>4</v>
      </c>
      <c r="G1222" s="1" t="s">
        <v>32</v>
      </c>
      <c r="H1222" s="1" t="s">
        <v>210</v>
      </c>
      <c r="I1222" s="1">
        <v>169000</v>
      </c>
      <c r="J1222" s="1">
        <v>154000</v>
      </c>
      <c r="K1222" s="1">
        <v>15000</v>
      </c>
      <c r="L1222" s="1">
        <v>0</v>
      </c>
      <c r="M1222" s="1" t="s">
        <v>34</v>
      </c>
      <c r="N1222" s="1" t="s">
        <v>70</v>
      </c>
      <c r="O1222" s="1" t="s">
        <v>36</v>
      </c>
      <c r="P1222" s="1" t="s">
        <v>37</v>
      </c>
      <c r="Q1222" s="1" t="s">
        <v>38</v>
      </c>
      <c r="R1222" s="1" t="s">
        <v>3448</v>
      </c>
      <c r="S1222" s="3">
        <v>919353000000</v>
      </c>
      <c r="T1222" s="1" t="s">
        <v>98</v>
      </c>
      <c r="U1222" s="1">
        <v>73</v>
      </c>
      <c r="V1222" s="1">
        <v>92</v>
      </c>
      <c r="W1222" s="1" t="s">
        <v>41</v>
      </c>
      <c r="X1222" s="1">
        <v>311529</v>
      </c>
      <c r="Y1222" s="2">
        <v>38192</v>
      </c>
      <c r="Z1222" s="1">
        <v>-1.8210262828535599</v>
      </c>
      <c r="AA1222" s="1">
        <v>19</v>
      </c>
      <c r="AB1222" s="1">
        <v>676000</v>
      </c>
      <c r="AC1222" s="1">
        <f t="shared" ref="AC1222:AC1285" si="19">IF(F1222 = 2, AB1222+30000,AB1222+60000)</f>
        <v>736000</v>
      </c>
    </row>
    <row r="1223" spans="1:29" x14ac:dyDescent="0.25">
      <c r="A1223" s="1" t="s">
        <v>3449</v>
      </c>
      <c r="B1223" s="1" t="s">
        <v>3450</v>
      </c>
      <c r="C1223" s="1" t="s">
        <v>3451</v>
      </c>
      <c r="D1223" s="1">
        <v>2022</v>
      </c>
      <c r="E1223" s="1" t="s">
        <v>45</v>
      </c>
      <c r="F1223" s="1">
        <v>2</v>
      </c>
      <c r="G1223" s="1" t="s">
        <v>46</v>
      </c>
      <c r="H1223" s="1" t="s">
        <v>33</v>
      </c>
      <c r="I1223" s="1">
        <v>92000</v>
      </c>
      <c r="J1223" s="1">
        <v>77000</v>
      </c>
      <c r="K1223" s="1">
        <v>15000</v>
      </c>
      <c r="L1223" s="1">
        <v>0</v>
      </c>
      <c r="M1223" s="1" t="s">
        <v>34</v>
      </c>
      <c r="N1223" s="1" t="s">
        <v>70</v>
      </c>
      <c r="O1223" s="1" t="s">
        <v>57</v>
      </c>
      <c r="P1223" s="1" t="s">
        <v>57</v>
      </c>
      <c r="Q1223" s="1" t="s">
        <v>38</v>
      </c>
      <c r="R1223" s="1" t="s">
        <v>3452</v>
      </c>
      <c r="S1223" s="3">
        <v>917432000000</v>
      </c>
      <c r="T1223" s="1" t="s">
        <v>86</v>
      </c>
      <c r="U1223" s="1">
        <v>73</v>
      </c>
      <c r="V1223" s="1">
        <v>66</v>
      </c>
      <c r="W1223" s="1" t="s">
        <v>52</v>
      </c>
      <c r="X1223" s="1">
        <v>252948</v>
      </c>
      <c r="Y1223" s="2">
        <v>36831</v>
      </c>
      <c r="Z1223" s="1">
        <v>-1.8210262828535599</v>
      </c>
      <c r="AA1223" s="1">
        <v>23</v>
      </c>
      <c r="AB1223" s="1">
        <v>184000</v>
      </c>
      <c r="AC1223" s="1">
        <f t="shared" si="19"/>
        <v>214000</v>
      </c>
    </row>
    <row r="1224" spans="1:29" x14ac:dyDescent="0.25">
      <c r="A1224" s="1" t="s">
        <v>3463</v>
      </c>
      <c r="B1224" s="1" t="s">
        <v>3464</v>
      </c>
      <c r="C1224" s="1" t="s">
        <v>3465</v>
      </c>
      <c r="D1224" s="1">
        <v>2022</v>
      </c>
      <c r="E1224" s="1" t="s">
        <v>45</v>
      </c>
      <c r="F1224" s="1">
        <v>2</v>
      </c>
      <c r="G1224" s="1" t="s">
        <v>46</v>
      </c>
      <c r="H1224" s="1" t="s">
        <v>90</v>
      </c>
      <c r="I1224" s="1">
        <v>92000</v>
      </c>
      <c r="J1224" s="1">
        <v>77000</v>
      </c>
      <c r="K1224" s="1">
        <v>15000</v>
      </c>
      <c r="L1224" s="1">
        <v>0</v>
      </c>
      <c r="M1224" s="1" t="s">
        <v>34</v>
      </c>
      <c r="N1224" s="1" t="s">
        <v>63</v>
      </c>
      <c r="O1224" s="1" t="s">
        <v>103</v>
      </c>
      <c r="P1224" s="1" t="s">
        <v>104</v>
      </c>
      <c r="Q1224" s="1" t="s">
        <v>38</v>
      </c>
      <c r="R1224" s="1" t="s">
        <v>3466</v>
      </c>
      <c r="S1224" s="3">
        <v>917596000000</v>
      </c>
      <c r="T1224" s="1" t="s">
        <v>40</v>
      </c>
      <c r="U1224" s="1">
        <v>73</v>
      </c>
      <c r="V1224" s="1">
        <v>64</v>
      </c>
      <c r="W1224" s="1" t="s">
        <v>41</v>
      </c>
      <c r="X1224" s="1">
        <v>121207</v>
      </c>
      <c r="Y1224" s="2">
        <v>37002</v>
      </c>
      <c r="Z1224" s="1">
        <v>-1.8210262828535599</v>
      </c>
      <c r="AA1224" s="1">
        <v>23</v>
      </c>
      <c r="AB1224" s="1">
        <v>184000</v>
      </c>
      <c r="AC1224" s="1">
        <f t="shared" si="19"/>
        <v>214000</v>
      </c>
    </row>
    <row r="1225" spans="1:29" x14ac:dyDescent="0.25">
      <c r="A1225" s="1" t="s">
        <v>3487</v>
      </c>
      <c r="B1225" s="1" t="s">
        <v>1099</v>
      </c>
      <c r="C1225" s="1" t="s">
        <v>1100</v>
      </c>
      <c r="D1225" s="1">
        <v>2022</v>
      </c>
      <c r="E1225" s="1" t="s">
        <v>45</v>
      </c>
      <c r="F1225" s="1">
        <v>2</v>
      </c>
      <c r="G1225" s="1" t="s">
        <v>46</v>
      </c>
      <c r="H1225" s="1" t="s">
        <v>113</v>
      </c>
      <c r="I1225" s="1">
        <v>92000</v>
      </c>
      <c r="J1225" s="1">
        <v>77000</v>
      </c>
      <c r="K1225" s="1">
        <v>15000</v>
      </c>
      <c r="L1225" s="1">
        <v>0</v>
      </c>
      <c r="M1225" s="1" t="s">
        <v>34</v>
      </c>
      <c r="N1225" s="1" t="s">
        <v>63</v>
      </c>
      <c r="O1225" s="1" t="s">
        <v>84</v>
      </c>
      <c r="P1225" s="1" t="s">
        <v>65</v>
      </c>
      <c r="Q1225" s="1" t="s">
        <v>38</v>
      </c>
      <c r="R1225" s="1" t="s">
        <v>3488</v>
      </c>
      <c r="S1225" s="3">
        <v>917736000000</v>
      </c>
      <c r="T1225" s="1" t="s">
        <v>40</v>
      </c>
      <c r="U1225" s="1">
        <v>72</v>
      </c>
      <c r="V1225" s="1">
        <v>89</v>
      </c>
      <c r="W1225" s="1" t="s">
        <v>52</v>
      </c>
      <c r="X1225" s="1">
        <v>686671</v>
      </c>
      <c r="Y1225" s="2">
        <v>35531</v>
      </c>
      <c r="Z1225" s="1">
        <v>-2.8210262828535599</v>
      </c>
      <c r="AA1225" s="1">
        <v>27</v>
      </c>
      <c r="AB1225" s="1">
        <v>184000</v>
      </c>
      <c r="AC1225" s="1">
        <f t="shared" si="19"/>
        <v>214000</v>
      </c>
    </row>
    <row r="1226" spans="1:29" x14ac:dyDescent="0.25">
      <c r="A1226" s="1" t="s">
        <v>3497</v>
      </c>
      <c r="B1226" s="1" t="s">
        <v>3498</v>
      </c>
      <c r="C1226" s="1" t="s">
        <v>3499</v>
      </c>
      <c r="D1226" s="1">
        <v>2022</v>
      </c>
      <c r="E1226" s="1" t="s">
        <v>31</v>
      </c>
      <c r="F1226" s="1">
        <v>4</v>
      </c>
      <c r="G1226" s="1" t="s">
        <v>32</v>
      </c>
      <c r="H1226" s="1" t="s">
        <v>47</v>
      </c>
      <c r="I1226" s="1">
        <v>169000</v>
      </c>
      <c r="J1226" s="1">
        <v>154000</v>
      </c>
      <c r="K1226" s="1">
        <v>15000</v>
      </c>
      <c r="L1226" s="1">
        <v>0</v>
      </c>
      <c r="M1226" s="1" t="s">
        <v>34</v>
      </c>
      <c r="N1226" s="1" t="s">
        <v>35</v>
      </c>
      <c r="O1226" s="1" t="s">
        <v>71</v>
      </c>
      <c r="P1226" s="1" t="s">
        <v>72</v>
      </c>
      <c r="Q1226" s="1" t="s">
        <v>38</v>
      </c>
      <c r="R1226" s="1" t="s">
        <v>3500</v>
      </c>
      <c r="S1226" s="3">
        <v>918538000000</v>
      </c>
      <c r="T1226" s="1" t="s">
        <v>51</v>
      </c>
      <c r="U1226" s="1">
        <v>72</v>
      </c>
      <c r="V1226" s="1">
        <v>80</v>
      </c>
      <c r="W1226" s="1" t="s">
        <v>52</v>
      </c>
      <c r="X1226" s="1">
        <v>313596</v>
      </c>
      <c r="Y1226" s="2">
        <v>37394</v>
      </c>
      <c r="Z1226" s="1">
        <v>-2.8210262828535599</v>
      </c>
      <c r="AA1226" s="1">
        <v>22</v>
      </c>
      <c r="AB1226" s="1">
        <v>676000</v>
      </c>
      <c r="AC1226" s="1">
        <f t="shared" si="19"/>
        <v>736000</v>
      </c>
    </row>
    <row r="1227" spans="1:29" x14ac:dyDescent="0.25">
      <c r="A1227" s="1" t="s">
        <v>3523</v>
      </c>
      <c r="B1227" s="1" t="s">
        <v>3524</v>
      </c>
      <c r="C1227" s="1" t="s">
        <v>3525</v>
      </c>
      <c r="D1227" s="1">
        <v>2022</v>
      </c>
      <c r="E1227" s="1" t="s">
        <v>31</v>
      </c>
      <c r="F1227" s="1">
        <v>4</v>
      </c>
      <c r="G1227" s="1" t="s">
        <v>32</v>
      </c>
      <c r="H1227" s="1" t="s">
        <v>33</v>
      </c>
      <c r="I1227" s="1">
        <v>169000</v>
      </c>
      <c r="J1227" s="1">
        <v>154000</v>
      </c>
      <c r="K1227" s="1">
        <v>15000</v>
      </c>
      <c r="L1227" s="1">
        <v>0</v>
      </c>
      <c r="M1227" s="1" t="s">
        <v>34</v>
      </c>
      <c r="N1227" s="1" t="s">
        <v>63</v>
      </c>
      <c r="O1227" s="1" t="s">
        <v>71</v>
      </c>
      <c r="P1227" s="1" t="s">
        <v>72</v>
      </c>
      <c r="Q1227" s="1" t="s">
        <v>38</v>
      </c>
      <c r="R1227" s="1" t="s">
        <v>3526</v>
      </c>
      <c r="S1227" s="3">
        <v>918617000000</v>
      </c>
      <c r="T1227" s="1" t="s">
        <v>40</v>
      </c>
      <c r="U1227" s="1">
        <v>72</v>
      </c>
      <c r="V1227" s="1">
        <v>84</v>
      </c>
      <c r="W1227" s="1" t="s">
        <v>41</v>
      </c>
      <c r="X1227" s="1">
        <v>267167</v>
      </c>
      <c r="Y1227" s="2">
        <v>37984</v>
      </c>
      <c r="Z1227" s="1">
        <v>-2.8210262828535599</v>
      </c>
      <c r="AA1227" s="1">
        <v>20</v>
      </c>
      <c r="AB1227" s="1">
        <v>676000</v>
      </c>
      <c r="AC1227" s="1">
        <f t="shared" si="19"/>
        <v>736000</v>
      </c>
    </row>
    <row r="1228" spans="1:29" x14ac:dyDescent="0.25">
      <c r="A1228" s="1" t="s">
        <v>3531</v>
      </c>
      <c r="B1228" s="1" t="s">
        <v>1297</v>
      </c>
      <c r="C1228" s="1" t="s">
        <v>1298</v>
      </c>
      <c r="D1228" s="1">
        <v>2022</v>
      </c>
      <c r="E1228" s="1" t="s">
        <v>31</v>
      </c>
      <c r="F1228" s="1">
        <v>4</v>
      </c>
      <c r="G1228" s="1" t="s">
        <v>32</v>
      </c>
      <c r="H1228" s="1" t="s">
        <v>62</v>
      </c>
      <c r="I1228" s="1">
        <v>169000</v>
      </c>
      <c r="J1228" s="1">
        <v>154000</v>
      </c>
      <c r="K1228" s="1">
        <v>15000</v>
      </c>
      <c r="L1228" s="1">
        <v>0</v>
      </c>
      <c r="M1228" s="1" t="s">
        <v>34</v>
      </c>
      <c r="N1228" s="1" t="s">
        <v>63</v>
      </c>
      <c r="O1228" s="1" t="s">
        <v>36</v>
      </c>
      <c r="P1228" s="1" t="s">
        <v>37</v>
      </c>
      <c r="Q1228" s="1" t="s">
        <v>38</v>
      </c>
      <c r="R1228" s="1" t="s">
        <v>3532</v>
      </c>
      <c r="S1228" s="3">
        <v>918933000000</v>
      </c>
      <c r="T1228" s="1" t="s">
        <v>74</v>
      </c>
      <c r="U1228" s="1">
        <v>72</v>
      </c>
      <c r="V1228" s="1">
        <v>68</v>
      </c>
      <c r="W1228" s="1" t="s">
        <v>52</v>
      </c>
      <c r="X1228" s="1">
        <v>573132</v>
      </c>
      <c r="Y1228" s="2">
        <v>37686</v>
      </c>
      <c r="Z1228" s="1">
        <v>-2.8210262828535599</v>
      </c>
      <c r="AA1228" s="1">
        <v>21</v>
      </c>
      <c r="AB1228" s="1">
        <v>676000</v>
      </c>
      <c r="AC1228" s="1">
        <f t="shared" si="19"/>
        <v>736000</v>
      </c>
    </row>
    <row r="1229" spans="1:29" x14ac:dyDescent="0.25">
      <c r="A1229" s="1" t="s">
        <v>3533</v>
      </c>
      <c r="B1229" s="1" t="s">
        <v>1547</v>
      </c>
      <c r="C1229" s="1" t="s">
        <v>1548</v>
      </c>
      <c r="D1229" s="1">
        <v>2022</v>
      </c>
      <c r="E1229" s="1" t="s">
        <v>45</v>
      </c>
      <c r="F1229" s="1">
        <v>2</v>
      </c>
      <c r="G1229" s="1" t="s">
        <v>46</v>
      </c>
      <c r="H1229" s="1" t="s">
        <v>47</v>
      </c>
      <c r="I1229" s="1">
        <v>92000</v>
      </c>
      <c r="J1229" s="1">
        <v>77000</v>
      </c>
      <c r="K1229" s="1">
        <v>15000</v>
      </c>
      <c r="L1229" s="1">
        <v>0</v>
      </c>
      <c r="M1229" s="1" t="s">
        <v>34</v>
      </c>
      <c r="N1229" s="1" t="s">
        <v>63</v>
      </c>
      <c r="O1229" s="1" t="s">
        <v>57</v>
      </c>
      <c r="P1229" s="1" t="s">
        <v>57</v>
      </c>
      <c r="Q1229" s="1" t="s">
        <v>38</v>
      </c>
      <c r="R1229" s="1" t="s">
        <v>3534</v>
      </c>
      <c r="S1229" s="3">
        <v>917133000000</v>
      </c>
      <c r="T1229" s="1" t="s">
        <v>40</v>
      </c>
      <c r="U1229" s="1">
        <v>72</v>
      </c>
      <c r="V1229" s="1">
        <v>76</v>
      </c>
      <c r="W1229" s="1" t="s">
        <v>52</v>
      </c>
      <c r="X1229" s="1">
        <v>504923</v>
      </c>
      <c r="Y1229" s="2">
        <v>35900</v>
      </c>
      <c r="Z1229" s="1">
        <v>-2.8210262828535599</v>
      </c>
      <c r="AA1229" s="1">
        <v>26</v>
      </c>
      <c r="AB1229" s="1">
        <v>184000</v>
      </c>
      <c r="AC1229" s="1">
        <f t="shared" si="19"/>
        <v>214000</v>
      </c>
    </row>
    <row r="1230" spans="1:29" x14ac:dyDescent="0.25">
      <c r="A1230" s="1" t="s">
        <v>3535</v>
      </c>
      <c r="B1230" s="1" t="s">
        <v>3536</v>
      </c>
      <c r="C1230" s="1" t="s">
        <v>3537</v>
      </c>
      <c r="D1230" s="1">
        <v>2022</v>
      </c>
      <c r="E1230" s="1" t="s">
        <v>45</v>
      </c>
      <c r="F1230" s="1">
        <v>2</v>
      </c>
      <c r="G1230" s="1" t="s">
        <v>46</v>
      </c>
      <c r="H1230" s="1" t="s">
        <v>113</v>
      </c>
      <c r="I1230" s="1">
        <v>92000</v>
      </c>
      <c r="J1230" s="1">
        <v>77000</v>
      </c>
      <c r="K1230" s="1">
        <v>15000</v>
      </c>
      <c r="L1230" s="1">
        <v>0</v>
      </c>
      <c r="M1230" s="1" t="s">
        <v>34</v>
      </c>
      <c r="N1230" s="1" t="s">
        <v>63</v>
      </c>
      <c r="O1230" s="1" t="s">
        <v>36</v>
      </c>
      <c r="P1230" s="1" t="s">
        <v>37</v>
      </c>
      <c r="Q1230" s="1" t="s">
        <v>38</v>
      </c>
      <c r="R1230" s="1" t="s">
        <v>3538</v>
      </c>
      <c r="S1230" s="3">
        <v>918078000000</v>
      </c>
      <c r="T1230" s="1" t="s">
        <v>86</v>
      </c>
      <c r="U1230" s="1">
        <v>72</v>
      </c>
      <c r="V1230" s="1">
        <v>77</v>
      </c>
      <c r="W1230" s="1" t="s">
        <v>52</v>
      </c>
      <c r="X1230" s="1">
        <v>405903</v>
      </c>
      <c r="Y1230" s="2">
        <v>36473</v>
      </c>
      <c r="Z1230" s="1">
        <v>-2.8210262828535599</v>
      </c>
      <c r="AA1230" s="1">
        <v>24</v>
      </c>
      <c r="AB1230" s="1">
        <v>184000</v>
      </c>
      <c r="AC1230" s="1">
        <f t="shared" si="19"/>
        <v>214000</v>
      </c>
    </row>
    <row r="1231" spans="1:29" x14ac:dyDescent="0.25">
      <c r="A1231" s="1" t="s">
        <v>3569</v>
      </c>
      <c r="B1231" s="1" t="s">
        <v>3570</v>
      </c>
      <c r="C1231" s="1" t="s">
        <v>3571</v>
      </c>
      <c r="D1231" s="1">
        <v>2022</v>
      </c>
      <c r="E1231" s="1" t="s">
        <v>31</v>
      </c>
      <c r="F1231" s="1">
        <v>4</v>
      </c>
      <c r="G1231" s="1" t="s">
        <v>32</v>
      </c>
      <c r="H1231" s="1" t="s">
        <v>210</v>
      </c>
      <c r="I1231" s="1">
        <v>169000</v>
      </c>
      <c r="J1231" s="1">
        <v>154000</v>
      </c>
      <c r="K1231" s="1">
        <v>15000</v>
      </c>
      <c r="L1231" s="1">
        <v>0</v>
      </c>
      <c r="M1231" s="1" t="s">
        <v>34</v>
      </c>
      <c r="N1231" s="1" t="s">
        <v>35</v>
      </c>
      <c r="O1231" s="1" t="s">
        <v>57</v>
      </c>
      <c r="P1231" s="1" t="s">
        <v>57</v>
      </c>
      <c r="Q1231" s="1" t="s">
        <v>38</v>
      </c>
      <c r="R1231" s="1" t="s">
        <v>3572</v>
      </c>
      <c r="S1231" s="3">
        <v>919578000000</v>
      </c>
      <c r="T1231" s="1" t="s">
        <v>98</v>
      </c>
      <c r="U1231" s="1">
        <v>72</v>
      </c>
      <c r="V1231" s="1">
        <v>79</v>
      </c>
      <c r="W1231" s="1" t="s">
        <v>41</v>
      </c>
      <c r="X1231" s="1">
        <v>548680</v>
      </c>
      <c r="Y1231" s="2">
        <v>36773</v>
      </c>
      <c r="Z1231" s="1">
        <v>-2.8210262828535599</v>
      </c>
      <c r="AA1231" s="1">
        <v>23</v>
      </c>
      <c r="AB1231" s="1">
        <v>676000</v>
      </c>
      <c r="AC1231" s="1">
        <f t="shared" si="19"/>
        <v>736000</v>
      </c>
    </row>
    <row r="1232" spans="1:29" x14ac:dyDescent="0.25">
      <c r="A1232" s="1" t="s">
        <v>3577</v>
      </c>
      <c r="B1232" s="1" t="s">
        <v>1759</v>
      </c>
      <c r="C1232" s="1" t="s">
        <v>1760</v>
      </c>
      <c r="D1232" s="1">
        <v>2022</v>
      </c>
      <c r="E1232" s="1" t="s">
        <v>45</v>
      </c>
      <c r="F1232" s="1">
        <v>2</v>
      </c>
      <c r="G1232" s="1" t="s">
        <v>46</v>
      </c>
      <c r="H1232" s="1" t="s">
        <v>113</v>
      </c>
      <c r="I1232" s="1">
        <v>92000</v>
      </c>
      <c r="J1232" s="1">
        <v>77000</v>
      </c>
      <c r="K1232" s="1">
        <v>15000</v>
      </c>
      <c r="L1232" s="1">
        <v>0</v>
      </c>
      <c r="M1232" s="1" t="s">
        <v>34</v>
      </c>
      <c r="N1232" s="1" t="s">
        <v>35</v>
      </c>
      <c r="O1232" s="1" t="s">
        <v>48</v>
      </c>
      <c r="P1232" s="1" t="s">
        <v>49</v>
      </c>
      <c r="Q1232" s="1" t="s">
        <v>38</v>
      </c>
      <c r="R1232" s="1" t="s">
        <v>3578</v>
      </c>
      <c r="S1232" s="3">
        <v>919939000000</v>
      </c>
      <c r="T1232" s="1" t="s">
        <v>40</v>
      </c>
      <c r="U1232" s="1">
        <v>72</v>
      </c>
      <c r="V1232" s="1">
        <v>61</v>
      </c>
      <c r="W1232" s="1" t="s">
        <v>41</v>
      </c>
      <c r="X1232" s="1">
        <v>796911</v>
      </c>
      <c r="Y1232" s="2">
        <v>36615</v>
      </c>
      <c r="Z1232" s="1">
        <v>-2.8210262828535599</v>
      </c>
      <c r="AA1232" s="1">
        <v>24</v>
      </c>
      <c r="AB1232" s="1">
        <v>184000</v>
      </c>
      <c r="AC1232" s="1">
        <f t="shared" si="19"/>
        <v>214000</v>
      </c>
    </row>
    <row r="1233" spans="1:29" x14ac:dyDescent="0.25">
      <c r="A1233" s="1" t="s">
        <v>3597</v>
      </c>
      <c r="B1233" s="1" t="s">
        <v>3598</v>
      </c>
      <c r="C1233" s="1" t="s">
        <v>3599</v>
      </c>
      <c r="D1233" s="1">
        <v>2022</v>
      </c>
      <c r="E1233" s="1" t="s">
        <v>31</v>
      </c>
      <c r="F1233" s="1">
        <v>4</v>
      </c>
      <c r="G1233" s="1" t="s">
        <v>32</v>
      </c>
      <c r="H1233" s="1" t="s">
        <v>151</v>
      </c>
      <c r="I1233" s="1">
        <v>169000</v>
      </c>
      <c r="J1233" s="1">
        <v>154000</v>
      </c>
      <c r="K1233" s="1">
        <v>15000</v>
      </c>
      <c r="L1233" s="1">
        <v>0</v>
      </c>
      <c r="M1233" s="1" t="s">
        <v>34</v>
      </c>
      <c r="N1233" s="1" t="s">
        <v>63</v>
      </c>
      <c r="O1233" s="1" t="s">
        <v>57</v>
      </c>
      <c r="P1233" s="1" t="s">
        <v>57</v>
      </c>
      <c r="Q1233" s="1" t="s">
        <v>38</v>
      </c>
      <c r="R1233" s="1" t="s">
        <v>3241</v>
      </c>
      <c r="S1233" s="3">
        <v>919880000000</v>
      </c>
      <c r="T1233" s="1" t="s">
        <v>98</v>
      </c>
      <c r="U1233" s="1">
        <v>72</v>
      </c>
      <c r="V1233" s="1">
        <v>87</v>
      </c>
      <c r="W1233" s="1" t="s">
        <v>52</v>
      </c>
      <c r="X1233" s="1">
        <v>124098</v>
      </c>
      <c r="Y1233" s="2">
        <v>36917</v>
      </c>
      <c r="Z1233" s="1">
        <v>-2.8210262828535599</v>
      </c>
      <c r="AA1233" s="1">
        <v>23</v>
      </c>
      <c r="AB1233" s="1">
        <v>676000</v>
      </c>
      <c r="AC1233" s="1">
        <f t="shared" si="19"/>
        <v>736000</v>
      </c>
    </row>
    <row r="1234" spans="1:29" x14ac:dyDescent="0.25">
      <c r="A1234" s="1" t="s">
        <v>3600</v>
      </c>
      <c r="B1234" s="1" t="s">
        <v>2054</v>
      </c>
      <c r="C1234" s="1" t="s">
        <v>2055</v>
      </c>
      <c r="D1234" s="1">
        <v>2022</v>
      </c>
      <c r="E1234" s="1" t="s">
        <v>31</v>
      </c>
      <c r="F1234" s="1">
        <v>4</v>
      </c>
      <c r="G1234" s="1" t="s">
        <v>32</v>
      </c>
      <c r="H1234" s="1" t="s">
        <v>56</v>
      </c>
      <c r="I1234" s="1">
        <v>169000</v>
      </c>
      <c r="J1234" s="1">
        <v>154000</v>
      </c>
      <c r="K1234" s="1">
        <v>15000</v>
      </c>
      <c r="L1234" s="1">
        <v>0</v>
      </c>
      <c r="M1234" s="1" t="s">
        <v>34</v>
      </c>
      <c r="N1234" s="1" t="s">
        <v>35</v>
      </c>
      <c r="O1234" s="1" t="s">
        <v>64</v>
      </c>
      <c r="P1234" s="1" t="s">
        <v>65</v>
      </c>
      <c r="Q1234" s="1" t="s">
        <v>38</v>
      </c>
      <c r="R1234" s="1" t="s">
        <v>3601</v>
      </c>
      <c r="S1234" s="3">
        <v>918728000000</v>
      </c>
      <c r="T1234" s="1" t="s">
        <v>86</v>
      </c>
      <c r="U1234" s="1">
        <v>72</v>
      </c>
      <c r="V1234" s="1">
        <v>88</v>
      </c>
      <c r="W1234" s="1" t="s">
        <v>41</v>
      </c>
      <c r="X1234" s="1">
        <v>662921</v>
      </c>
      <c r="Y1234" s="2">
        <v>38411</v>
      </c>
      <c r="Z1234" s="1">
        <v>-2.8210262828535599</v>
      </c>
      <c r="AA1234" s="1">
        <v>19</v>
      </c>
      <c r="AB1234" s="1">
        <v>676000</v>
      </c>
      <c r="AC1234" s="1">
        <f t="shared" si="19"/>
        <v>736000</v>
      </c>
    </row>
    <row r="1235" spans="1:29" x14ac:dyDescent="0.25">
      <c r="A1235" s="1" t="s">
        <v>3610</v>
      </c>
      <c r="B1235" s="1" t="s">
        <v>3611</v>
      </c>
      <c r="C1235" s="1" t="s">
        <v>3612</v>
      </c>
      <c r="D1235" s="1">
        <v>2022</v>
      </c>
      <c r="E1235" s="1" t="s">
        <v>45</v>
      </c>
      <c r="F1235" s="1">
        <v>2</v>
      </c>
      <c r="G1235" s="1" t="s">
        <v>46</v>
      </c>
      <c r="H1235" s="1" t="s">
        <v>62</v>
      </c>
      <c r="I1235" s="1">
        <v>92000</v>
      </c>
      <c r="J1235" s="1">
        <v>77000</v>
      </c>
      <c r="K1235" s="1">
        <v>15000</v>
      </c>
      <c r="L1235" s="1">
        <v>0</v>
      </c>
      <c r="M1235" s="1" t="s">
        <v>34</v>
      </c>
      <c r="N1235" s="1" t="s">
        <v>63</v>
      </c>
      <c r="O1235" s="1" t="s">
        <v>84</v>
      </c>
      <c r="P1235" s="1" t="s">
        <v>65</v>
      </c>
      <c r="Q1235" s="1" t="s">
        <v>38</v>
      </c>
      <c r="R1235" s="1" t="s">
        <v>3613</v>
      </c>
      <c r="S1235" s="3">
        <v>917726000000</v>
      </c>
      <c r="T1235" s="1" t="s">
        <v>51</v>
      </c>
      <c r="U1235" s="1">
        <v>72</v>
      </c>
      <c r="V1235" s="1">
        <v>85</v>
      </c>
      <c r="W1235" s="1" t="s">
        <v>41</v>
      </c>
      <c r="X1235" s="1">
        <v>710829</v>
      </c>
      <c r="Y1235" s="2">
        <v>35533</v>
      </c>
      <c r="Z1235" s="1">
        <v>-2.8210262828535599</v>
      </c>
      <c r="AA1235" s="1">
        <v>27</v>
      </c>
      <c r="AB1235" s="1">
        <v>184000</v>
      </c>
      <c r="AC1235" s="1">
        <f t="shared" si="19"/>
        <v>214000</v>
      </c>
    </row>
    <row r="1236" spans="1:29" x14ac:dyDescent="0.25">
      <c r="A1236" s="1" t="s">
        <v>3630</v>
      </c>
      <c r="B1236" s="1" t="s">
        <v>3631</v>
      </c>
      <c r="C1236" s="1" t="s">
        <v>3632</v>
      </c>
      <c r="D1236" s="1">
        <v>2022</v>
      </c>
      <c r="E1236" s="1" t="s">
        <v>31</v>
      </c>
      <c r="F1236" s="1">
        <v>4</v>
      </c>
      <c r="G1236" s="1" t="s">
        <v>32</v>
      </c>
      <c r="H1236" s="1" t="s">
        <v>47</v>
      </c>
      <c r="I1236" s="1">
        <v>169000</v>
      </c>
      <c r="J1236" s="1">
        <v>154000</v>
      </c>
      <c r="K1236" s="1">
        <v>15000</v>
      </c>
      <c r="L1236" s="1">
        <v>0</v>
      </c>
      <c r="M1236" s="1" t="s">
        <v>34</v>
      </c>
      <c r="N1236" s="1" t="s">
        <v>35</v>
      </c>
      <c r="O1236" s="1" t="s">
        <v>78</v>
      </c>
      <c r="P1236" s="1" t="s">
        <v>79</v>
      </c>
      <c r="Q1236" s="1" t="s">
        <v>38</v>
      </c>
      <c r="R1236" s="1" t="s">
        <v>3633</v>
      </c>
      <c r="S1236" s="3">
        <v>917253000000</v>
      </c>
      <c r="T1236" s="1" t="s">
        <v>40</v>
      </c>
      <c r="U1236" s="1">
        <v>72</v>
      </c>
      <c r="V1236" s="1">
        <v>85</v>
      </c>
      <c r="W1236" s="1" t="s">
        <v>41</v>
      </c>
      <c r="X1236" s="1">
        <v>719803</v>
      </c>
      <c r="Y1236" s="2">
        <v>38406</v>
      </c>
      <c r="Z1236" s="1">
        <v>-2.8210262828535599</v>
      </c>
      <c r="AA1236" s="1">
        <v>19</v>
      </c>
      <c r="AB1236" s="1">
        <v>676000</v>
      </c>
      <c r="AC1236" s="1">
        <f t="shared" si="19"/>
        <v>736000</v>
      </c>
    </row>
    <row r="1237" spans="1:29" x14ac:dyDescent="0.25">
      <c r="A1237" s="1" t="s">
        <v>3644</v>
      </c>
      <c r="B1237" s="1" t="s">
        <v>3645</v>
      </c>
      <c r="C1237" s="1" t="s">
        <v>3646</v>
      </c>
      <c r="D1237" s="1">
        <v>2022</v>
      </c>
      <c r="E1237" s="1" t="s">
        <v>31</v>
      </c>
      <c r="F1237" s="1">
        <v>4</v>
      </c>
      <c r="G1237" s="1" t="s">
        <v>32</v>
      </c>
      <c r="H1237" s="1" t="s">
        <v>113</v>
      </c>
      <c r="I1237" s="1">
        <v>169000</v>
      </c>
      <c r="J1237" s="1">
        <v>154000</v>
      </c>
      <c r="K1237" s="1">
        <v>15000</v>
      </c>
      <c r="L1237" s="1">
        <v>0</v>
      </c>
      <c r="M1237" s="1" t="s">
        <v>34</v>
      </c>
      <c r="N1237" s="1" t="s">
        <v>35</v>
      </c>
      <c r="O1237" s="1" t="s">
        <v>36</v>
      </c>
      <c r="P1237" s="1" t="s">
        <v>37</v>
      </c>
      <c r="Q1237" s="1" t="s">
        <v>38</v>
      </c>
      <c r="R1237" s="1" t="s">
        <v>3647</v>
      </c>
      <c r="S1237" s="3">
        <v>918593000000</v>
      </c>
      <c r="T1237" s="1" t="s">
        <v>74</v>
      </c>
      <c r="U1237" s="1">
        <v>72</v>
      </c>
      <c r="V1237" s="1">
        <v>63</v>
      </c>
      <c r="W1237" s="1" t="s">
        <v>52</v>
      </c>
      <c r="X1237" s="1">
        <v>424576</v>
      </c>
      <c r="Y1237" s="2">
        <v>37892</v>
      </c>
      <c r="Z1237" s="1">
        <v>-2.8210262828535599</v>
      </c>
      <c r="AA1237" s="1">
        <v>20</v>
      </c>
      <c r="AB1237" s="1">
        <v>676000</v>
      </c>
      <c r="AC1237" s="1">
        <f t="shared" si="19"/>
        <v>736000</v>
      </c>
    </row>
    <row r="1238" spans="1:29" x14ac:dyDescent="0.25">
      <c r="A1238" s="1" t="s">
        <v>3662</v>
      </c>
      <c r="B1238" s="1" t="s">
        <v>1167</v>
      </c>
      <c r="C1238" s="1" t="s">
        <v>1168</v>
      </c>
      <c r="D1238" s="1">
        <v>2022</v>
      </c>
      <c r="E1238" s="1" t="s">
        <v>31</v>
      </c>
      <c r="F1238" s="1">
        <v>4</v>
      </c>
      <c r="G1238" s="1" t="s">
        <v>32</v>
      </c>
      <c r="H1238" s="1" t="s">
        <v>56</v>
      </c>
      <c r="I1238" s="1">
        <v>169000</v>
      </c>
      <c r="J1238" s="1">
        <v>154000</v>
      </c>
      <c r="K1238" s="1">
        <v>15000</v>
      </c>
      <c r="L1238" s="1">
        <v>0</v>
      </c>
      <c r="M1238" s="1" t="s">
        <v>34</v>
      </c>
      <c r="N1238" s="1" t="s">
        <v>70</v>
      </c>
      <c r="O1238" s="1" t="s">
        <v>91</v>
      </c>
      <c r="P1238" s="1" t="s">
        <v>92</v>
      </c>
      <c r="Q1238" s="1" t="s">
        <v>38</v>
      </c>
      <c r="R1238" s="1" t="s">
        <v>3663</v>
      </c>
      <c r="S1238" s="3">
        <v>918343000000</v>
      </c>
      <c r="T1238" s="1" t="s">
        <v>51</v>
      </c>
      <c r="U1238" s="1">
        <v>72</v>
      </c>
      <c r="V1238" s="1">
        <v>72</v>
      </c>
      <c r="W1238" s="1" t="s">
        <v>52</v>
      </c>
      <c r="X1238" s="1">
        <v>368662</v>
      </c>
      <c r="Y1238" s="2">
        <v>38738</v>
      </c>
      <c r="Z1238" s="1">
        <v>-2.8210262828535599</v>
      </c>
      <c r="AA1238" s="1">
        <v>18</v>
      </c>
      <c r="AB1238" s="1">
        <v>676000</v>
      </c>
      <c r="AC1238" s="1">
        <f t="shared" si="19"/>
        <v>736000</v>
      </c>
    </row>
    <row r="1239" spans="1:29" x14ac:dyDescent="0.25">
      <c r="A1239" s="1" t="s">
        <v>3678</v>
      </c>
      <c r="B1239" s="1" t="s">
        <v>887</v>
      </c>
      <c r="C1239" s="1" t="s">
        <v>888</v>
      </c>
      <c r="D1239" s="1">
        <v>2022</v>
      </c>
      <c r="E1239" s="1" t="s">
        <v>45</v>
      </c>
      <c r="F1239" s="1">
        <v>2</v>
      </c>
      <c r="G1239" s="1" t="s">
        <v>46</v>
      </c>
      <c r="H1239" s="1" t="s">
        <v>113</v>
      </c>
      <c r="I1239" s="1">
        <v>92000</v>
      </c>
      <c r="J1239" s="1">
        <v>77000</v>
      </c>
      <c r="K1239" s="1">
        <v>15000</v>
      </c>
      <c r="L1239" s="1">
        <v>0</v>
      </c>
      <c r="M1239" s="1" t="s">
        <v>34</v>
      </c>
      <c r="N1239" s="1" t="s">
        <v>35</v>
      </c>
      <c r="O1239" s="1" t="s">
        <v>91</v>
      </c>
      <c r="P1239" s="1" t="s">
        <v>92</v>
      </c>
      <c r="Q1239" s="1" t="s">
        <v>38</v>
      </c>
      <c r="R1239" s="1" t="s">
        <v>3679</v>
      </c>
      <c r="S1239" s="3">
        <v>918097000000</v>
      </c>
      <c r="T1239" s="1" t="s">
        <v>40</v>
      </c>
      <c r="U1239" s="1">
        <v>71</v>
      </c>
      <c r="V1239" s="1">
        <v>78</v>
      </c>
      <c r="W1239" s="1" t="s">
        <v>52</v>
      </c>
      <c r="X1239" s="1">
        <v>433473</v>
      </c>
      <c r="Y1239" s="2">
        <v>37329</v>
      </c>
      <c r="Z1239" s="1">
        <v>-3.8210262828535599</v>
      </c>
      <c r="AA1239" s="1">
        <v>22</v>
      </c>
      <c r="AB1239" s="1">
        <v>184000</v>
      </c>
      <c r="AC1239" s="1">
        <f t="shared" si="19"/>
        <v>214000</v>
      </c>
    </row>
    <row r="1240" spans="1:29" x14ac:dyDescent="0.25">
      <c r="A1240" s="1" t="s">
        <v>3680</v>
      </c>
      <c r="B1240" s="1" t="s">
        <v>3681</v>
      </c>
      <c r="C1240" s="1" t="s">
        <v>3682</v>
      </c>
      <c r="D1240" s="1">
        <v>2022</v>
      </c>
      <c r="E1240" s="1" t="s">
        <v>45</v>
      </c>
      <c r="F1240" s="1">
        <v>2</v>
      </c>
      <c r="G1240" s="1" t="s">
        <v>46</v>
      </c>
      <c r="H1240" s="1" t="s">
        <v>102</v>
      </c>
      <c r="I1240" s="1">
        <v>92000</v>
      </c>
      <c r="J1240" s="1">
        <v>77000</v>
      </c>
      <c r="K1240" s="1">
        <v>15000</v>
      </c>
      <c r="L1240" s="1">
        <v>0</v>
      </c>
      <c r="M1240" s="1" t="s">
        <v>34</v>
      </c>
      <c r="N1240" s="1" t="s">
        <v>70</v>
      </c>
      <c r="O1240" s="1" t="s">
        <v>36</v>
      </c>
      <c r="P1240" s="1" t="s">
        <v>37</v>
      </c>
      <c r="Q1240" s="1" t="s">
        <v>38</v>
      </c>
      <c r="R1240" s="1" t="s">
        <v>3683</v>
      </c>
      <c r="S1240" s="3">
        <v>918407000000</v>
      </c>
      <c r="T1240" s="1" t="s">
        <v>98</v>
      </c>
      <c r="U1240" s="1">
        <v>71</v>
      </c>
      <c r="V1240" s="1">
        <v>72</v>
      </c>
      <c r="W1240" s="1" t="s">
        <v>52</v>
      </c>
      <c r="X1240" s="1">
        <v>567319</v>
      </c>
      <c r="Y1240" s="2">
        <v>36576</v>
      </c>
      <c r="Z1240" s="1">
        <v>-3.8210262828535599</v>
      </c>
      <c r="AA1240" s="1">
        <v>24</v>
      </c>
      <c r="AB1240" s="1">
        <v>184000</v>
      </c>
      <c r="AC1240" s="1">
        <f t="shared" si="19"/>
        <v>214000</v>
      </c>
    </row>
    <row r="1241" spans="1:29" x14ac:dyDescent="0.25">
      <c r="A1241" s="1" t="s">
        <v>3684</v>
      </c>
      <c r="B1241" s="1" t="s">
        <v>2200</v>
      </c>
      <c r="C1241" s="1" t="s">
        <v>2201</v>
      </c>
      <c r="D1241" s="1">
        <v>2022</v>
      </c>
      <c r="E1241" s="1" t="s">
        <v>31</v>
      </c>
      <c r="F1241" s="1">
        <v>4</v>
      </c>
      <c r="G1241" s="1" t="s">
        <v>32</v>
      </c>
      <c r="H1241" s="1" t="s">
        <v>62</v>
      </c>
      <c r="I1241" s="1">
        <v>169000</v>
      </c>
      <c r="J1241" s="1">
        <v>154000</v>
      </c>
      <c r="K1241" s="1">
        <v>15000</v>
      </c>
      <c r="L1241" s="1">
        <v>0</v>
      </c>
      <c r="M1241" s="1" t="s">
        <v>34</v>
      </c>
      <c r="N1241" s="1" t="s">
        <v>63</v>
      </c>
      <c r="O1241" s="1" t="s">
        <v>84</v>
      </c>
      <c r="P1241" s="1" t="s">
        <v>65</v>
      </c>
      <c r="Q1241" s="1" t="s">
        <v>38</v>
      </c>
      <c r="R1241" s="1" t="s">
        <v>3685</v>
      </c>
      <c r="S1241" s="3">
        <v>919461000000</v>
      </c>
      <c r="T1241" s="1" t="s">
        <v>51</v>
      </c>
      <c r="U1241" s="1">
        <v>71</v>
      </c>
      <c r="V1241" s="1">
        <v>86</v>
      </c>
      <c r="W1241" s="1" t="s">
        <v>41</v>
      </c>
      <c r="X1241" s="1">
        <v>352619</v>
      </c>
      <c r="Y1241" s="2">
        <v>36893</v>
      </c>
      <c r="Z1241" s="1">
        <v>-3.8210262828535599</v>
      </c>
      <c r="AA1241" s="1">
        <v>23</v>
      </c>
      <c r="AB1241" s="1">
        <v>676000</v>
      </c>
      <c r="AC1241" s="1">
        <f t="shared" si="19"/>
        <v>736000</v>
      </c>
    </row>
    <row r="1242" spans="1:29" x14ac:dyDescent="0.25">
      <c r="A1242" s="1" t="s">
        <v>3713</v>
      </c>
      <c r="B1242" s="1" t="s">
        <v>2863</v>
      </c>
      <c r="C1242" s="1" t="s">
        <v>2864</v>
      </c>
      <c r="D1242" s="1">
        <v>2022</v>
      </c>
      <c r="E1242" s="1" t="s">
        <v>31</v>
      </c>
      <c r="F1242" s="1">
        <v>4</v>
      </c>
      <c r="G1242" s="1" t="s">
        <v>32</v>
      </c>
      <c r="H1242" s="1" t="s">
        <v>102</v>
      </c>
      <c r="I1242" s="1">
        <v>169000</v>
      </c>
      <c r="J1242" s="1">
        <v>154000</v>
      </c>
      <c r="K1242" s="1">
        <v>15000</v>
      </c>
      <c r="L1242" s="1">
        <v>0</v>
      </c>
      <c r="M1242" s="1" t="s">
        <v>34</v>
      </c>
      <c r="N1242" s="1" t="s">
        <v>63</v>
      </c>
      <c r="O1242" s="1" t="s">
        <v>84</v>
      </c>
      <c r="P1242" s="1" t="s">
        <v>65</v>
      </c>
      <c r="Q1242" s="1" t="s">
        <v>38</v>
      </c>
      <c r="R1242" s="1" t="s">
        <v>3714</v>
      </c>
      <c r="S1242" s="3">
        <v>918975000000</v>
      </c>
      <c r="T1242" s="1" t="s">
        <v>51</v>
      </c>
      <c r="U1242" s="1">
        <v>71</v>
      </c>
      <c r="V1242" s="1">
        <v>72</v>
      </c>
      <c r="W1242" s="1" t="s">
        <v>52</v>
      </c>
      <c r="X1242" s="1">
        <v>437198</v>
      </c>
      <c r="Y1242" s="2">
        <v>37314</v>
      </c>
      <c r="Z1242" s="1">
        <v>-3.8210262828535599</v>
      </c>
      <c r="AA1242" s="1">
        <v>22</v>
      </c>
      <c r="AB1242" s="1">
        <v>676000</v>
      </c>
      <c r="AC1242" s="1">
        <f t="shared" si="19"/>
        <v>736000</v>
      </c>
    </row>
    <row r="1243" spans="1:29" x14ac:dyDescent="0.25">
      <c r="A1243" s="1" t="s">
        <v>3757</v>
      </c>
      <c r="B1243" s="1" t="s">
        <v>3758</v>
      </c>
      <c r="C1243" s="1" t="s">
        <v>3759</v>
      </c>
      <c r="D1243" s="1">
        <v>2022</v>
      </c>
      <c r="E1243" s="1" t="s">
        <v>31</v>
      </c>
      <c r="F1243" s="1">
        <v>4</v>
      </c>
      <c r="G1243" s="1" t="s">
        <v>32</v>
      </c>
      <c r="H1243" s="1" t="s">
        <v>47</v>
      </c>
      <c r="I1243" s="1">
        <v>169000</v>
      </c>
      <c r="J1243" s="1">
        <v>154000</v>
      </c>
      <c r="K1243" s="1">
        <v>15000</v>
      </c>
      <c r="L1243" s="1">
        <v>0</v>
      </c>
      <c r="M1243" s="1" t="s">
        <v>34</v>
      </c>
      <c r="N1243" s="1" t="s">
        <v>63</v>
      </c>
      <c r="O1243" s="1" t="s">
        <v>103</v>
      </c>
      <c r="P1243" s="1" t="s">
        <v>104</v>
      </c>
      <c r="Q1243" s="1" t="s">
        <v>38</v>
      </c>
      <c r="R1243" s="1" t="s">
        <v>3760</v>
      </c>
      <c r="S1243" s="3">
        <v>919249000000</v>
      </c>
      <c r="T1243" s="1" t="s">
        <v>51</v>
      </c>
      <c r="U1243" s="1">
        <v>71</v>
      </c>
      <c r="V1243" s="1">
        <v>65</v>
      </c>
      <c r="W1243" s="1" t="s">
        <v>52</v>
      </c>
      <c r="X1243" s="1">
        <v>218640</v>
      </c>
      <c r="Y1243" s="2">
        <v>37708</v>
      </c>
      <c r="Z1243" s="1">
        <v>-3.8210262828535599</v>
      </c>
      <c r="AA1243" s="1">
        <v>21</v>
      </c>
      <c r="AB1243" s="1">
        <v>676000</v>
      </c>
      <c r="AC1243" s="1">
        <f t="shared" si="19"/>
        <v>736000</v>
      </c>
    </row>
    <row r="1244" spans="1:29" x14ac:dyDescent="0.25">
      <c r="A1244" s="1" t="s">
        <v>3763</v>
      </c>
      <c r="B1244" s="1" t="s">
        <v>3764</v>
      </c>
      <c r="C1244" s="1" t="s">
        <v>3765</v>
      </c>
      <c r="D1244" s="1">
        <v>2022</v>
      </c>
      <c r="E1244" s="1" t="s">
        <v>31</v>
      </c>
      <c r="F1244" s="1">
        <v>4</v>
      </c>
      <c r="G1244" s="1" t="s">
        <v>32</v>
      </c>
      <c r="H1244" s="1" t="s">
        <v>62</v>
      </c>
      <c r="I1244" s="1">
        <v>169000</v>
      </c>
      <c r="J1244" s="1">
        <v>154000</v>
      </c>
      <c r="K1244" s="1">
        <v>15000</v>
      </c>
      <c r="L1244" s="1">
        <v>0</v>
      </c>
      <c r="M1244" s="1" t="s">
        <v>34</v>
      </c>
      <c r="N1244" s="1" t="s">
        <v>70</v>
      </c>
      <c r="O1244" s="1" t="s">
        <v>57</v>
      </c>
      <c r="P1244" s="1" t="s">
        <v>57</v>
      </c>
      <c r="Q1244" s="1" t="s">
        <v>38</v>
      </c>
      <c r="R1244" s="1" t="s">
        <v>3766</v>
      </c>
      <c r="S1244" s="3">
        <v>918532000000</v>
      </c>
      <c r="T1244" s="1" t="s">
        <v>98</v>
      </c>
      <c r="U1244" s="1">
        <v>71</v>
      </c>
      <c r="V1244" s="1">
        <v>91</v>
      </c>
      <c r="W1244" s="1" t="s">
        <v>52</v>
      </c>
      <c r="X1244" s="1">
        <v>170160</v>
      </c>
      <c r="Y1244" s="2">
        <v>38873</v>
      </c>
      <c r="Z1244" s="1">
        <v>-3.8210262828535599</v>
      </c>
      <c r="AA1244" s="1">
        <v>18</v>
      </c>
      <c r="AB1244" s="1">
        <v>676000</v>
      </c>
      <c r="AC1244" s="1">
        <f t="shared" si="19"/>
        <v>736000</v>
      </c>
    </row>
    <row r="1245" spans="1:29" x14ac:dyDescent="0.25">
      <c r="A1245" s="1" t="s">
        <v>3787</v>
      </c>
      <c r="B1245" s="1" t="s">
        <v>3788</v>
      </c>
      <c r="C1245" s="1" t="s">
        <v>3789</v>
      </c>
      <c r="D1245" s="1">
        <v>2022</v>
      </c>
      <c r="E1245" s="1" t="s">
        <v>31</v>
      </c>
      <c r="F1245" s="1">
        <v>4</v>
      </c>
      <c r="G1245" s="1" t="s">
        <v>32</v>
      </c>
      <c r="H1245" s="1" t="s">
        <v>151</v>
      </c>
      <c r="I1245" s="1">
        <v>169000</v>
      </c>
      <c r="J1245" s="1">
        <v>154000</v>
      </c>
      <c r="K1245" s="1">
        <v>15000</v>
      </c>
      <c r="L1245" s="1">
        <v>0</v>
      </c>
      <c r="M1245" s="1" t="s">
        <v>34</v>
      </c>
      <c r="N1245" s="1" t="s">
        <v>35</v>
      </c>
      <c r="O1245" s="1" t="s">
        <v>91</v>
      </c>
      <c r="P1245" s="1" t="s">
        <v>92</v>
      </c>
      <c r="Q1245" s="1" t="s">
        <v>38</v>
      </c>
      <c r="R1245" s="1" t="s">
        <v>3790</v>
      </c>
      <c r="S1245" s="3">
        <v>918201000000</v>
      </c>
      <c r="T1245" s="1" t="s">
        <v>74</v>
      </c>
      <c r="U1245" s="1">
        <v>71</v>
      </c>
      <c r="V1245" s="1">
        <v>61</v>
      </c>
      <c r="W1245" s="1" t="s">
        <v>52</v>
      </c>
      <c r="X1245" s="1">
        <v>717442</v>
      </c>
      <c r="Y1245" s="2">
        <v>38054</v>
      </c>
      <c r="Z1245" s="1">
        <v>-3.8210262828535599</v>
      </c>
      <c r="AA1245" s="1">
        <v>20</v>
      </c>
      <c r="AB1245" s="1">
        <v>676000</v>
      </c>
      <c r="AC1245" s="1">
        <f t="shared" si="19"/>
        <v>736000</v>
      </c>
    </row>
    <row r="1246" spans="1:29" x14ac:dyDescent="0.25">
      <c r="A1246" s="1" t="s">
        <v>3795</v>
      </c>
      <c r="B1246" s="1" t="s">
        <v>3796</v>
      </c>
      <c r="C1246" s="1" t="s">
        <v>3797</v>
      </c>
      <c r="D1246" s="1">
        <v>2022</v>
      </c>
      <c r="E1246" s="1" t="s">
        <v>31</v>
      </c>
      <c r="F1246" s="1">
        <v>4</v>
      </c>
      <c r="G1246" s="1" t="s">
        <v>32</v>
      </c>
      <c r="H1246" s="1" t="s">
        <v>113</v>
      </c>
      <c r="I1246" s="1">
        <v>169000</v>
      </c>
      <c r="J1246" s="1">
        <v>154000</v>
      </c>
      <c r="K1246" s="1">
        <v>15000</v>
      </c>
      <c r="L1246" s="1">
        <v>0</v>
      </c>
      <c r="M1246" s="1" t="s">
        <v>34</v>
      </c>
      <c r="N1246" s="1" t="s">
        <v>63</v>
      </c>
      <c r="O1246" s="1" t="s">
        <v>78</v>
      </c>
      <c r="P1246" s="1" t="s">
        <v>79</v>
      </c>
      <c r="Q1246" s="1" t="s">
        <v>38</v>
      </c>
      <c r="R1246" s="1" t="s">
        <v>3798</v>
      </c>
      <c r="S1246" s="3">
        <v>917145000000</v>
      </c>
      <c r="T1246" s="1" t="s">
        <v>86</v>
      </c>
      <c r="U1246" s="1">
        <v>71</v>
      </c>
      <c r="V1246" s="1">
        <v>71</v>
      </c>
      <c r="W1246" s="1" t="s">
        <v>41</v>
      </c>
      <c r="X1246" s="1">
        <v>222836</v>
      </c>
      <c r="Y1246" s="2">
        <v>37251</v>
      </c>
      <c r="Z1246" s="1">
        <v>-3.8210262828535599</v>
      </c>
      <c r="AA1246" s="1">
        <v>22</v>
      </c>
      <c r="AB1246" s="1">
        <v>676000</v>
      </c>
      <c r="AC1246" s="1">
        <f t="shared" si="19"/>
        <v>736000</v>
      </c>
    </row>
    <row r="1247" spans="1:29" x14ac:dyDescent="0.25">
      <c r="A1247" s="1" t="s">
        <v>3799</v>
      </c>
      <c r="B1247" s="1" t="s">
        <v>2254</v>
      </c>
      <c r="C1247" s="1" t="s">
        <v>2255</v>
      </c>
      <c r="D1247" s="1">
        <v>2022</v>
      </c>
      <c r="E1247" s="1" t="s">
        <v>45</v>
      </c>
      <c r="F1247" s="1">
        <v>2</v>
      </c>
      <c r="G1247" s="1" t="s">
        <v>46</v>
      </c>
      <c r="H1247" s="1" t="s">
        <v>102</v>
      </c>
      <c r="I1247" s="1">
        <v>92000</v>
      </c>
      <c r="J1247" s="1">
        <v>77000</v>
      </c>
      <c r="K1247" s="1">
        <v>15000</v>
      </c>
      <c r="L1247" s="1">
        <v>0</v>
      </c>
      <c r="M1247" s="1" t="s">
        <v>34</v>
      </c>
      <c r="N1247" s="1" t="s">
        <v>35</v>
      </c>
      <c r="O1247" s="1" t="s">
        <v>64</v>
      </c>
      <c r="P1247" s="1" t="s">
        <v>65</v>
      </c>
      <c r="Q1247" s="1" t="s">
        <v>38</v>
      </c>
      <c r="R1247" s="1" t="s">
        <v>3800</v>
      </c>
      <c r="S1247" s="3">
        <v>917003000000</v>
      </c>
      <c r="T1247" s="1" t="s">
        <v>40</v>
      </c>
      <c r="U1247" s="1">
        <v>71</v>
      </c>
      <c r="V1247" s="1">
        <v>91</v>
      </c>
      <c r="W1247" s="1" t="s">
        <v>41</v>
      </c>
      <c r="X1247" s="1">
        <v>471199</v>
      </c>
      <c r="Y1247" s="2">
        <v>36193</v>
      </c>
      <c r="Z1247" s="1">
        <v>-3.8210262828535599</v>
      </c>
      <c r="AA1247" s="1">
        <v>25</v>
      </c>
      <c r="AB1247" s="1">
        <v>184000</v>
      </c>
      <c r="AC1247" s="1">
        <f t="shared" si="19"/>
        <v>214000</v>
      </c>
    </row>
    <row r="1248" spans="1:29" x14ac:dyDescent="0.25">
      <c r="A1248" s="1" t="s">
        <v>3813</v>
      </c>
      <c r="B1248" s="1" t="s">
        <v>1988</v>
      </c>
      <c r="C1248" s="1" t="s">
        <v>1989</v>
      </c>
      <c r="D1248" s="1">
        <v>2022</v>
      </c>
      <c r="E1248" s="1" t="s">
        <v>31</v>
      </c>
      <c r="F1248" s="1">
        <v>4</v>
      </c>
      <c r="G1248" s="1" t="s">
        <v>32</v>
      </c>
      <c r="H1248" s="1" t="s">
        <v>113</v>
      </c>
      <c r="I1248" s="1">
        <v>169000</v>
      </c>
      <c r="J1248" s="1">
        <v>154000</v>
      </c>
      <c r="K1248" s="1">
        <v>15000</v>
      </c>
      <c r="L1248" s="1">
        <v>0</v>
      </c>
      <c r="M1248" s="1" t="s">
        <v>34</v>
      </c>
      <c r="N1248" s="1" t="s">
        <v>63</v>
      </c>
      <c r="O1248" s="1" t="s">
        <v>84</v>
      </c>
      <c r="P1248" s="1" t="s">
        <v>65</v>
      </c>
      <c r="Q1248" s="1" t="s">
        <v>38</v>
      </c>
      <c r="R1248" s="1" t="s">
        <v>3814</v>
      </c>
      <c r="S1248" s="3">
        <v>919778000000</v>
      </c>
      <c r="T1248" s="1" t="s">
        <v>86</v>
      </c>
      <c r="U1248" s="1">
        <v>71</v>
      </c>
      <c r="V1248" s="1">
        <v>77</v>
      </c>
      <c r="W1248" s="1" t="s">
        <v>41</v>
      </c>
      <c r="X1248" s="1">
        <v>489617</v>
      </c>
      <c r="Y1248" s="2">
        <v>38838</v>
      </c>
      <c r="Z1248" s="1">
        <v>-3.8210262828535599</v>
      </c>
      <c r="AA1248" s="1">
        <v>18</v>
      </c>
      <c r="AB1248" s="1">
        <v>676000</v>
      </c>
      <c r="AC1248" s="1">
        <f t="shared" si="19"/>
        <v>736000</v>
      </c>
    </row>
    <row r="1249" spans="1:29" x14ac:dyDescent="0.25">
      <c r="A1249" s="1" t="s">
        <v>3825</v>
      </c>
      <c r="B1249" s="1" t="s">
        <v>3826</v>
      </c>
      <c r="C1249" s="1" t="s">
        <v>3827</v>
      </c>
      <c r="D1249" s="1">
        <v>2022</v>
      </c>
      <c r="E1249" s="1" t="s">
        <v>31</v>
      </c>
      <c r="F1249" s="1">
        <v>4</v>
      </c>
      <c r="G1249" s="1" t="s">
        <v>32</v>
      </c>
      <c r="H1249" s="1" t="s">
        <v>56</v>
      </c>
      <c r="I1249" s="1">
        <v>169000</v>
      </c>
      <c r="J1249" s="1">
        <v>154000</v>
      </c>
      <c r="K1249" s="1">
        <v>15000</v>
      </c>
      <c r="L1249" s="1">
        <v>0</v>
      </c>
      <c r="M1249" s="1" t="s">
        <v>34</v>
      </c>
      <c r="N1249" s="1" t="s">
        <v>63</v>
      </c>
      <c r="O1249" s="1" t="s">
        <v>84</v>
      </c>
      <c r="P1249" s="1" t="s">
        <v>65</v>
      </c>
      <c r="Q1249" s="1" t="s">
        <v>38</v>
      </c>
      <c r="R1249" s="1" t="s">
        <v>3828</v>
      </c>
      <c r="S1249" s="3">
        <v>917662000000</v>
      </c>
      <c r="T1249" s="1" t="s">
        <v>98</v>
      </c>
      <c r="U1249" s="1">
        <v>71</v>
      </c>
      <c r="V1249" s="1">
        <v>83</v>
      </c>
      <c r="W1249" s="1" t="s">
        <v>52</v>
      </c>
      <c r="X1249" s="1">
        <v>101568</v>
      </c>
      <c r="Y1249" s="2">
        <v>38224</v>
      </c>
      <c r="Z1249" s="1">
        <v>-3.8210262828535599</v>
      </c>
      <c r="AA1249" s="1">
        <v>19</v>
      </c>
      <c r="AB1249" s="1">
        <v>676000</v>
      </c>
      <c r="AC1249" s="1">
        <f t="shared" si="19"/>
        <v>736000</v>
      </c>
    </row>
    <row r="1250" spans="1:29" x14ac:dyDescent="0.25">
      <c r="A1250" s="1" t="s">
        <v>3847</v>
      </c>
      <c r="B1250" s="1" t="s">
        <v>3590</v>
      </c>
      <c r="C1250" s="1" t="s">
        <v>3591</v>
      </c>
      <c r="D1250" s="1">
        <v>2022</v>
      </c>
      <c r="E1250" s="1" t="s">
        <v>45</v>
      </c>
      <c r="F1250" s="1">
        <v>2</v>
      </c>
      <c r="G1250" s="1" t="s">
        <v>46</v>
      </c>
      <c r="H1250" s="1" t="s">
        <v>47</v>
      </c>
      <c r="I1250" s="1">
        <v>92000</v>
      </c>
      <c r="J1250" s="1">
        <v>77000</v>
      </c>
      <c r="K1250" s="1">
        <v>15000</v>
      </c>
      <c r="L1250" s="1">
        <v>0</v>
      </c>
      <c r="M1250" s="1" t="s">
        <v>34</v>
      </c>
      <c r="N1250" s="1" t="s">
        <v>63</v>
      </c>
      <c r="O1250" s="1" t="s">
        <v>188</v>
      </c>
      <c r="P1250" s="1" t="s">
        <v>189</v>
      </c>
      <c r="Q1250" s="1" t="s">
        <v>38</v>
      </c>
      <c r="R1250" s="1" t="s">
        <v>3848</v>
      </c>
      <c r="S1250" s="3">
        <v>917432000000</v>
      </c>
      <c r="T1250" s="1" t="s">
        <v>86</v>
      </c>
      <c r="U1250" s="1">
        <v>70</v>
      </c>
      <c r="V1250" s="1">
        <v>79</v>
      </c>
      <c r="W1250" s="1" t="s">
        <v>52</v>
      </c>
      <c r="X1250" s="1">
        <v>230399</v>
      </c>
      <c r="Y1250" s="2">
        <v>35829</v>
      </c>
      <c r="Z1250" s="1">
        <v>-4.8210262828535599</v>
      </c>
      <c r="AA1250" s="1">
        <v>26</v>
      </c>
      <c r="AB1250" s="1">
        <v>184000</v>
      </c>
      <c r="AC1250" s="1">
        <f t="shared" si="19"/>
        <v>214000</v>
      </c>
    </row>
    <row r="1251" spans="1:29" x14ac:dyDescent="0.25">
      <c r="A1251" s="1" t="s">
        <v>3877</v>
      </c>
      <c r="B1251" s="1" t="s">
        <v>3878</v>
      </c>
      <c r="C1251" s="1" t="s">
        <v>3879</v>
      </c>
      <c r="D1251" s="1">
        <v>2022</v>
      </c>
      <c r="E1251" s="1" t="s">
        <v>31</v>
      </c>
      <c r="F1251" s="1">
        <v>4</v>
      </c>
      <c r="G1251" s="1" t="s">
        <v>32</v>
      </c>
      <c r="H1251" s="1" t="s">
        <v>122</v>
      </c>
      <c r="I1251" s="1">
        <v>169000</v>
      </c>
      <c r="J1251" s="1">
        <v>154000</v>
      </c>
      <c r="K1251" s="1">
        <v>15000</v>
      </c>
      <c r="L1251" s="1">
        <v>0</v>
      </c>
      <c r="M1251" s="1" t="s">
        <v>34</v>
      </c>
      <c r="N1251" s="1" t="s">
        <v>70</v>
      </c>
      <c r="O1251" s="1" t="s">
        <v>78</v>
      </c>
      <c r="P1251" s="1" t="s">
        <v>79</v>
      </c>
      <c r="Q1251" s="1" t="s">
        <v>38</v>
      </c>
      <c r="R1251" s="1" t="s">
        <v>3880</v>
      </c>
      <c r="S1251" s="3">
        <v>919370000000</v>
      </c>
      <c r="T1251" s="1" t="s">
        <v>98</v>
      </c>
      <c r="U1251" s="1">
        <v>70</v>
      </c>
      <c r="V1251" s="1">
        <v>89</v>
      </c>
      <c r="W1251" s="1" t="s">
        <v>41</v>
      </c>
      <c r="X1251" s="1">
        <v>487477</v>
      </c>
      <c r="Y1251" s="2">
        <v>38462</v>
      </c>
      <c r="Z1251" s="1">
        <v>-4.8210262828535599</v>
      </c>
      <c r="AA1251" s="1">
        <v>19</v>
      </c>
      <c r="AB1251" s="1">
        <v>676000</v>
      </c>
      <c r="AC1251" s="1">
        <f t="shared" si="19"/>
        <v>736000</v>
      </c>
    </row>
    <row r="1252" spans="1:29" x14ac:dyDescent="0.25">
      <c r="A1252" s="1" t="s">
        <v>3915</v>
      </c>
      <c r="B1252" s="1" t="s">
        <v>3916</v>
      </c>
      <c r="C1252" s="1" t="s">
        <v>3917</v>
      </c>
      <c r="D1252" s="1">
        <v>2022</v>
      </c>
      <c r="E1252" s="1" t="s">
        <v>31</v>
      </c>
      <c r="F1252" s="1">
        <v>4</v>
      </c>
      <c r="G1252" s="1" t="s">
        <v>32</v>
      </c>
      <c r="H1252" s="1" t="s">
        <v>122</v>
      </c>
      <c r="I1252" s="1">
        <v>169000</v>
      </c>
      <c r="J1252" s="1">
        <v>154000</v>
      </c>
      <c r="K1252" s="1">
        <v>15000</v>
      </c>
      <c r="L1252" s="1">
        <v>0</v>
      </c>
      <c r="M1252" s="1" t="s">
        <v>34</v>
      </c>
      <c r="N1252" s="1" t="s">
        <v>70</v>
      </c>
      <c r="O1252" s="1" t="s">
        <v>103</v>
      </c>
      <c r="P1252" s="1" t="s">
        <v>104</v>
      </c>
      <c r="Q1252" s="1" t="s">
        <v>38</v>
      </c>
      <c r="R1252" s="1" t="s">
        <v>3918</v>
      </c>
      <c r="S1252" s="3">
        <v>918267000000</v>
      </c>
      <c r="T1252" s="1" t="s">
        <v>40</v>
      </c>
      <c r="U1252" s="1">
        <v>70</v>
      </c>
      <c r="V1252" s="1">
        <v>85</v>
      </c>
      <c r="W1252" s="1" t="s">
        <v>41</v>
      </c>
      <c r="X1252" s="1">
        <v>797821</v>
      </c>
      <c r="Y1252" s="2">
        <v>38743</v>
      </c>
      <c r="Z1252" s="1">
        <v>-4.8210262828535599</v>
      </c>
      <c r="AA1252" s="1">
        <v>18</v>
      </c>
      <c r="AB1252" s="1">
        <v>676000</v>
      </c>
      <c r="AC1252" s="1">
        <f t="shared" si="19"/>
        <v>736000</v>
      </c>
    </row>
    <row r="1253" spans="1:29" x14ac:dyDescent="0.25">
      <c r="A1253" s="1" t="s">
        <v>3923</v>
      </c>
      <c r="B1253" s="1" t="s">
        <v>1767</v>
      </c>
      <c r="C1253" s="1" t="s">
        <v>1768</v>
      </c>
      <c r="D1253" s="1">
        <v>2022</v>
      </c>
      <c r="E1253" s="1" t="s">
        <v>31</v>
      </c>
      <c r="F1253" s="1">
        <v>4</v>
      </c>
      <c r="G1253" s="1" t="s">
        <v>32</v>
      </c>
      <c r="H1253" s="1" t="s">
        <v>56</v>
      </c>
      <c r="I1253" s="1">
        <v>169000</v>
      </c>
      <c r="J1253" s="1">
        <v>154000</v>
      </c>
      <c r="K1253" s="1">
        <v>15000</v>
      </c>
      <c r="L1253" s="1">
        <v>0</v>
      </c>
      <c r="M1253" s="1" t="s">
        <v>34</v>
      </c>
      <c r="N1253" s="1" t="s">
        <v>70</v>
      </c>
      <c r="O1253" s="1" t="s">
        <v>103</v>
      </c>
      <c r="P1253" s="1" t="s">
        <v>104</v>
      </c>
      <c r="Q1253" s="1" t="s">
        <v>38</v>
      </c>
      <c r="R1253" s="1" t="s">
        <v>3924</v>
      </c>
      <c r="S1253" s="3">
        <v>919947000000</v>
      </c>
      <c r="T1253" s="1" t="s">
        <v>40</v>
      </c>
      <c r="U1253" s="1">
        <v>70</v>
      </c>
      <c r="V1253" s="1">
        <v>68</v>
      </c>
      <c r="W1253" s="1" t="s">
        <v>41</v>
      </c>
      <c r="X1253" s="1">
        <v>667250</v>
      </c>
      <c r="Y1253" s="2">
        <v>37938</v>
      </c>
      <c r="Z1253" s="1">
        <v>-4.8210262828535599</v>
      </c>
      <c r="AA1253" s="1">
        <v>20</v>
      </c>
      <c r="AB1253" s="1">
        <v>676000</v>
      </c>
      <c r="AC1253" s="1">
        <f t="shared" si="19"/>
        <v>736000</v>
      </c>
    </row>
    <row r="1254" spans="1:29" x14ac:dyDescent="0.25">
      <c r="A1254" s="1" t="s">
        <v>3929</v>
      </c>
      <c r="B1254" s="1" t="s">
        <v>3930</v>
      </c>
      <c r="C1254" s="1" t="s">
        <v>3931</v>
      </c>
      <c r="D1254" s="1">
        <v>2022</v>
      </c>
      <c r="E1254" s="1" t="s">
        <v>31</v>
      </c>
      <c r="F1254" s="1">
        <v>4</v>
      </c>
      <c r="G1254" s="1" t="s">
        <v>32</v>
      </c>
      <c r="H1254" s="1" t="s">
        <v>151</v>
      </c>
      <c r="I1254" s="1">
        <v>169000</v>
      </c>
      <c r="J1254" s="1">
        <v>154000</v>
      </c>
      <c r="K1254" s="1">
        <v>15000</v>
      </c>
      <c r="L1254" s="1">
        <v>0</v>
      </c>
      <c r="M1254" s="1" t="s">
        <v>34</v>
      </c>
      <c r="N1254" s="1" t="s">
        <v>70</v>
      </c>
      <c r="O1254" s="1" t="s">
        <v>36</v>
      </c>
      <c r="P1254" s="1" t="s">
        <v>37</v>
      </c>
      <c r="Q1254" s="1" t="s">
        <v>38</v>
      </c>
      <c r="R1254" s="1" t="s">
        <v>3932</v>
      </c>
      <c r="S1254" s="3">
        <v>919021000000</v>
      </c>
      <c r="T1254" s="1" t="s">
        <v>86</v>
      </c>
      <c r="U1254" s="1">
        <v>70</v>
      </c>
      <c r="V1254" s="1">
        <v>81</v>
      </c>
      <c r="W1254" s="1" t="s">
        <v>41</v>
      </c>
      <c r="X1254" s="1">
        <v>173800</v>
      </c>
      <c r="Y1254" s="2">
        <v>38679</v>
      </c>
      <c r="Z1254" s="1">
        <v>-4.8210262828535599</v>
      </c>
      <c r="AA1254" s="1">
        <v>18</v>
      </c>
      <c r="AB1254" s="1">
        <v>676000</v>
      </c>
      <c r="AC1254" s="1">
        <f t="shared" si="19"/>
        <v>736000</v>
      </c>
    </row>
    <row r="1255" spans="1:29" x14ac:dyDescent="0.25">
      <c r="A1255" s="1" t="s">
        <v>3955</v>
      </c>
      <c r="B1255" s="1" t="s">
        <v>1721</v>
      </c>
      <c r="C1255" s="1" t="s">
        <v>1722</v>
      </c>
      <c r="D1255" s="1">
        <v>2022</v>
      </c>
      <c r="E1255" s="1" t="s">
        <v>31</v>
      </c>
      <c r="F1255" s="1">
        <v>4</v>
      </c>
      <c r="G1255" s="1" t="s">
        <v>32</v>
      </c>
      <c r="H1255" s="1" t="s">
        <v>113</v>
      </c>
      <c r="I1255" s="1">
        <v>169000</v>
      </c>
      <c r="J1255" s="1">
        <v>154000</v>
      </c>
      <c r="K1255" s="1">
        <v>15000</v>
      </c>
      <c r="L1255" s="1">
        <v>0</v>
      </c>
      <c r="M1255" s="1" t="s">
        <v>34</v>
      </c>
      <c r="N1255" s="1" t="s">
        <v>70</v>
      </c>
      <c r="O1255" s="1" t="s">
        <v>103</v>
      </c>
      <c r="P1255" s="1" t="s">
        <v>104</v>
      </c>
      <c r="Q1255" s="1" t="s">
        <v>38</v>
      </c>
      <c r="R1255" s="1" t="s">
        <v>3956</v>
      </c>
      <c r="S1255" s="3">
        <v>919776000000</v>
      </c>
      <c r="T1255" s="1" t="s">
        <v>98</v>
      </c>
      <c r="U1255" s="1">
        <v>70</v>
      </c>
      <c r="V1255" s="1">
        <v>61</v>
      </c>
      <c r="W1255" s="1" t="s">
        <v>52</v>
      </c>
      <c r="X1255" s="1">
        <v>690828</v>
      </c>
      <c r="Y1255" s="2">
        <v>37546</v>
      </c>
      <c r="Z1255" s="1">
        <v>-4.8210262828535599</v>
      </c>
      <c r="AA1255" s="1">
        <v>21</v>
      </c>
      <c r="AB1255" s="1">
        <v>676000</v>
      </c>
      <c r="AC1255" s="1">
        <f t="shared" si="19"/>
        <v>736000</v>
      </c>
    </row>
    <row r="1256" spans="1:29" x14ac:dyDescent="0.25">
      <c r="A1256" s="1" t="s">
        <v>3973</v>
      </c>
      <c r="B1256" s="1" t="s">
        <v>3974</v>
      </c>
      <c r="C1256" s="1" t="s">
        <v>3975</v>
      </c>
      <c r="D1256" s="1">
        <v>2022</v>
      </c>
      <c r="E1256" s="1" t="s">
        <v>31</v>
      </c>
      <c r="F1256" s="1">
        <v>4</v>
      </c>
      <c r="G1256" s="1" t="s">
        <v>32</v>
      </c>
      <c r="H1256" s="1" t="s">
        <v>113</v>
      </c>
      <c r="I1256" s="1">
        <v>169000</v>
      </c>
      <c r="J1256" s="1">
        <v>154000</v>
      </c>
      <c r="K1256" s="1">
        <v>15000</v>
      </c>
      <c r="L1256" s="1">
        <v>0</v>
      </c>
      <c r="M1256" s="1" t="s">
        <v>34</v>
      </c>
      <c r="N1256" s="1" t="s">
        <v>63</v>
      </c>
      <c r="O1256" s="1" t="s">
        <v>78</v>
      </c>
      <c r="P1256" s="1" t="s">
        <v>79</v>
      </c>
      <c r="Q1256" s="1" t="s">
        <v>38</v>
      </c>
      <c r="R1256" s="1" t="s">
        <v>3976</v>
      </c>
      <c r="S1256" s="3">
        <v>917560000000</v>
      </c>
      <c r="T1256" s="1" t="s">
        <v>40</v>
      </c>
      <c r="U1256" s="1">
        <v>69</v>
      </c>
      <c r="V1256" s="1">
        <v>86</v>
      </c>
      <c r="W1256" s="1" t="s">
        <v>41</v>
      </c>
      <c r="X1256" s="1">
        <v>423286</v>
      </c>
      <c r="Y1256" s="2">
        <v>38665</v>
      </c>
      <c r="Z1256" s="1">
        <v>-5.8210262828535599</v>
      </c>
      <c r="AA1256" s="1">
        <v>18</v>
      </c>
      <c r="AB1256" s="1">
        <v>676000</v>
      </c>
      <c r="AC1256" s="1">
        <f t="shared" si="19"/>
        <v>736000</v>
      </c>
    </row>
    <row r="1257" spans="1:29" x14ac:dyDescent="0.25">
      <c r="A1257" s="1" t="s">
        <v>3981</v>
      </c>
      <c r="B1257" s="1" t="s">
        <v>3982</v>
      </c>
      <c r="C1257" s="1" t="s">
        <v>3983</v>
      </c>
      <c r="D1257" s="1">
        <v>2022</v>
      </c>
      <c r="E1257" s="1" t="s">
        <v>31</v>
      </c>
      <c r="F1257" s="1">
        <v>4</v>
      </c>
      <c r="G1257" s="1" t="s">
        <v>32</v>
      </c>
      <c r="H1257" s="1" t="s">
        <v>62</v>
      </c>
      <c r="I1257" s="1">
        <v>169000</v>
      </c>
      <c r="J1257" s="1">
        <v>154000</v>
      </c>
      <c r="K1257" s="1">
        <v>15000</v>
      </c>
      <c r="L1257" s="1">
        <v>0</v>
      </c>
      <c r="M1257" s="1" t="s">
        <v>34</v>
      </c>
      <c r="N1257" s="1" t="s">
        <v>35</v>
      </c>
      <c r="O1257" s="1" t="s">
        <v>78</v>
      </c>
      <c r="P1257" s="1" t="s">
        <v>79</v>
      </c>
      <c r="Q1257" s="1" t="s">
        <v>38</v>
      </c>
      <c r="R1257" s="1" t="s">
        <v>3984</v>
      </c>
      <c r="S1257" s="3">
        <v>918160000000</v>
      </c>
      <c r="T1257" s="1" t="s">
        <v>86</v>
      </c>
      <c r="U1257" s="1">
        <v>69</v>
      </c>
      <c r="V1257" s="1">
        <v>86</v>
      </c>
      <c r="W1257" s="1" t="s">
        <v>52</v>
      </c>
      <c r="X1257" s="1">
        <v>112206</v>
      </c>
      <c r="Y1257" s="2">
        <v>37196</v>
      </c>
      <c r="Z1257" s="1">
        <v>-5.8210262828535599</v>
      </c>
      <c r="AA1257" s="1">
        <v>22</v>
      </c>
      <c r="AB1257" s="1">
        <v>676000</v>
      </c>
      <c r="AC1257" s="1">
        <f t="shared" si="19"/>
        <v>736000</v>
      </c>
    </row>
    <row r="1258" spans="1:29" x14ac:dyDescent="0.25">
      <c r="A1258" s="1" t="s">
        <v>4098</v>
      </c>
      <c r="B1258" s="1" t="s">
        <v>4099</v>
      </c>
      <c r="C1258" s="1" t="s">
        <v>4100</v>
      </c>
      <c r="D1258" s="1">
        <v>2022</v>
      </c>
      <c r="E1258" s="1" t="s">
        <v>31</v>
      </c>
      <c r="F1258" s="1">
        <v>4</v>
      </c>
      <c r="G1258" s="1" t="s">
        <v>32</v>
      </c>
      <c r="H1258" s="1" t="s">
        <v>122</v>
      </c>
      <c r="I1258" s="1">
        <v>169000</v>
      </c>
      <c r="J1258" s="1">
        <v>154000</v>
      </c>
      <c r="K1258" s="1">
        <v>15000</v>
      </c>
      <c r="L1258" s="1">
        <v>0</v>
      </c>
      <c r="M1258" s="1" t="s">
        <v>34</v>
      </c>
      <c r="N1258" s="1" t="s">
        <v>70</v>
      </c>
      <c r="O1258" s="1" t="s">
        <v>36</v>
      </c>
      <c r="P1258" s="1" t="s">
        <v>37</v>
      </c>
      <c r="Q1258" s="1" t="s">
        <v>38</v>
      </c>
      <c r="R1258" s="1" t="s">
        <v>4101</v>
      </c>
      <c r="S1258" s="3">
        <v>917969000000</v>
      </c>
      <c r="T1258" s="1" t="s">
        <v>40</v>
      </c>
      <c r="U1258" s="1">
        <v>69</v>
      </c>
      <c r="V1258" s="1">
        <v>82</v>
      </c>
      <c r="W1258" s="1" t="s">
        <v>52</v>
      </c>
      <c r="X1258" s="1">
        <v>587126</v>
      </c>
      <c r="Y1258" s="2">
        <v>37965</v>
      </c>
      <c r="Z1258" s="1">
        <v>-5.8210262828535599</v>
      </c>
      <c r="AA1258" s="1">
        <v>20</v>
      </c>
      <c r="AB1258" s="1">
        <v>676000</v>
      </c>
      <c r="AC1258" s="1">
        <f t="shared" si="19"/>
        <v>736000</v>
      </c>
    </row>
    <row r="1259" spans="1:29" x14ac:dyDescent="0.25">
      <c r="A1259" s="1" t="s">
        <v>4112</v>
      </c>
      <c r="B1259" s="1" t="s">
        <v>4113</v>
      </c>
      <c r="C1259" s="1" t="s">
        <v>4114</v>
      </c>
      <c r="D1259" s="1">
        <v>2022</v>
      </c>
      <c r="E1259" s="1" t="s">
        <v>31</v>
      </c>
      <c r="F1259" s="1">
        <v>4</v>
      </c>
      <c r="G1259" s="1" t="s">
        <v>32</v>
      </c>
      <c r="H1259" s="1" t="s">
        <v>56</v>
      </c>
      <c r="I1259" s="1">
        <v>169000</v>
      </c>
      <c r="J1259" s="1">
        <v>154000</v>
      </c>
      <c r="K1259" s="1">
        <v>15000</v>
      </c>
      <c r="L1259" s="1">
        <v>0</v>
      </c>
      <c r="M1259" s="1" t="s">
        <v>34</v>
      </c>
      <c r="N1259" s="1" t="s">
        <v>35</v>
      </c>
      <c r="O1259" s="1" t="s">
        <v>36</v>
      </c>
      <c r="P1259" s="1" t="s">
        <v>37</v>
      </c>
      <c r="Q1259" s="1" t="s">
        <v>38</v>
      </c>
      <c r="R1259" s="1" t="s">
        <v>4115</v>
      </c>
      <c r="S1259" s="3">
        <v>919584000000</v>
      </c>
      <c r="T1259" s="1" t="s">
        <v>98</v>
      </c>
      <c r="U1259" s="1">
        <v>69</v>
      </c>
      <c r="V1259" s="1">
        <v>88</v>
      </c>
      <c r="W1259" s="1" t="s">
        <v>52</v>
      </c>
      <c r="X1259" s="1">
        <v>356793</v>
      </c>
      <c r="Y1259" s="2">
        <v>38051</v>
      </c>
      <c r="Z1259" s="1">
        <v>-5.8210262828535599</v>
      </c>
      <c r="AA1259" s="1">
        <v>20</v>
      </c>
      <c r="AB1259" s="1">
        <v>676000</v>
      </c>
      <c r="AC1259" s="1">
        <f t="shared" si="19"/>
        <v>736000</v>
      </c>
    </row>
    <row r="1260" spans="1:29" x14ac:dyDescent="0.25">
      <c r="A1260" s="1" t="s">
        <v>4118</v>
      </c>
      <c r="B1260" s="1" t="s">
        <v>1942</v>
      </c>
      <c r="C1260" s="1" t="s">
        <v>1943</v>
      </c>
      <c r="D1260" s="1">
        <v>2022</v>
      </c>
      <c r="E1260" s="1" t="s">
        <v>31</v>
      </c>
      <c r="F1260" s="1">
        <v>4</v>
      </c>
      <c r="G1260" s="1" t="s">
        <v>32</v>
      </c>
      <c r="H1260" s="1" t="s">
        <v>210</v>
      </c>
      <c r="I1260" s="1">
        <v>169000</v>
      </c>
      <c r="J1260" s="1">
        <v>154000</v>
      </c>
      <c r="K1260" s="1">
        <v>15000</v>
      </c>
      <c r="L1260" s="1">
        <v>0</v>
      </c>
      <c r="M1260" s="1" t="s">
        <v>34</v>
      </c>
      <c r="N1260" s="1" t="s">
        <v>63</v>
      </c>
      <c r="O1260" s="1" t="s">
        <v>57</v>
      </c>
      <c r="P1260" s="1" t="s">
        <v>57</v>
      </c>
      <c r="Q1260" s="1" t="s">
        <v>38</v>
      </c>
      <c r="R1260" s="1" t="s">
        <v>4119</v>
      </c>
      <c r="S1260" s="3">
        <v>918225000000</v>
      </c>
      <c r="T1260" s="1" t="s">
        <v>51</v>
      </c>
      <c r="U1260" s="1">
        <v>69</v>
      </c>
      <c r="V1260" s="1">
        <v>87</v>
      </c>
      <c r="W1260" s="1" t="s">
        <v>41</v>
      </c>
      <c r="X1260" s="1">
        <v>299159</v>
      </c>
      <c r="Y1260" s="2">
        <v>38793</v>
      </c>
      <c r="Z1260" s="1">
        <v>-5.8210262828535599</v>
      </c>
      <c r="AA1260" s="1">
        <v>18</v>
      </c>
      <c r="AB1260" s="1">
        <v>676000</v>
      </c>
      <c r="AC1260" s="1">
        <f t="shared" si="19"/>
        <v>736000</v>
      </c>
    </row>
    <row r="1261" spans="1:29" x14ac:dyDescent="0.25">
      <c r="A1261" s="1" t="s">
        <v>4140</v>
      </c>
      <c r="B1261" s="1" t="s">
        <v>4141</v>
      </c>
      <c r="C1261" s="1" t="s">
        <v>4142</v>
      </c>
      <c r="D1261" s="1">
        <v>2022</v>
      </c>
      <c r="E1261" s="1" t="s">
        <v>31</v>
      </c>
      <c r="F1261" s="1">
        <v>4</v>
      </c>
      <c r="G1261" s="1" t="s">
        <v>32</v>
      </c>
      <c r="H1261" s="1" t="s">
        <v>90</v>
      </c>
      <c r="I1261" s="1">
        <v>169000</v>
      </c>
      <c r="J1261" s="1">
        <v>154000</v>
      </c>
      <c r="K1261" s="1">
        <v>15000</v>
      </c>
      <c r="L1261" s="1">
        <v>0</v>
      </c>
      <c r="M1261" s="1" t="s">
        <v>34</v>
      </c>
      <c r="N1261" s="1" t="s">
        <v>35</v>
      </c>
      <c r="O1261" s="1" t="s">
        <v>36</v>
      </c>
      <c r="P1261" s="1" t="s">
        <v>37</v>
      </c>
      <c r="Q1261" s="1" t="s">
        <v>38</v>
      </c>
      <c r="R1261" s="1" t="s">
        <v>4143</v>
      </c>
      <c r="S1261" s="3">
        <v>918426000000</v>
      </c>
      <c r="T1261" s="1" t="s">
        <v>51</v>
      </c>
      <c r="U1261" s="1">
        <v>68</v>
      </c>
      <c r="V1261" s="1">
        <v>76</v>
      </c>
      <c r="W1261" s="1" t="s">
        <v>41</v>
      </c>
      <c r="X1261" s="1">
        <v>165902</v>
      </c>
      <c r="Y1261" s="2">
        <v>37161</v>
      </c>
      <c r="Z1261" s="1">
        <v>-6.8210262828535599</v>
      </c>
      <c r="AA1261" s="1">
        <v>22</v>
      </c>
      <c r="AB1261" s="1">
        <v>676000</v>
      </c>
      <c r="AC1261" s="1">
        <f t="shared" si="19"/>
        <v>736000</v>
      </c>
    </row>
    <row r="1262" spans="1:29" x14ac:dyDescent="0.25">
      <c r="A1262" s="1" t="s">
        <v>4152</v>
      </c>
      <c r="B1262" s="1" t="s">
        <v>2504</v>
      </c>
      <c r="C1262" s="1" t="s">
        <v>2505</v>
      </c>
      <c r="D1262" s="1">
        <v>2022</v>
      </c>
      <c r="E1262" s="1" t="s">
        <v>45</v>
      </c>
      <c r="F1262" s="1">
        <v>2</v>
      </c>
      <c r="G1262" s="1" t="s">
        <v>46</v>
      </c>
      <c r="H1262" s="1" t="s">
        <v>90</v>
      </c>
      <c r="I1262" s="1">
        <v>92000</v>
      </c>
      <c r="J1262" s="1">
        <v>77000</v>
      </c>
      <c r="K1262" s="1">
        <v>15000</v>
      </c>
      <c r="L1262" s="1">
        <v>0</v>
      </c>
      <c r="M1262" s="1" t="s">
        <v>34</v>
      </c>
      <c r="N1262" s="1" t="s">
        <v>35</v>
      </c>
      <c r="O1262" s="1" t="s">
        <v>48</v>
      </c>
      <c r="P1262" s="1" t="s">
        <v>49</v>
      </c>
      <c r="Q1262" s="1" t="s">
        <v>38</v>
      </c>
      <c r="R1262" s="1" t="s">
        <v>4153</v>
      </c>
      <c r="S1262" s="3">
        <v>919105000000</v>
      </c>
      <c r="T1262" s="1" t="s">
        <v>74</v>
      </c>
      <c r="U1262" s="1">
        <v>68</v>
      </c>
      <c r="V1262" s="1">
        <v>79</v>
      </c>
      <c r="W1262" s="1" t="s">
        <v>52</v>
      </c>
      <c r="X1262" s="1">
        <v>186583</v>
      </c>
      <c r="Y1262" s="2">
        <v>36289</v>
      </c>
      <c r="Z1262" s="1">
        <v>-6.8210262828535599</v>
      </c>
      <c r="AA1262" s="1">
        <v>25</v>
      </c>
      <c r="AB1262" s="1">
        <v>184000</v>
      </c>
      <c r="AC1262" s="1">
        <f t="shared" si="19"/>
        <v>214000</v>
      </c>
    </row>
    <row r="1263" spans="1:29" x14ac:dyDescent="0.25">
      <c r="A1263" s="1" t="s">
        <v>207</v>
      </c>
      <c r="B1263" s="1" t="s">
        <v>4156</v>
      </c>
      <c r="C1263" s="1" t="s">
        <v>4157</v>
      </c>
      <c r="D1263" s="1">
        <v>2022</v>
      </c>
      <c r="E1263" s="1" t="s">
        <v>31</v>
      </c>
      <c r="F1263" s="1">
        <v>4</v>
      </c>
      <c r="G1263" s="1" t="s">
        <v>32</v>
      </c>
      <c r="H1263" s="1" t="s">
        <v>151</v>
      </c>
      <c r="I1263" s="1">
        <v>169000</v>
      </c>
      <c r="J1263" s="1">
        <v>154000</v>
      </c>
      <c r="K1263" s="1">
        <v>15000</v>
      </c>
      <c r="L1263" s="1">
        <v>0</v>
      </c>
      <c r="M1263" s="1" t="s">
        <v>34</v>
      </c>
      <c r="N1263" s="1" t="s">
        <v>70</v>
      </c>
      <c r="O1263" s="1" t="s">
        <v>78</v>
      </c>
      <c r="P1263" s="1" t="s">
        <v>79</v>
      </c>
      <c r="Q1263" s="1" t="s">
        <v>38</v>
      </c>
      <c r="R1263" s="1" t="s">
        <v>4158</v>
      </c>
      <c r="S1263" s="3">
        <v>919459000000</v>
      </c>
      <c r="T1263" s="1" t="s">
        <v>74</v>
      </c>
      <c r="U1263" s="1">
        <v>68</v>
      </c>
      <c r="V1263" s="1">
        <v>74</v>
      </c>
      <c r="W1263" s="1" t="s">
        <v>52</v>
      </c>
      <c r="X1263" s="1">
        <v>184876</v>
      </c>
      <c r="Y1263" s="2">
        <v>37507</v>
      </c>
      <c r="Z1263" s="1">
        <v>-6.8210262828535599</v>
      </c>
      <c r="AA1263" s="1">
        <v>21</v>
      </c>
      <c r="AB1263" s="1">
        <v>676000</v>
      </c>
      <c r="AC1263" s="1">
        <f t="shared" si="19"/>
        <v>736000</v>
      </c>
    </row>
    <row r="1264" spans="1:29" x14ac:dyDescent="0.25">
      <c r="A1264" s="1" t="s">
        <v>4167</v>
      </c>
      <c r="B1264" s="1" t="s">
        <v>2720</v>
      </c>
      <c r="C1264" s="1" t="s">
        <v>2721</v>
      </c>
      <c r="D1264" s="1">
        <v>2022</v>
      </c>
      <c r="E1264" s="1" t="s">
        <v>31</v>
      </c>
      <c r="F1264" s="1">
        <v>4</v>
      </c>
      <c r="G1264" s="1" t="s">
        <v>32</v>
      </c>
      <c r="H1264" s="1" t="s">
        <v>33</v>
      </c>
      <c r="I1264" s="1">
        <v>169000</v>
      </c>
      <c r="J1264" s="1">
        <v>154000</v>
      </c>
      <c r="K1264" s="1">
        <v>15000</v>
      </c>
      <c r="L1264" s="1">
        <v>0</v>
      </c>
      <c r="M1264" s="1" t="s">
        <v>34</v>
      </c>
      <c r="N1264" s="1" t="s">
        <v>70</v>
      </c>
      <c r="O1264" s="1" t="s">
        <v>36</v>
      </c>
      <c r="P1264" s="1" t="s">
        <v>37</v>
      </c>
      <c r="Q1264" s="1" t="s">
        <v>38</v>
      </c>
      <c r="R1264" s="1" t="s">
        <v>4168</v>
      </c>
      <c r="S1264" s="3">
        <v>919427000000</v>
      </c>
      <c r="T1264" s="1" t="s">
        <v>51</v>
      </c>
      <c r="U1264" s="1">
        <v>68</v>
      </c>
      <c r="V1264" s="1">
        <v>65</v>
      </c>
      <c r="W1264" s="1" t="s">
        <v>41</v>
      </c>
      <c r="X1264" s="1">
        <v>554739</v>
      </c>
      <c r="Y1264" s="2">
        <v>36986</v>
      </c>
      <c r="Z1264" s="1">
        <v>-6.8210262828535599</v>
      </c>
      <c r="AA1264" s="1">
        <v>23</v>
      </c>
      <c r="AB1264" s="1">
        <v>676000</v>
      </c>
      <c r="AC1264" s="1">
        <f t="shared" si="19"/>
        <v>736000</v>
      </c>
    </row>
    <row r="1265" spans="1:29" x14ac:dyDescent="0.25">
      <c r="A1265" s="1" t="s">
        <v>4191</v>
      </c>
      <c r="B1265" s="1" t="s">
        <v>4192</v>
      </c>
      <c r="C1265" s="1" t="s">
        <v>4193</v>
      </c>
      <c r="D1265" s="1">
        <v>2022</v>
      </c>
      <c r="E1265" s="1" t="s">
        <v>31</v>
      </c>
      <c r="F1265" s="1">
        <v>4</v>
      </c>
      <c r="G1265" s="1" t="s">
        <v>32</v>
      </c>
      <c r="H1265" s="1" t="s">
        <v>210</v>
      </c>
      <c r="I1265" s="1">
        <v>169000</v>
      </c>
      <c r="J1265" s="1">
        <v>154000</v>
      </c>
      <c r="K1265" s="1">
        <v>15000</v>
      </c>
      <c r="L1265" s="1">
        <v>0</v>
      </c>
      <c r="M1265" s="1" t="s">
        <v>34</v>
      </c>
      <c r="N1265" s="1" t="s">
        <v>70</v>
      </c>
      <c r="O1265" s="1" t="s">
        <v>57</v>
      </c>
      <c r="P1265" s="1" t="s">
        <v>57</v>
      </c>
      <c r="Q1265" s="1" t="s">
        <v>38</v>
      </c>
      <c r="R1265" s="1" t="s">
        <v>4194</v>
      </c>
      <c r="S1265" s="3">
        <v>918348000000</v>
      </c>
      <c r="T1265" s="1" t="s">
        <v>86</v>
      </c>
      <c r="U1265" s="1">
        <v>68</v>
      </c>
      <c r="V1265" s="1">
        <v>91</v>
      </c>
      <c r="W1265" s="1" t="s">
        <v>41</v>
      </c>
      <c r="X1265" s="1">
        <v>247308</v>
      </c>
      <c r="Y1265" s="2">
        <v>37779</v>
      </c>
      <c r="Z1265" s="1">
        <v>-6.8210262828535599</v>
      </c>
      <c r="AA1265" s="1">
        <v>21</v>
      </c>
      <c r="AB1265" s="1">
        <v>676000</v>
      </c>
      <c r="AC1265" s="1">
        <f t="shared" si="19"/>
        <v>736000</v>
      </c>
    </row>
    <row r="1266" spans="1:29" x14ac:dyDescent="0.25">
      <c r="A1266" s="1" t="s">
        <v>4239</v>
      </c>
      <c r="B1266" s="1" t="s">
        <v>4240</v>
      </c>
      <c r="C1266" s="1" t="s">
        <v>4241</v>
      </c>
      <c r="D1266" s="1">
        <v>2022</v>
      </c>
      <c r="E1266" s="1" t="s">
        <v>31</v>
      </c>
      <c r="F1266" s="1">
        <v>4</v>
      </c>
      <c r="G1266" s="1" t="s">
        <v>32</v>
      </c>
      <c r="H1266" s="1" t="s">
        <v>122</v>
      </c>
      <c r="I1266" s="1">
        <v>169000</v>
      </c>
      <c r="J1266" s="1">
        <v>154000</v>
      </c>
      <c r="K1266" s="1">
        <v>15000</v>
      </c>
      <c r="L1266" s="1">
        <v>0</v>
      </c>
      <c r="M1266" s="1" t="s">
        <v>34</v>
      </c>
      <c r="N1266" s="1" t="s">
        <v>63</v>
      </c>
      <c r="O1266" s="1" t="s">
        <v>78</v>
      </c>
      <c r="P1266" s="1" t="s">
        <v>79</v>
      </c>
      <c r="Q1266" s="1" t="s">
        <v>38</v>
      </c>
      <c r="R1266" s="1" t="s">
        <v>4242</v>
      </c>
      <c r="S1266" s="3">
        <v>917181000000</v>
      </c>
      <c r="T1266" s="1" t="s">
        <v>51</v>
      </c>
      <c r="U1266" s="1">
        <v>68</v>
      </c>
      <c r="V1266" s="1">
        <v>60</v>
      </c>
      <c r="W1266" s="1" t="s">
        <v>41</v>
      </c>
      <c r="X1266" s="1">
        <v>725081</v>
      </c>
      <c r="Y1266" s="2">
        <v>38222</v>
      </c>
      <c r="Z1266" s="1">
        <v>-6.8210262828535599</v>
      </c>
      <c r="AA1266" s="1">
        <v>19</v>
      </c>
      <c r="AB1266" s="1">
        <v>676000</v>
      </c>
      <c r="AC1266" s="1">
        <f t="shared" si="19"/>
        <v>736000</v>
      </c>
    </row>
    <row r="1267" spans="1:29" x14ac:dyDescent="0.25">
      <c r="A1267" s="1" t="s">
        <v>4243</v>
      </c>
      <c r="B1267" s="1" t="s">
        <v>4244</v>
      </c>
      <c r="C1267" s="1" t="s">
        <v>4245</v>
      </c>
      <c r="D1267" s="1">
        <v>2022</v>
      </c>
      <c r="E1267" s="1" t="s">
        <v>31</v>
      </c>
      <c r="F1267" s="1">
        <v>4</v>
      </c>
      <c r="G1267" s="1" t="s">
        <v>32</v>
      </c>
      <c r="H1267" s="1" t="s">
        <v>122</v>
      </c>
      <c r="I1267" s="1">
        <v>169000</v>
      </c>
      <c r="J1267" s="1">
        <v>154000</v>
      </c>
      <c r="K1267" s="1">
        <v>15000</v>
      </c>
      <c r="L1267" s="1">
        <v>0</v>
      </c>
      <c r="M1267" s="1" t="s">
        <v>34</v>
      </c>
      <c r="N1267" s="1" t="s">
        <v>35</v>
      </c>
      <c r="O1267" s="1" t="s">
        <v>84</v>
      </c>
      <c r="P1267" s="1" t="s">
        <v>65</v>
      </c>
      <c r="Q1267" s="1" t="s">
        <v>38</v>
      </c>
      <c r="R1267" s="1" t="s">
        <v>4246</v>
      </c>
      <c r="S1267" s="3">
        <v>917304000000</v>
      </c>
      <c r="T1267" s="1" t="s">
        <v>98</v>
      </c>
      <c r="U1267" s="1">
        <v>68</v>
      </c>
      <c r="V1267" s="1">
        <v>65</v>
      </c>
      <c r="W1267" s="1" t="s">
        <v>52</v>
      </c>
      <c r="X1267" s="1">
        <v>655348</v>
      </c>
      <c r="Y1267" s="2">
        <v>38713</v>
      </c>
      <c r="Z1267" s="1">
        <v>-6.8210262828535599</v>
      </c>
      <c r="AA1267" s="1">
        <v>18</v>
      </c>
      <c r="AB1267" s="1">
        <v>676000</v>
      </c>
      <c r="AC1267" s="1">
        <f t="shared" si="19"/>
        <v>736000</v>
      </c>
    </row>
    <row r="1268" spans="1:29" x14ac:dyDescent="0.25">
      <c r="A1268" s="1" t="s">
        <v>4249</v>
      </c>
      <c r="B1268" s="1" t="s">
        <v>2748</v>
      </c>
      <c r="C1268" s="1" t="s">
        <v>2749</v>
      </c>
      <c r="D1268" s="1">
        <v>2022</v>
      </c>
      <c r="E1268" s="1" t="s">
        <v>31</v>
      </c>
      <c r="F1268" s="1">
        <v>4</v>
      </c>
      <c r="G1268" s="1" t="s">
        <v>32</v>
      </c>
      <c r="H1268" s="1" t="s">
        <v>122</v>
      </c>
      <c r="I1268" s="1">
        <v>169000</v>
      </c>
      <c r="J1268" s="1">
        <v>154000</v>
      </c>
      <c r="K1268" s="1">
        <v>15000</v>
      </c>
      <c r="L1268" s="1">
        <v>0</v>
      </c>
      <c r="M1268" s="1" t="s">
        <v>34</v>
      </c>
      <c r="N1268" s="1" t="s">
        <v>35</v>
      </c>
      <c r="O1268" s="1" t="s">
        <v>71</v>
      </c>
      <c r="P1268" s="1" t="s">
        <v>72</v>
      </c>
      <c r="Q1268" s="1" t="s">
        <v>38</v>
      </c>
      <c r="R1268" s="1" t="s">
        <v>4250</v>
      </c>
      <c r="S1268" s="3">
        <v>917841000000</v>
      </c>
      <c r="T1268" s="1" t="s">
        <v>74</v>
      </c>
      <c r="U1268" s="1">
        <v>68</v>
      </c>
      <c r="V1268" s="1">
        <v>88</v>
      </c>
      <c r="W1268" s="1" t="s">
        <v>41</v>
      </c>
      <c r="X1268" s="1">
        <v>474222</v>
      </c>
      <c r="Y1268" s="2">
        <v>38427</v>
      </c>
      <c r="Z1268" s="1">
        <v>-6.8210262828535599</v>
      </c>
      <c r="AA1268" s="1">
        <v>19</v>
      </c>
      <c r="AB1268" s="1">
        <v>676000</v>
      </c>
      <c r="AC1268" s="1">
        <f t="shared" si="19"/>
        <v>736000</v>
      </c>
    </row>
    <row r="1269" spans="1:29" x14ac:dyDescent="0.25">
      <c r="A1269" s="1" t="s">
        <v>4255</v>
      </c>
      <c r="B1269" s="1" t="s">
        <v>3528</v>
      </c>
      <c r="C1269" s="1" t="s">
        <v>3529</v>
      </c>
      <c r="D1269" s="1">
        <v>2022</v>
      </c>
      <c r="E1269" s="1" t="s">
        <v>45</v>
      </c>
      <c r="F1269" s="1">
        <v>2</v>
      </c>
      <c r="G1269" s="1" t="s">
        <v>46</v>
      </c>
      <c r="H1269" s="1" t="s">
        <v>102</v>
      </c>
      <c r="I1269" s="1">
        <v>92000</v>
      </c>
      <c r="J1269" s="1">
        <v>77000</v>
      </c>
      <c r="K1269" s="1">
        <v>15000</v>
      </c>
      <c r="L1269" s="1">
        <v>0</v>
      </c>
      <c r="M1269" s="1" t="s">
        <v>34</v>
      </c>
      <c r="N1269" s="1" t="s">
        <v>70</v>
      </c>
      <c r="O1269" s="1" t="s">
        <v>91</v>
      </c>
      <c r="P1269" s="1" t="s">
        <v>92</v>
      </c>
      <c r="Q1269" s="1" t="s">
        <v>38</v>
      </c>
      <c r="R1269" s="1" t="s">
        <v>4256</v>
      </c>
      <c r="S1269" s="3">
        <v>919295000000</v>
      </c>
      <c r="T1269" s="1" t="s">
        <v>51</v>
      </c>
      <c r="U1269" s="1">
        <v>68</v>
      </c>
      <c r="V1269" s="1">
        <v>79</v>
      </c>
      <c r="W1269" s="1" t="s">
        <v>52</v>
      </c>
      <c r="X1269" s="1">
        <v>493737</v>
      </c>
      <c r="Y1269" s="2">
        <v>35699</v>
      </c>
      <c r="Z1269" s="1">
        <v>-6.8210262828535599</v>
      </c>
      <c r="AA1269" s="1">
        <v>26</v>
      </c>
      <c r="AB1269" s="1">
        <v>184000</v>
      </c>
      <c r="AC1269" s="1">
        <f t="shared" si="19"/>
        <v>214000</v>
      </c>
    </row>
    <row r="1270" spans="1:29" x14ac:dyDescent="0.25">
      <c r="A1270" s="1" t="s">
        <v>4296</v>
      </c>
      <c r="B1270" s="1" t="s">
        <v>4297</v>
      </c>
      <c r="C1270" s="1" t="s">
        <v>4298</v>
      </c>
      <c r="D1270" s="1">
        <v>2022</v>
      </c>
      <c r="E1270" s="1" t="s">
        <v>31</v>
      </c>
      <c r="F1270" s="1">
        <v>4</v>
      </c>
      <c r="G1270" s="1" t="s">
        <v>32</v>
      </c>
      <c r="H1270" s="1" t="s">
        <v>47</v>
      </c>
      <c r="I1270" s="1">
        <v>169000</v>
      </c>
      <c r="J1270" s="1">
        <v>154000</v>
      </c>
      <c r="K1270" s="1">
        <v>15000</v>
      </c>
      <c r="L1270" s="1">
        <v>0</v>
      </c>
      <c r="M1270" s="1" t="s">
        <v>34</v>
      </c>
      <c r="N1270" s="1" t="s">
        <v>70</v>
      </c>
      <c r="O1270" s="1" t="s">
        <v>48</v>
      </c>
      <c r="P1270" s="1" t="s">
        <v>49</v>
      </c>
      <c r="Q1270" s="1" t="s">
        <v>38</v>
      </c>
      <c r="R1270" s="1" t="s">
        <v>4299</v>
      </c>
      <c r="S1270" s="3">
        <v>917658000000</v>
      </c>
      <c r="T1270" s="1" t="s">
        <v>74</v>
      </c>
      <c r="U1270" s="1">
        <v>68</v>
      </c>
      <c r="V1270" s="1">
        <v>92</v>
      </c>
      <c r="W1270" s="1" t="s">
        <v>41</v>
      </c>
      <c r="X1270" s="1">
        <v>365621</v>
      </c>
      <c r="Y1270" s="2">
        <v>37486</v>
      </c>
      <c r="Z1270" s="1">
        <v>-6.8210262828535599</v>
      </c>
      <c r="AA1270" s="1">
        <v>21</v>
      </c>
      <c r="AB1270" s="1">
        <v>676000</v>
      </c>
      <c r="AC1270" s="1">
        <f t="shared" si="19"/>
        <v>736000</v>
      </c>
    </row>
    <row r="1271" spans="1:29" x14ac:dyDescent="0.25">
      <c r="A1271" s="1" t="s">
        <v>4300</v>
      </c>
      <c r="B1271" s="1" t="s">
        <v>3990</v>
      </c>
      <c r="C1271" s="1" t="s">
        <v>3991</v>
      </c>
      <c r="D1271" s="1">
        <v>2022</v>
      </c>
      <c r="E1271" s="1" t="s">
        <v>45</v>
      </c>
      <c r="F1271" s="1">
        <v>2</v>
      </c>
      <c r="G1271" s="1" t="s">
        <v>46</v>
      </c>
      <c r="H1271" s="1" t="s">
        <v>62</v>
      </c>
      <c r="I1271" s="1">
        <v>92000</v>
      </c>
      <c r="J1271" s="1">
        <v>77000</v>
      </c>
      <c r="K1271" s="1">
        <v>15000</v>
      </c>
      <c r="L1271" s="1">
        <v>0</v>
      </c>
      <c r="M1271" s="1" t="s">
        <v>34</v>
      </c>
      <c r="N1271" s="1" t="s">
        <v>70</v>
      </c>
      <c r="O1271" s="1" t="s">
        <v>48</v>
      </c>
      <c r="P1271" s="1" t="s">
        <v>49</v>
      </c>
      <c r="Q1271" s="1" t="s">
        <v>38</v>
      </c>
      <c r="R1271" s="1" t="s">
        <v>4301</v>
      </c>
      <c r="S1271" s="3">
        <v>917210000000</v>
      </c>
      <c r="T1271" s="1" t="s">
        <v>74</v>
      </c>
      <c r="U1271" s="1">
        <v>68</v>
      </c>
      <c r="V1271" s="1">
        <v>71</v>
      </c>
      <c r="W1271" s="1" t="s">
        <v>41</v>
      </c>
      <c r="X1271" s="1">
        <v>188806</v>
      </c>
      <c r="Y1271" s="2">
        <v>35666</v>
      </c>
      <c r="Z1271" s="1">
        <v>-6.8210262828535599</v>
      </c>
      <c r="AA1271" s="1">
        <v>26</v>
      </c>
      <c r="AB1271" s="1">
        <v>184000</v>
      </c>
      <c r="AC1271" s="1">
        <f t="shared" si="19"/>
        <v>214000</v>
      </c>
    </row>
    <row r="1272" spans="1:29" x14ac:dyDescent="0.25">
      <c r="A1272" s="1" t="s">
        <v>4328</v>
      </c>
      <c r="B1272" s="1" t="s">
        <v>4329</v>
      </c>
      <c r="C1272" s="1" t="s">
        <v>4330</v>
      </c>
      <c r="D1272" s="1">
        <v>2022</v>
      </c>
      <c r="E1272" s="1" t="s">
        <v>45</v>
      </c>
      <c r="F1272" s="1">
        <v>2</v>
      </c>
      <c r="G1272" s="1" t="s">
        <v>46</v>
      </c>
      <c r="H1272" s="1" t="s">
        <v>90</v>
      </c>
      <c r="I1272" s="1">
        <v>92000</v>
      </c>
      <c r="J1272" s="1">
        <v>77000</v>
      </c>
      <c r="K1272" s="1">
        <v>15000</v>
      </c>
      <c r="L1272" s="1">
        <v>0</v>
      </c>
      <c r="M1272" s="1" t="s">
        <v>34</v>
      </c>
      <c r="N1272" s="1" t="s">
        <v>70</v>
      </c>
      <c r="O1272" s="1" t="s">
        <v>48</v>
      </c>
      <c r="P1272" s="1" t="s">
        <v>49</v>
      </c>
      <c r="Q1272" s="1" t="s">
        <v>38</v>
      </c>
      <c r="R1272" s="1" t="s">
        <v>4331</v>
      </c>
      <c r="S1272" s="3">
        <v>919881000000</v>
      </c>
      <c r="T1272" s="1" t="s">
        <v>86</v>
      </c>
      <c r="U1272" s="1">
        <v>67</v>
      </c>
      <c r="V1272" s="1">
        <v>89</v>
      </c>
      <c r="W1272" s="1" t="s">
        <v>41</v>
      </c>
      <c r="X1272" s="1">
        <v>685704</v>
      </c>
      <c r="Y1272" s="2">
        <v>35897</v>
      </c>
      <c r="Z1272" s="1">
        <v>-7.8210262828535599</v>
      </c>
      <c r="AA1272" s="1">
        <v>26</v>
      </c>
      <c r="AB1272" s="1">
        <v>184000</v>
      </c>
      <c r="AC1272" s="1">
        <f t="shared" si="19"/>
        <v>214000</v>
      </c>
    </row>
    <row r="1273" spans="1:29" x14ac:dyDescent="0.25">
      <c r="A1273" s="1" t="s">
        <v>4373</v>
      </c>
      <c r="B1273" s="1" t="s">
        <v>4374</v>
      </c>
      <c r="C1273" s="1" t="s">
        <v>4375</v>
      </c>
      <c r="D1273" s="1">
        <v>2022</v>
      </c>
      <c r="E1273" s="1" t="s">
        <v>31</v>
      </c>
      <c r="F1273" s="1">
        <v>4</v>
      </c>
      <c r="G1273" s="1" t="s">
        <v>32</v>
      </c>
      <c r="H1273" s="1" t="s">
        <v>47</v>
      </c>
      <c r="I1273" s="1">
        <v>169000</v>
      </c>
      <c r="J1273" s="1">
        <v>154000</v>
      </c>
      <c r="K1273" s="1">
        <v>15000</v>
      </c>
      <c r="L1273" s="1">
        <v>0</v>
      </c>
      <c r="M1273" s="1" t="s">
        <v>34</v>
      </c>
      <c r="N1273" s="1" t="s">
        <v>70</v>
      </c>
      <c r="O1273" s="1" t="s">
        <v>64</v>
      </c>
      <c r="P1273" s="1" t="s">
        <v>65</v>
      </c>
      <c r="Q1273" s="1" t="s">
        <v>38</v>
      </c>
      <c r="R1273" s="1" t="s">
        <v>4376</v>
      </c>
      <c r="S1273" s="3">
        <v>919403000000</v>
      </c>
      <c r="T1273" s="1" t="s">
        <v>51</v>
      </c>
      <c r="U1273" s="1">
        <v>67</v>
      </c>
      <c r="V1273" s="1">
        <v>68</v>
      </c>
      <c r="W1273" s="1" t="s">
        <v>41</v>
      </c>
      <c r="X1273" s="1">
        <v>373640</v>
      </c>
      <c r="Y1273" s="2">
        <v>38386</v>
      </c>
      <c r="Z1273" s="1">
        <v>-7.8210262828535599</v>
      </c>
      <c r="AA1273" s="1">
        <v>19</v>
      </c>
      <c r="AB1273" s="1">
        <v>676000</v>
      </c>
      <c r="AC1273" s="1">
        <f t="shared" si="19"/>
        <v>736000</v>
      </c>
    </row>
    <row r="1274" spans="1:29" x14ac:dyDescent="0.25">
      <c r="A1274" s="1" t="s">
        <v>4409</v>
      </c>
      <c r="B1274" s="1" t="s">
        <v>4410</v>
      </c>
      <c r="C1274" s="1" t="s">
        <v>4411</v>
      </c>
      <c r="D1274" s="1">
        <v>2022</v>
      </c>
      <c r="E1274" s="1" t="s">
        <v>31</v>
      </c>
      <c r="F1274" s="1">
        <v>4</v>
      </c>
      <c r="G1274" s="1" t="s">
        <v>32</v>
      </c>
      <c r="H1274" s="1" t="s">
        <v>33</v>
      </c>
      <c r="I1274" s="1">
        <v>169000</v>
      </c>
      <c r="J1274" s="1">
        <v>154000</v>
      </c>
      <c r="K1274" s="1">
        <v>15000</v>
      </c>
      <c r="L1274" s="1">
        <v>0</v>
      </c>
      <c r="M1274" s="1" t="s">
        <v>34</v>
      </c>
      <c r="N1274" s="1" t="s">
        <v>35</v>
      </c>
      <c r="O1274" s="1" t="s">
        <v>48</v>
      </c>
      <c r="P1274" s="1" t="s">
        <v>49</v>
      </c>
      <c r="Q1274" s="1" t="s">
        <v>38</v>
      </c>
      <c r="R1274" s="1" t="s">
        <v>4412</v>
      </c>
      <c r="S1274" s="3">
        <v>917562000000</v>
      </c>
      <c r="T1274" s="1" t="s">
        <v>86</v>
      </c>
      <c r="U1274" s="1">
        <v>67</v>
      </c>
      <c r="V1274" s="1">
        <v>60</v>
      </c>
      <c r="W1274" s="1" t="s">
        <v>41</v>
      </c>
      <c r="X1274" s="1">
        <v>541261</v>
      </c>
      <c r="Y1274" s="2">
        <v>38692</v>
      </c>
      <c r="Z1274" s="1">
        <v>-7.8210262828535599</v>
      </c>
      <c r="AA1274" s="1">
        <v>18</v>
      </c>
      <c r="AB1274" s="1">
        <v>676000</v>
      </c>
      <c r="AC1274" s="1">
        <f t="shared" si="19"/>
        <v>736000</v>
      </c>
    </row>
    <row r="1275" spans="1:29" x14ac:dyDescent="0.25">
      <c r="A1275" s="1" t="s">
        <v>4461</v>
      </c>
      <c r="B1275" s="1" t="s">
        <v>4462</v>
      </c>
      <c r="C1275" s="1" t="s">
        <v>4463</v>
      </c>
      <c r="D1275" s="1">
        <v>2022</v>
      </c>
      <c r="E1275" s="1" t="s">
        <v>31</v>
      </c>
      <c r="F1275" s="1">
        <v>4</v>
      </c>
      <c r="G1275" s="1" t="s">
        <v>32</v>
      </c>
      <c r="H1275" s="1" t="s">
        <v>151</v>
      </c>
      <c r="I1275" s="1">
        <v>169000</v>
      </c>
      <c r="J1275" s="1">
        <v>154000</v>
      </c>
      <c r="K1275" s="1">
        <v>15000</v>
      </c>
      <c r="L1275" s="1">
        <v>0</v>
      </c>
      <c r="M1275" s="1" t="s">
        <v>34</v>
      </c>
      <c r="N1275" s="1" t="s">
        <v>35</v>
      </c>
      <c r="O1275" s="1" t="s">
        <v>103</v>
      </c>
      <c r="P1275" s="1" t="s">
        <v>104</v>
      </c>
      <c r="Q1275" s="1" t="s">
        <v>38</v>
      </c>
      <c r="R1275" s="1" t="s">
        <v>4464</v>
      </c>
      <c r="S1275" s="3">
        <v>919348000000</v>
      </c>
      <c r="T1275" s="1" t="s">
        <v>40</v>
      </c>
      <c r="U1275" s="1">
        <v>67</v>
      </c>
      <c r="V1275" s="1">
        <v>62</v>
      </c>
      <c r="W1275" s="1" t="s">
        <v>52</v>
      </c>
      <c r="X1275" s="1">
        <v>566305</v>
      </c>
      <c r="Y1275" s="2">
        <v>37427</v>
      </c>
      <c r="Z1275" s="1">
        <v>-7.8210262828535599</v>
      </c>
      <c r="AA1275" s="1">
        <v>22</v>
      </c>
      <c r="AB1275" s="1">
        <v>676000</v>
      </c>
      <c r="AC1275" s="1">
        <f t="shared" si="19"/>
        <v>736000</v>
      </c>
    </row>
    <row r="1276" spans="1:29" x14ac:dyDescent="0.25">
      <c r="A1276" s="1" t="s">
        <v>4486</v>
      </c>
      <c r="B1276" s="1" t="s">
        <v>3193</v>
      </c>
      <c r="C1276" s="1" t="s">
        <v>3194</v>
      </c>
      <c r="D1276" s="1">
        <v>2022</v>
      </c>
      <c r="E1276" s="1" t="s">
        <v>31</v>
      </c>
      <c r="F1276" s="1">
        <v>4</v>
      </c>
      <c r="G1276" s="1" t="s">
        <v>32</v>
      </c>
      <c r="H1276" s="1" t="s">
        <v>47</v>
      </c>
      <c r="I1276" s="1">
        <v>169000</v>
      </c>
      <c r="J1276" s="1">
        <v>154000</v>
      </c>
      <c r="K1276" s="1">
        <v>15000</v>
      </c>
      <c r="L1276" s="1">
        <v>0</v>
      </c>
      <c r="M1276" s="1" t="s">
        <v>34</v>
      </c>
      <c r="N1276" s="1" t="s">
        <v>70</v>
      </c>
      <c r="O1276" s="1" t="s">
        <v>48</v>
      </c>
      <c r="P1276" s="1" t="s">
        <v>49</v>
      </c>
      <c r="Q1276" s="1" t="s">
        <v>38</v>
      </c>
      <c r="R1276" s="1" t="s">
        <v>4487</v>
      </c>
      <c r="S1276" s="3">
        <v>918076000000</v>
      </c>
      <c r="T1276" s="1" t="s">
        <v>40</v>
      </c>
      <c r="U1276" s="1">
        <v>66</v>
      </c>
      <c r="V1276" s="1">
        <v>79</v>
      </c>
      <c r="W1276" s="1" t="s">
        <v>52</v>
      </c>
      <c r="X1276" s="1">
        <v>485142</v>
      </c>
      <c r="Y1276" s="2">
        <v>37036</v>
      </c>
      <c r="Z1276" s="1">
        <v>-8.8210262828535608</v>
      </c>
      <c r="AA1276" s="1">
        <v>23</v>
      </c>
      <c r="AB1276" s="1">
        <v>676000</v>
      </c>
      <c r="AC1276" s="1">
        <f t="shared" si="19"/>
        <v>736000</v>
      </c>
    </row>
    <row r="1277" spans="1:29" x14ac:dyDescent="0.25">
      <c r="A1277" s="1" t="s">
        <v>4491</v>
      </c>
      <c r="B1277" s="1" t="s">
        <v>4274</v>
      </c>
      <c r="C1277" s="1" t="s">
        <v>4275</v>
      </c>
      <c r="D1277" s="1">
        <v>2022</v>
      </c>
      <c r="E1277" s="1" t="s">
        <v>31</v>
      </c>
      <c r="F1277" s="1">
        <v>4</v>
      </c>
      <c r="G1277" s="1" t="s">
        <v>32</v>
      </c>
      <c r="H1277" s="1" t="s">
        <v>47</v>
      </c>
      <c r="I1277" s="1">
        <v>169000</v>
      </c>
      <c r="J1277" s="1">
        <v>154000</v>
      </c>
      <c r="K1277" s="1">
        <v>15000</v>
      </c>
      <c r="L1277" s="1">
        <v>0</v>
      </c>
      <c r="M1277" s="1" t="s">
        <v>34</v>
      </c>
      <c r="N1277" s="1" t="s">
        <v>70</v>
      </c>
      <c r="O1277" s="1" t="s">
        <v>78</v>
      </c>
      <c r="P1277" s="1" t="s">
        <v>79</v>
      </c>
      <c r="Q1277" s="1" t="s">
        <v>38</v>
      </c>
      <c r="R1277" s="1" t="s">
        <v>4492</v>
      </c>
      <c r="S1277" s="3">
        <v>918681000000</v>
      </c>
      <c r="T1277" s="1" t="s">
        <v>40</v>
      </c>
      <c r="U1277" s="1">
        <v>66</v>
      </c>
      <c r="V1277" s="1">
        <v>62</v>
      </c>
      <c r="W1277" s="1" t="s">
        <v>52</v>
      </c>
      <c r="X1277" s="1">
        <v>748644</v>
      </c>
      <c r="Y1277" s="2">
        <v>36726</v>
      </c>
      <c r="Z1277" s="1">
        <v>-8.8210262828535608</v>
      </c>
      <c r="AA1277" s="1">
        <v>23</v>
      </c>
      <c r="AB1277" s="1">
        <v>676000</v>
      </c>
      <c r="AC1277" s="1">
        <f t="shared" si="19"/>
        <v>736000</v>
      </c>
    </row>
    <row r="1278" spans="1:29" x14ac:dyDescent="0.25">
      <c r="A1278" s="1" t="s">
        <v>4515</v>
      </c>
      <c r="B1278" s="1" t="s">
        <v>4516</v>
      </c>
      <c r="C1278" s="1" t="s">
        <v>4517</v>
      </c>
      <c r="D1278" s="1">
        <v>2022</v>
      </c>
      <c r="E1278" s="1" t="s">
        <v>31</v>
      </c>
      <c r="F1278" s="1">
        <v>4</v>
      </c>
      <c r="G1278" s="1" t="s">
        <v>32</v>
      </c>
      <c r="H1278" s="1" t="s">
        <v>56</v>
      </c>
      <c r="I1278" s="1">
        <v>169000</v>
      </c>
      <c r="J1278" s="1">
        <v>154000</v>
      </c>
      <c r="K1278" s="1">
        <v>15000</v>
      </c>
      <c r="L1278" s="1">
        <v>0</v>
      </c>
      <c r="M1278" s="1" t="s">
        <v>34</v>
      </c>
      <c r="N1278" s="1" t="s">
        <v>63</v>
      </c>
      <c r="O1278" s="1" t="s">
        <v>48</v>
      </c>
      <c r="P1278" s="1" t="s">
        <v>49</v>
      </c>
      <c r="Q1278" s="1" t="s">
        <v>38</v>
      </c>
      <c r="R1278" s="1" t="s">
        <v>4518</v>
      </c>
      <c r="S1278" s="3">
        <v>919007000000</v>
      </c>
      <c r="T1278" s="1" t="s">
        <v>51</v>
      </c>
      <c r="U1278" s="1">
        <v>66</v>
      </c>
      <c r="V1278" s="1">
        <v>92</v>
      </c>
      <c r="W1278" s="1" t="s">
        <v>52</v>
      </c>
      <c r="X1278" s="1">
        <v>744140</v>
      </c>
      <c r="Y1278" s="2">
        <v>37816</v>
      </c>
      <c r="Z1278" s="1">
        <v>-8.8210262828535608</v>
      </c>
      <c r="AA1278" s="1">
        <v>20</v>
      </c>
      <c r="AB1278" s="1">
        <v>676000</v>
      </c>
      <c r="AC1278" s="1">
        <f t="shared" si="19"/>
        <v>736000</v>
      </c>
    </row>
    <row r="1279" spans="1:29" x14ac:dyDescent="0.25">
      <c r="A1279" s="1" t="s">
        <v>4523</v>
      </c>
      <c r="B1279" s="1" t="s">
        <v>1077</v>
      </c>
      <c r="C1279" s="1" t="s">
        <v>1078</v>
      </c>
      <c r="D1279" s="1">
        <v>2022</v>
      </c>
      <c r="E1279" s="1" t="s">
        <v>45</v>
      </c>
      <c r="F1279" s="1">
        <v>2</v>
      </c>
      <c r="G1279" s="1" t="s">
        <v>46</v>
      </c>
      <c r="H1279" s="1" t="s">
        <v>90</v>
      </c>
      <c r="I1279" s="1">
        <v>92000</v>
      </c>
      <c r="J1279" s="1">
        <v>77000</v>
      </c>
      <c r="K1279" s="1">
        <v>15000</v>
      </c>
      <c r="L1279" s="1">
        <v>0</v>
      </c>
      <c r="M1279" s="1" t="s">
        <v>34</v>
      </c>
      <c r="N1279" s="1" t="s">
        <v>63</v>
      </c>
      <c r="O1279" s="1" t="s">
        <v>64</v>
      </c>
      <c r="P1279" s="1" t="s">
        <v>65</v>
      </c>
      <c r="Q1279" s="1" t="s">
        <v>38</v>
      </c>
      <c r="R1279" s="1" t="s">
        <v>4524</v>
      </c>
      <c r="S1279" s="3">
        <v>917442000000</v>
      </c>
      <c r="T1279" s="1" t="s">
        <v>74</v>
      </c>
      <c r="U1279" s="1">
        <v>66</v>
      </c>
      <c r="V1279" s="1">
        <v>60</v>
      </c>
      <c r="W1279" s="1" t="s">
        <v>41</v>
      </c>
      <c r="X1279" s="1">
        <v>182017</v>
      </c>
      <c r="Y1279" s="2">
        <v>36745</v>
      </c>
      <c r="Z1279" s="1">
        <v>-8.8210262828535608</v>
      </c>
      <c r="AA1279" s="1">
        <v>23</v>
      </c>
      <c r="AB1279" s="1">
        <v>184000</v>
      </c>
      <c r="AC1279" s="1">
        <f t="shared" si="19"/>
        <v>214000</v>
      </c>
    </row>
    <row r="1280" spans="1:29" x14ac:dyDescent="0.25">
      <c r="A1280" s="1" t="s">
        <v>4575</v>
      </c>
      <c r="B1280" s="1" t="s">
        <v>4107</v>
      </c>
      <c r="C1280" s="1" t="s">
        <v>4108</v>
      </c>
      <c r="D1280" s="1">
        <v>2022</v>
      </c>
      <c r="E1280" s="1" t="s">
        <v>31</v>
      </c>
      <c r="F1280" s="1">
        <v>4</v>
      </c>
      <c r="G1280" s="1" t="s">
        <v>32</v>
      </c>
      <c r="H1280" s="1" t="s">
        <v>122</v>
      </c>
      <c r="I1280" s="1">
        <v>169000</v>
      </c>
      <c r="J1280" s="1">
        <v>154000</v>
      </c>
      <c r="K1280" s="1">
        <v>15000</v>
      </c>
      <c r="L1280" s="1">
        <v>0</v>
      </c>
      <c r="M1280" s="1" t="s">
        <v>34</v>
      </c>
      <c r="N1280" s="1" t="s">
        <v>70</v>
      </c>
      <c r="O1280" s="1" t="s">
        <v>84</v>
      </c>
      <c r="P1280" s="1" t="s">
        <v>65</v>
      </c>
      <c r="Q1280" s="1" t="s">
        <v>38</v>
      </c>
      <c r="R1280" s="1" t="s">
        <v>4576</v>
      </c>
      <c r="S1280" s="3">
        <v>917425000000</v>
      </c>
      <c r="T1280" s="1" t="s">
        <v>51</v>
      </c>
      <c r="U1280" s="1">
        <v>66</v>
      </c>
      <c r="V1280" s="1">
        <v>74</v>
      </c>
      <c r="W1280" s="1" t="s">
        <v>52</v>
      </c>
      <c r="X1280" s="1">
        <v>545350</v>
      </c>
      <c r="Y1280" s="2">
        <v>38490</v>
      </c>
      <c r="Z1280" s="1">
        <v>-8.8210262828535608</v>
      </c>
      <c r="AA1280" s="1">
        <v>19</v>
      </c>
      <c r="AB1280" s="1">
        <v>676000</v>
      </c>
      <c r="AC1280" s="1">
        <f t="shared" si="19"/>
        <v>736000</v>
      </c>
    </row>
    <row r="1281" spans="1:29" x14ac:dyDescent="0.25">
      <c r="A1281" s="1" t="s">
        <v>4587</v>
      </c>
      <c r="B1281" s="1" t="s">
        <v>4588</v>
      </c>
      <c r="C1281" s="1" t="s">
        <v>4589</v>
      </c>
      <c r="D1281" s="1">
        <v>2022</v>
      </c>
      <c r="E1281" s="1" t="s">
        <v>31</v>
      </c>
      <c r="F1281" s="1">
        <v>4</v>
      </c>
      <c r="G1281" s="1" t="s">
        <v>32</v>
      </c>
      <c r="H1281" s="1" t="s">
        <v>90</v>
      </c>
      <c r="I1281" s="1">
        <v>169000</v>
      </c>
      <c r="J1281" s="1">
        <v>154000</v>
      </c>
      <c r="K1281" s="1">
        <v>15000</v>
      </c>
      <c r="L1281" s="1">
        <v>0</v>
      </c>
      <c r="M1281" s="1" t="s">
        <v>34</v>
      </c>
      <c r="N1281" s="1" t="s">
        <v>70</v>
      </c>
      <c r="O1281" s="1" t="s">
        <v>78</v>
      </c>
      <c r="P1281" s="1" t="s">
        <v>79</v>
      </c>
      <c r="Q1281" s="1" t="s">
        <v>38</v>
      </c>
      <c r="R1281" s="1" t="s">
        <v>4590</v>
      </c>
      <c r="S1281" s="3">
        <v>918109000000</v>
      </c>
      <c r="T1281" s="1" t="s">
        <v>86</v>
      </c>
      <c r="U1281" s="1">
        <v>66</v>
      </c>
      <c r="V1281" s="1">
        <v>86</v>
      </c>
      <c r="W1281" s="1" t="s">
        <v>41</v>
      </c>
      <c r="X1281" s="1">
        <v>739936</v>
      </c>
      <c r="Y1281" s="2">
        <v>37284</v>
      </c>
      <c r="Z1281" s="1">
        <v>-8.8210262828535608</v>
      </c>
      <c r="AA1281" s="1">
        <v>22</v>
      </c>
      <c r="AB1281" s="1">
        <v>676000</v>
      </c>
      <c r="AC1281" s="1">
        <f t="shared" si="19"/>
        <v>736000</v>
      </c>
    </row>
    <row r="1282" spans="1:29" x14ac:dyDescent="0.25">
      <c r="A1282" s="1" t="s">
        <v>4637</v>
      </c>
      <c r="B1282" s="1" t="s">
        <v>4638</v>
      </c>
      <c r="C1282" s="1" t="s">
        <v>4639</v>
      </c>
      <c r="D1282" s="1">
        <v>2022</v>
      </c>
      <c r="E1282" s="1" t="s">
        <v>31</v>
      </c>
      <c r="F1282" s="1">
        <v>4</v>
      </c>
      <c r="G1282" s="1" t="s">
        <v>32</v>
      </c>
      <c r="H1282" s="1" t="s">
        <v>62</v>
      </c>
      <c r="I1282" s="1">
        <v>169000</v>
      </c>
      <c r="J1282" s="1">
        <v>154000</v>
      </c>
      <c r="K1282" s="1">
        <v>15000</v>
      </c>
      <c r="L1282" s="1">
        <v>0</v>
      </c>
      <c r="M1282" s="1" t="s">
        <v>34</v>
      </c>
      <c r="N1282" s="1" t="s">
        <v>63</v>
      </c>
      <c r="O1282" s="1" t="s">
        <v>78</v>
      </c>
      <c r="P1282" s="1" t="s">
        <v>79</v>
      </c>
      <c r="Q1282" s="1" t="s">
        <v>38</v>
      </c>
      <c r="R1282" s="1" t="s">
        <v>4640</v>
      </c>
      <c r="S1282" s="3">
        <v>919641000000</v>
      </c>
      <c r="T1282" s="1" t="s">
        <v>86</v>
      </c>
      <c r="U1282" s="1">
        <v>65</v>
      </c>
      <c r="V1282" s="1">
        <v>85</v>
      </c>
      <c r="W1282" s="1" t="s">
        <v>41</v>
      </c>
      <c r="X1282" s="1">
        <v>491648</v>
      </c>
      <c r="Y1282" s="2">
        <v>36988</v>
      </c>
      <c r="Z1282" s="1">
        <v>-9.8210262828535608</v>
      </c>
      <c r="AA1282" s="1">
        <v>23</v>
      </c>
      <c r="AB1282" s="1">
        <v>676000</v>
      </c>
      <c r="AC1282" s="1">
        <f t="shared" si="19"/>
        <v>736000</v>
      </c>
    </row>
    <row r="1283" spans="1:29" x14ac:dyDescent="0.25">
      <c r="A1283" s="1" t="s">
        <v>4661</v>
      </c>
      <c r="B1283" s="1" t="s">
        <v>3063</v>
      </c>
      <c r="C1283" s="1" t="s">
        <v>3064</v>
      </c>
      <c r="D1283" s="1">
        <v>2022</v>
      </c>
      <c r="E1283" s="1" t="s">
        <v>45</v>
      </c>
      <c r="F1283" s="1">
        <v>2</v>
      </c>
      <c r="G1283" s="1" t="s">
        <v>46</v>
      </c>
      <c r="H1283" s="1" t="s">
        <v>33</v>
      </c>
      <c r="I1283" s="1">
        <v>92000</v>
      </c>
      <c r="J1283" s="1">
        <v>77000</v>
      </c>
      <c r="K1283" s="1">
        <v>15000</v>
      </c>
      <c r="L1283" s="1">
        <v>0</v>
      </c>
      <c r="M1283" s="1" t="s">
        <v>34</v>
      </c>
      <c r="N1283" s="1" t="s">
        <v>63</v>
      </c>
      <c r="O1283" s="1" t="s">
        <v>78</v>
      </c>
      <c r="P1283" s="1" t="s">
        <v>79</v>
      </c>
      <c r="Q1283" s="1" t="s">
        <v>38</v>
      </c>
      <c r="R1283" s="1" t="s">
        <v>4662</v>
      </c>
      <c r="S1283" s="3">
        <v>919845000000</v>
      </c>
      <c r="T1283" s="1" t="s">
        <v>74</v>
      </c>
      <c r="U1283" s="1">
        <v>65</v>
      </c>
      <c r="V1283" s="1">
        <v>73</v>
      </c>
      <c r="W1283" s="1" t="s">
        <v>41</v>
      </c>
      <c r="X1283" s="1">
        <v>253318</v>
      </c>
      <c r="Y1283" s="2">
        <v>37230</v>
      </c>
      <c r="Z1283" s="1">
        <v>-9.8210262828535608</v>
      </c>
      <c r="AA1283" s="1">
        <v>22</v>
      </c>
      <c r="AB1283" s="1">
        <v>184000</v>
      </c>
      <c r="AC1283" s="1">
        <f t="shared" si="19"/>
        <v>214000</v>
      </c>
    </row>
    <row r="1284" spans="1:29" x14ac:dyDescent="0.25">
      <c r="A1284" s="1" t="s">
        <v>4690</v>
      </c>
      <c r="B1284" s="1" t="s">
        <v>4691</v>
      </c>
      <c r="C1284" s="1" t="s">
        <v>4692</v>
      </c>
      <c r="D1284" s="1">
        <v>2022</v>
      </c>
      <c r="E1284" s="1" t="s">
        <v>31</v>
      </c>
      <c r="F1284" s="1">
        <v>4</v>
      </c>
      <c r="G1284" s="1" t="s">
        <v>32</v>
      </c>
      <c r="H1284" s="1" t="s">
        <v>90</v>
      </c>
      <c r="I1284" s="1">
        <v>169000</v>
      </c>
      <c r="J1284" s="1">
        <v>154000</v>
      </c>
      <c r="K1284" s="1">
        <v>15000</v>
      </c>
      <c r="L1284" s="1">
        <v>0</v>
      </c>
      <c r="M1284" s="1" t="s">
        <v>34</v>
      </c>
      <c r="N1284" s="1" t="s">
        <v>63</v>
      </c>
      <c r="O1284" s="1" t="s">
        <v>36</v>
      </c>
      <c r="P1284" s="1" t="s">
        <v>37</v>
      </c>
      <c r="Q1284" s="1" t="s">
        <v>38</v>
      </c>
      <c r="R1284" s="1" t="s">
        <v>4693</v>
      </c>
      <c r="S1284" s="3">
        <v>918304000000</v>
      </c>
      <c r="T1284" s="1" t="s">
        <v>51</v>
      </c>
      <c r="U1284" s="1">
        <v>65</v>
      </c>
      <c r="V1284" s="1">
        <v>81</v>
      </c>
      <c r="W1284" s="1" t="s">
        <v>41</v>
      </c>
      <c r="X1284" s="1">
        <v>330038</v>
      </c>
      <c r="Y1284" s="2">
        <v>38722</v>
      </c>
      <c r="Z1284" s="1">
        <v>-9.8210262828535608</v>
      </c>
      <c r="AA1284" s="1">
        <v>18</v>
      </c>
      <c r="AB1284" s="1">
        <v>676000</v>
      </c>
      <c r="AC1284" s="1">
        <f t="shared" si="19"/>
        <v>736000</v>
      </c>
    </row>
    <row r="1285" spans="1:29" x14ac:dyDescent="0.25">
      <c r="A1285" s="1" t="s">
        <v>4704</v>
      </c>
      <c r="B1285" s="1" t="s">
        <v>2184</v>
      </c>
      <c r="C1285" s="1" t="s">
        <v>2185</v>
      </c>
      <c r="D1285" s="1">
        <v>2022</v>
      </c>
      <c r="E1285" s="1" t="s">
        <v>31</v>
      </c>
      <c r="F1285" s="1">
        <v>4</v>
      </c>
      <c r="G1285" s="1" t="s">
        <v>32</v>
      </c>
      <c r="H1285" s="1" t="s">
        <v>210</v>
      </c>
      <c r="I1285" s="1">
        <v>169000</v>
      </c>
      <c r="J1285" s="1">
        <v>154000</v>
      </c>
      <c r="K1285" s="1">
        <v>15000</v>
      </c>
      <c r="L1285" s="1">
        <v>0</v>
      </c>
      <c r="M1285" s="1" t="s">
        <v>34</v>
      </c>
      <c r="N1285" s="1" t="s">
        <v>35</v>
      </c>
      <c r="O1285" s="1" t="s">
        <v>71</v>
      </c>
      <c r="P1285" s="1" t="s">
        <v>72</v>
      </c>
      <c r="Q1285" s="1" t="s">
        <v>38</v>
      </c>
      <c r="R1285" s="1" t="s">
        <v>4705</v>
      </c>
      <c r="S1285" s="3">
        <v>918680000000</v>
      </c>
      <c r="T1285" s="1" t="s">
        <v>51</v>
      </c>
      <c r="U1285" s="1">
        <v>65</v>
      </c>
      <c r="V1285" s="1">
        <v>62</v>
      </c>
      <c r="W1285" s="1" t="s">
        <v>52</v>
      </c>
      <c r="X1285" s="1">
        <v>264902</v>
      </c>
      <c r="Y1285" s="2">
        <v>37071</v>
      </c>
      <c r="Z1285" s="1">
        <v>-9.8210262828535608</v>
      </c>
      <c r="AA1285" s="1">
        <v>23</v>
      </c>
      <c r="AB1285" s="1">
        <v>676000</v>
      </c>
      <c r="AC1285" s="1">
        <f t="shared" si="19"/>
        <v>736000</v>
      </c>
    </row>
    <row r="1286" spans="1:29" x14ac:dyDescent="0.25">
      <c r="A1286" s="1" t="s">
        <v>4708</v>
      </c>
      <c r="B1286" s="1" t="s">
        <v>1725</v>
      </c>
      <c r="C1286" s="1" t="s">
        <v>1726</v>
      </c>
      <c r="D1286" s="1">
        <v>2022</v>
      </c>
      <c r="E1286" s="1" t="s">
        <v>45</v>
      </c>
      <c r="F1286" s="1">
        <v>2</v>
      </c>
      <c r="G1286" s="1" t="s">
        <v>46</v>
      </c>
      <c r="H1286" s="1" t="s">
        <v>90</v>
      </c>
      <c r="I1286" s="1">
        <v>92000</v>
      </c>
      <c r="J1286" s="1">
        <v>77000</v>
      </c>
      <c r="K1286" s="1">
        <v>15000</v>
      </c>
      <c r="L1286" s="1">
        <v>0</v>
      </c>
      <c r="M1286" s="1" t="s">
        <v>34</v>
      </c>
      <c r="N1286" s="1" t="s">
        <v>35</v>
      </c>
      <c r="O1286" s="1" t="s">
        <v>48</v>
      </c>
      <c r="P1286" s="1" t="s">
        <v>49</v>
      </c>
      <c r="Q1286" s="1" t="s">
        <v>38</v>
      </c>
      <c r="R1286" s="1" t="s">
        <v>4709</v>
      </c>
      <c r="S1286" s="3">
        <v>919417000000</v>
      </c>
      <c r="T1286" s="1" t="s">
        <v>51</v>
      </c>
      <c r="U1286" s="1">
        <v>65</v>
      </c>
      <c r="V1286" s="1">
        <v>91</v>
      </c>
      <c r="W1286" s="1" t="s">
        <v>41</v>
      </c>
      <c r="X1286" s="1">
        <v>104295</v>
      </c>
      <c r="Y1286" s="2">
        <v>37322</v>
      </c>
      <c r="Z1286" s="1">
        <v>-9.8210262828535608</v>
      </c>
      <c r="AA1286" s="1">
        <v>22</v>
      </c>
      <c r="AB1286" s="1">
        <v>184000</v>
      </c>
      <c r="AC1286" s="1">
        <f t="shared" ref="AC1286:AC1349" si="20">IF(F1286 = 2, AB1286+30000,AB1286+60000)</f>
        <v>214000</v>
      </c>
    </row>
    <row r="1287" spans="1:29" x14ac:dyDescent="0.25">
      <c r="A1287" s="1" t="s">
        <v>4744</v>
      </c>
      <c r="B1287" s="1" t="s">
        <v>791</v>
      </c>
      <c r="C1287" s="1" t="s">
        <v>792</v>
      </c>
      <c r="D1287" s="1">
        <v>2022</v>
      </c>
      <c r="E1287" s="1" t="s">
        <v>31</v>
      </c>
      <c r="F1287" s="1">
        <v>4</v>
      </c>
      <c r="G1287" s="1" t="s">
        <v>32</v>
      </c>
      <c r="H1287" s="1" t="s">
        <v>210</v>
      </c>
      <c r="I1287" s="1">
        <v>169000</v>
      </c>
      <c r="J1287" s="1">
        <v>154000</v>
      </c>
      <c r="K1287" s="1">
        <v>15000</v>
      </c>
      <c r="L1287" s="1">
        <v>0</v>
      </c>
      <c r="M1287" s="1" t="s">
        <v>34</v>
      </c>
      <c r="N1287" s="1" t="s">
        <v>63</v>
      </c>
      <c r="O1287" s="1" t="s">
        <v>57</v>
      </c>
      <c r="P1287" s="1" t="s">
        <v>57</v>
      </c>
      <c r="Q1287" s="1" t="s">
        <v>38</v>
      </c>
      <c r="R1287" s="1" t="s">
        <v>4745</v>
      </c>
      <c r="S1287" s="3">
        <v>917666000000</v>
      </c>
      <c r="T1287" s="1" t="s">
        <v>51</v>
      </c>
      <c r="U1287" s="1">
        <v>65</v>
      </c>
      <c r="V1287" s="1">
        <v>90</v>
      </c>
      <c r="W1287" s="1" t="s">
        <v>41</v>
      </c>
      <c r="X1287" s="1">
        <v>384551</v>
      </c>
      <c r="Y1287" s="2">
        <v>37579</v>
      </c>
      <c r="Z1287" s="1">
        <v>-9.8210262828535608</v>
      </c>
      <c r="AA1287" s="1">
        <v>21</v>
      </c>
      <c r="AB1287" s="1">
        <v>676000</v>
      </c>
      <c r="AC1287" s="1">
        <f t="shared" si="20"/>
        <v>736000</v>
      </c>
    </row>
    <row r="1288" spans="1:29" x14ac:dyDescent="0.25">
      <c r="A1288" s="1" t="s">
        <v>4750</v>
      </c>
      <c r="B1288" s="1" t="s">
        <v>4751</v>
      </c>
      <c r="C1288" s="1" t="s">
        <v>4752</v>
      </c>
      <c r="D1288" s="1">
        <v>2022</v>
      </c>
      <c r="E1288" s="1" t="s">
        <v>31</v>
      </c>
      <c r="F1288" s="1">
        <v>4</v>
      </c>
      <c r="G1288" s="1" t="s">
        <v>32</v>
      </c>
      <c r="H1288" s="1" t="s">
        <v>113</v>
      </c>
      <c r="I1288" s="1">
        <v>169000</v>
      </c>
      <c r="J1288" s="1">
        <v>154000</v>
      </c>
      <c r="K1288" s="1">
        <v>15000</v>
      </c>
      <c r="L1288" s="1">
        <v>0</v>
      </c>
      <c r="M1288" s="1" t="s">
        <v>34</v>
      </c>
      <c r="N1288" s="1" t="s">
        <v>35</v>
      </c>
      <c r="O1288" s="1" t="s">
        <v>188</v>
      </c>
      <c r="P1288" s="1" t="s">
        <v>189</v>
      </c>
      <c r="Q1288" s="1" t="s">
        <v>38</v>
      </c>
      <c r="R1288" s="1" t="s">
        <v>4753</v>
      </c>
      <c r="S1288" s="3">
        <v>919642000000</v>
      </c>
      <c r="T1288" s="1" t="s">
        <v>98</v>
      </c>
      <c r="U1288" s="1">
        <v>65</v>
      </c>
      <c r="V1288" s="1">
        <v>83</v>
      </c>
      <c r="W1288" s="1" t="s">
        <v>52</v>
      </c>
      <c r="X1288" s="1">
        <v>440709</v>
      </c>
      <c r="Y1288" s="2">
        <v>37046</v>
      </c>
      <c r="Z1288" s="1">
        <v>-9.8210262828535608</v>
      </c>
      <c r="AA1288" s="1">
        <v>23</v>
      </c>
      <c r="AB1288" s="1">
        <v>676000</v>
      </c>
      <c r="AC1288" s="1">
        <f t="shared" si="20"/>
        <v>736000</v>
      </c>
    </row>
    <row r="1289" spans="1:29" x14ac:dyDescent="0.25">
      <c r="A1289" s="1" t="s">
        <v>4794</v>
      </c>
      <c r="B1289" s="1" t="s">
        <v>4795</v>
      </c>
      <c r="C1289" s="1" t="s">
        <v>4796</v>
      </c>
      <c r="D1289" s="1">
        <v>2022</v>
      </c>
      <c r="E1289" s="1" t="s">
        <v>31</v>
      </c>
      <c r="F1289" s="1">
        <v>4</v>
      </c>
      <c r="G1289" s="1" t="s">
        <v>32</v>
      </c>
      <c r="H1289" s="1" t="s">
        <v>56</v>
      </c>
      <c r="I1289" s="1">
        <v>169000</v>
      </c>
      <c r="J1289" s="1">
        <v>154000</v>
      </c>
      <c r="K1289" s="1">
        <v>15000</v>
      </c>
      <c r="L1289" s="1">
        <v>0</v>
      </c>
      <c r="M1289" s="1" t="s">
        <v>34</v>
      </c>
      <c r="N1289" s="1" t="s">
        <v>70</v>
      </c>
      <c r="O1289" s="1" t="s">
        <v>48</v>
      </c>
      <c r="P1289" s="1" t="s">
        <v>49</v>
      </c>
      <c r="Q1289" s="1" t="s">
        <v>38</v>
      </c>
      <c r="R1289" s="1" t="s">
        <v>4797</v>
      </c>
      <c r="S1289" s="3">
        <v>919068000000</v>
      </c>
      <c r="T1289" s="1" t="s">
        <v>51</v>
      </c>
      <c r="U1289" s="1">
        <v>64</v>
      </c>
      <c r="V1289" s="1">
        <v>71</v>
      </c>
      <c r="W1289" s="1" t="s">
        <v>52</v>
      </c>
      <c r="X1289" s="1">
        <v>388701</v>
      </c>
      <c r="Y1289" s="2">
        <v>38308</v>
      </c>
      <c r="Z1289" s="1">
        <v>-10.8210262828535</v>
      </c>
      <c r="AA1289" s="1">
        <v>19</v>
      </c>
      <c r="AB1289" s="1">
        <v>676000</v>
      </c>
      <c r="AC1289" s="1">
        <f t="shared" si="20"/>
        <v>736000</v>
      </c>
    </row>
    <row r="1290" spans="1:29" x14ac:dyDescent="0.25">
      <c r="A1290" s="1" t="s">
        <v>4818</v>
      </c>
      <c r="B1290" s="1" t="s">
        <v>4819</v>
      </c>
      <c r="C1290" s="1" t="s">
        <v>4820</v>
      </c>
      <c r="D1290" s="1">
        <v>2022</v>
      </c>
      <c r="E1290" s="1" t="s">
        <v>31</v>
      </c>
      <c r="F1290" s="1">
        <v>4</v>
      </c>
      <c r="G1290" s="1" t="s">
        <v>32</v>
      </c>
      <c r="H1290" s="1" t="s">
        <v>210</v>
      </c>
      <c r="I1290" s="1">
        <v>169000</v>
      </c>
      <c r="J1290" s="1">
        <v>154000</v>
      </c>
      <c r="K1290" s="1">
        <v>15000</v>
      </c>
      <c r="L1290" s="1">
        <v>0</v>
      </c>
      <c r="M1290" s="1" t="s">
        <v>34</v>
      </c>
      <c r="N1290" s="1" t="s">
        <v>70</v>
      </c>
      <c r="O1290" s="1" t="s">
        <v>188</v>
      </c>
      <c r="P1290" s="1" t="s">
        <v>189</v>
      </c>
      <c r="Q1290" s="1" t="s">
        <v>38</v>
      </c>
      <c r="R1290" s="1" t="s">
        <v>4821</v>
      </c>
      <c r="S1290" s="3">
        <v>919493000000</v>
      </c>
      <c r="T1290" s="1" t="s">
        <v>74</v>
      </c>
      <c r="U1290" s="1">
        <v>64</v>
      </c>
      <c r="V1290" s="1">
        <v>66</v>
      </c>
      <c r="W1290" s="1" t="s">
        <v>41</v>
      </c>
      <c r="X1290" s="1">
        <v>625452</v>
      </c>
      <c r="Y1290" s="2">
        <v>36753</v>
      </c>
      <c r="Z1290" s="1">
        <v>-10.8210262828535</v>
      </c>
      <c r="AA1290" s="1">
        <v>23</v>
      </c>
      <c r="AB1290" s="1">
        <v>676000</v>
      </c>
      <c r="AC1290" s="1">
        <f t="shared" si="20"/>
        <v>736000</v>
      </c>
    </row>
    <row r="1291" spans="1:29" x14ac:dyDescent="0.25">
      <c r="A1291" s="1" t="s">
        <v>4856</v>
      </c>
      <c r="B1291" s="1" t="s">
        <v>1185</v>
      </c>
      <c r="C1291" s="1" t="s">
        <v>1186</v>
      </c>
      <c r="D1291" s="1">
        <v>2022</v>
      </c>
      <c r="E1291" s="1" t="s">
        <v>31</v>
      </c>
      <c r="F1291" s="1">
        <v>4</v>
      </c>
      <c r="G1291" s="1" t="s">
        <v>32</v>
      </c>
      <c r="H1291" s="1" t="s">
        <v>33</v>
      </c>
      <c r="I1291" s="1">
        <v>169000</v>
      </c>
      <c r="J1291" s="1">
        <v>154000</v>
      </c>
      <c r="K1291" s="1">
        <v>15000</v>
      </c>
      <c r="L1291" s="1">
        <v>0</v>
      </c>
      <c r="M1291" s="1" t="s">
        <v>34</v>
      </c>
      <c r="N1291" s="1" t="s">
        <v>70</v>
      </c>
      <c r="O1291" s="1" t="s">
        <v>78</v>
      </c>
      <c r="P1291" s="1" t="s">
        <v>79</v>
      </c>
      <c r="Q1291" s="1" t="s">
        <v>38</v>
      </c>
      <c r="R1291" s="1" t="s">
        <v>4857</v>
      </c>
      <c r="S1291" s="3">
        <v>917534000000</v>
      </c>
      <c r="T1291" s="1" t="s">
        <v>98</v>
      </c>
      <c r="U1291" s="1">
        <v>64</v>
      </c>
      <c r="V1291" s="1">
        <v>61</v>
      </c>
      <c r="W1291" s="1" t="s">
        <v>52</v>
      </c>
      <c r="X1291" s="1">
        <v>315339</v>
      </c>
      <c r="Y1291" s="2">
        <v>37470</v>
      </c>
      <c r="Z1291" s="1">
        <v>-10.8210262828535</v>
      </c>
      <c r="AA1291" s="1">
        <v>21</v>
      </c>
      <c r="AB1291" s="1">
        <v>676000</v>
      </c>
      <c r="AC1291" s="1">
        <f t="shared" si="20"/>
        <v>736000</v>
      </c>
    </row>
    <row r="1292" spans="1:29" x14ac:dyDescent="0.25">
      <c r="A1292" s="1" t="s">
        <v>4862</v>
      </c>
      <c r="B1292" s="1" t="s">
        <v>4863</v>
      </c>
      <c r="C1292" s="1" t="s">
        <v>4864</v>
      </c>
      <c r="D1292" s="1">
        <v>2022</v>
      </c>
      <c r="E1292" s="1" t="s">
        <v>31</v>
      </c>
      <c r="F1292" s="1">
        <v>4</v>
      </c>
      <c r="G1292" s="1" t="s">
        <v>32</v>
      </c>
      <c r="H1292" s="1" t="s">
        <v>62</v>
      </c>
      <c r="I1292" s="1">
        <v>169000</v>
      </c>
      <c r="J1292" s="1">
        <v>154000</v>
      </c>
      <c r="K1292" s="1">
        <v>15000</v>
      </c>
      <c r="L1292" s="1">
        <v>0</v>
      </c>
      <c r="M1292" s="1" t="s">
        <v>34</v>
      </c>
      <c r="N1292" s="1" t="s">
        <v>35</v>
      </c>
      <c r="O1292" s="1" t="s">
        <v>36</v>
      </c>
      <c r="P1292" s="1" t="s">
        <v>37</v>
      </c>
      <c r="Q1292" s="1" t="s">
        <v>38</v>
      </c>
      <c r="R1292" s="1" t="s">
        <v>4865</v>
      </c>
      <c r="S1292" s="3">
        <v>919654000000</v>
      </c>
      <c r="T1292" s="1" t="s">
        <v>40</v>
      </c>
      <c r="U1292" s="1">
        <v>64</v>
      </c>
      <c r="V1292" s="1">
        <v>86</v>
      </c>
      <c r="W1292" s="1" t="s">
        <v>41</v>
      </c>
      <c r="X1292" s="1">
        <v>178319</v>
      </c>
      <c r="Y1292" s="2">
        <v>38684</v>
      </c>
      <c r="Z1292" s="1">
        <v>-10.8210262828535</v>
      </c>
      <c r="AA1292" s="1">
        <v>18</v>
      </c>
      <c r="AB1292" s="1">
        <v>676000</v>
      </c>
      <c r="AC1292" s="1">
        <f t="shared" si="20"/>
        <v>736000</v>
      </c>
    </row>
    <row r="1293" spans="1:29" x14ac:dyDescent="0.25">
      <c r="A1293" s="1" t="s">
        <v>4878</v>
      </c>
      <c r="B1293" s="1" t="s">
        <v>4879</v>
      </c>
      <c r="C1293" s="1" t="s">
        <v>4880</v>
      </c>
      <c r="D1293" s="1">
        <v>2022</v>
      </c>
      <c r="E1293" s="1" t="s">
        <v>45</v>
      </c>
      <c r="F1293" s="1">
        <v>2</v>
      </c>
      <c r="G1293" s="1" t="s">
        <v>46</v>
      </c>
      <c r="H1293" s="1" t="s">
        <v>90</v>
      </c>
      <c r="I1293" s="1">
        <v>92000</v>
      </c>
      <c r="J1293" s="1">
        <v>77000</v>
      </c>
      <c r="K1293" s="1">
        <v>15000</v>
      </c>
      <c r="L1293" s="1">
        <v>0</v>
      </c>
      <c r="M1293" s="1" t="s">
        <v>34</v>
      </c>
      <c r="N1293" s="1" t="s">
        <v>70</v>
      </c>
      <c r="O1293" s="1" t="s">
        <v>188</v>
      </c>
      <c r="P1293" s="1" t="s">
        <v>189</v>
      </c>
      <c r="Q1293" s="1" t="s">
        <v>38</v>
      </c>
      <c r="R1293" s="1" t="s">
        <v>4881</v>
      </c>
      <c r="S1293" s="3">
        <v>919260000000</v>
      </c>
      <c r="T1293" s="1" t="s">
        <v>98</v>
      </c>
      <c r="U1293" s="1">
        <v>64</v>
      </c>
      <c r="V1293" s="1">
        <v>90</v>
      </c>
      <c r="W1293" s="1" t="s">
        <v>41</v>
      </c>
      <c r="X1293" s="1">
        <v>371926</v>
      </c>
      <c r="Y1293" s="2">
        <v>35899</v>
      </c>
      <c r="Z1293" s="1">
        <v>-10.8210262828535</v>
      </c>
      <c r="AA1293" s="1">
        <v>26</v>
      </c>
      <c r="AB1293" s="1">
        <v>184000</v>
      </c>
      <c r="AC1293" s="1">
        <f t="shared" si="20"/>
        <v>214000</v>
      </c>
    </row>
    <row r="1294" spans="1:29" x14ac:dyDescent="0.25">
      <c r="A1294" s="1" t="s">
        <v>4882</v>
      </c>
      <c r="B1294" s="1" t="s">
        <v>4883</v>
      </c>
      <c r="C1294" s="1" t="s">
        <v>4884</v>
      </c>
      <c r="D1294" s="1">
        <v>2022</v>
      </c>
      <c r="E1294" s="1" t="s">
        <v>31</v>
      </c>
      <c r="F1294" s="1">
        <v>4</v>
      </c>
      <c r="G1294" s="1" t="s">
        <v>32</v>
      </c>
      <c r="H1294" s="1" t="s">
        <v>210</v>
      </c>
      <c r="I1294" s="1">
        <v>169000</v>
      </c>
      <c r="J1294" s="1">
        <v>154000</v>
      </c>
      <c r="K1294" s="1">
        <v>15000</v>
      </c>
      <c r="L1294" s="1">
        <v>0</v>
      </c>
      <c r="M1294" s="1" t="s">
        <v>34</v>
      </c>
      <c r="N1294" s="1" t="s">
        <v>70</v>
      </c>
      <c r="O1294" s="1" t="s">
        <v>48</v>
      </c>
      <c r="P1294" s="1" t="s">
        <v>49</v>
      </c>
      <c r="Q1294" s="1" t="s">
        <v>38</v>
      </c>
      <c r="R1294" s="1" t="s">
        <v>4885</v>
      </c>
      <c r="S1294" s="3">
        <v>917268000000</v>
      </c>
      <c r="T1294" s="1" t="s">
        <v>51</v>
      </c>
      <c r="U1294" s="1">
        <v>64</v>
      </c>
      <c r="V1294" s="1">
        <v>86</v>
      </c>
      <c r="W1294" s="1" t="s">
        <v>52</v>
      </c>
      <c r="X1294" s="1">
        <v>303135</v>
      </c>
      <c r="Y1294" s="2">
        <v>38210</v>
      </c>
      <c r="Z1294" s="1">
        <v>-10.8210262828535</v>
      </c>
      <c r="AA1294" s="1">
        <v>19</v>
      </c>
      <c r="AB1294" s="1">
        <v>676000</v>
      </c>
      <c r="AC1294" s="1">
        <f t="shared" si="20"/>
        <v>736000</v>
      </c>
    </row>
    <row r="1295" spans="1:29" x14ac:dyDescent="0.25">
      <c r="A1295" s="1" t="s">
        <v>4890</v>
      </c>
      <c r="B1295" s="1" t="s">
        <v>4891</v>
      </c>
      <c r="C1295" s="1" t="s">
        <v>4892</v>
      </c>
      <c r="D1295" s="1">
        <v>2022</v>
      </c>
      <c r="E1295" s="1" t="s">
        <v>31</v>
      </c>
      <c r="F1295" s="1">
        <v>4</v>
      </c>
      <c r="G1295" s="1" t="s">
        <v>32</v>
      </c>
      <c r="H1295" s="1" t="s">
        <v>113</v>
      </c>
      <c r="I1295" s="1">
        <v>169000</v>
      </c>
      <c r="J1295" s="1">
        <v>154000</v>
      </c>
      <c r="K1295" s="1">
        <v>15000</v>
      </c>
      <c r="L1295" s="1">
        <v>0</v>
      </c>
      <c r="M1295" s="1" t="s">
        <v>34</v>
      </c>
      <c r="N1295" s="1" t="s">
        <v>63</v>
      </c>
      <c r="O1295" s="1" t="s">
        <v>64</v>
      </c>
      <c r="P1295" s="1" t="s">
        <v>65</v>
      </c>
      <c r="Q1295" s="1" t="s">
        <v>38</v>
      </c>
      <c r="R1295" s="1" t="s">
        <v>4893</v>
      </c>
      <c r="S1295" s="3">
        <v>918643000000</v>
      </c>
      <c r="T1295" s="1" t="s">
        <v>74</v>
      </c>
      <c r="U1295" s="1">
        <v>64</v>
      </c>
      <c r="V1295" s="1">
        <v>83</v>
      </c>
      <c r="W1295" s="1" t="s">
        <v>52</v>
      </c>
      <c r="X1295" s="1">
        <v>706818</v>
      </c>
      <c r="Y1295" s="2">
        <v>36710</v>
      </c>
      <c r="Z1295" s="1">
        <v>-10.8210262828535</v>
      </c>
      <c r="AA1295" s="1">
        <v>24</v>
      </c>
      <c r="AB1295" s="1">
        <v>676000</v>
      </c>
      <c r="AC1295" s="1">
        <f t="shared" si="20"/>
        <v>736000</v>
      </c>
    </row>
    <row r="1296" spans="1:29" x14ac:dyDescent="0.25">
      <c r="A1296" s="1" t="s">
        <v>4906</v>
      </c>
      <c r="B1296" s="1" t="s">
        <v>4907</v>
      </c>
      <c r="C1296" s="1" t="s">
        <v>4908</v>
      </c>
      <c r="D1296" s="1">
        <v>2022</v>
      </c>
      <c r="E1296" s="1" t="s">
        <v>31</v>
      </c>
      <c r="F1296" s="1">
        <v>4</v>
      </c>
      <c r="G1296" s="1" t="s">
        <v>32</v>
      </c>
      <c r="H1296" s="1" t="s">
        <v>47</v>
      </c>
      <c r="I1296" s="1">
        <v>169000</v>
      </c>
      <c r="J1296" s="1">
        <v>154000</v>
      </c>
      <c r="K1296" s="1">
        <v>15000</v>
      </c>
      <c r="L1296" s="1">
        <v>0</v>
      </c>
      <c r="M1296" s="1" t="s">
        <v>34</v>
      </c>
      <c r="N1296" s="1" t="s">
        <v>63</v>
      </c>
      <c r="O1296" s="1" t="s">
        <v>84</v>
      </c>
      <c r="P1296" s="1" t="s">
        <v>65</v>
      </c>
      <c r="Q1296" s="1" t="s">
        <v>38</v>
      </c>
      <c r="R1296" s="1" t="s">
        <v>4909</v>
      </c>
      <c r="S1296" s="3">
        <v>919432000000</v>
      </c>
      <c r="T1296" s="1" t="s">
        <v>98</v>
      </c>
      <c r="U1296" s="1">
        <v>64</v>
      </c>
      <c r="V1296" s="1">
        <v>63</v>
      </c>
      <c r="W1296" s="1" t="s">
        <v>41</v>
      </c>
      <c r="X1296" s="1">
        <v>631392</v>
      </c>
      <c r="Y1296" s="2">
        <v>37281</v>
      </c>
      <c r="Z1296" s="1">
        <v>-10.8210262828535</v>
      </c>
      <c r="AA1296" s="1">
        <v>22</v>
      </c>
      <c r="AB1296" s="1">
        <v>676000</v>
      </c>
      <c r="AC1296" s="1">
        <f t="shared" si="20"/>
        <v>736000</v>
      </c>
    </row>
    <row r="1297" spans="1:29" x14ac:dyDescent="0.25">
      <c r="A1297" s="1" t="s">
        <v>4922</v>
      </c>
      <c r="B1297" s="1" t="s">
        <v>4923</v>
      </c>
      <c r="C1297" s="1" t="s">
        <v>4924</v>
      </c>
      <c r="D1297" s="1">
        <v>2022</v>
      </c>
      <c r="E1297" s="1" t="s">
        <v>31</v>
      </c>
      <c r="F1297" s="1">
        <v>4</v>
      </c>
      <c r="G1297" s="1" t="s">
        <v>32</v>
      </c>
      <c r="H1297" s="1" t="s">
        <v>102</v>
      </c>
      <c r="I1297" s="1">
        <v>169000</v>
      </c>
      <c r="J1297" s="1">
        <v>154000</v>
      </c>
      <c r="K1297" s="1">
        <v>15000</v>
      </c>
      <c r="L1297" s="1">
        <v>0</v>
      </c>
      <c r="M1297" s="1" t="s">
        <v>34</v>
      </c>
      <c r="N1297" s="1" t="s">
        <v>70</v>
      </c>
      <c r="O1297" s="1" t="s">
        <v>64</v>
      </c>
      <c r="P1297" s="1" t="s">
        <v>65</v>
      </c>
      <c r="Q1297" s="1" t="s">
        <v>38</v>
      </c>
      <c r="R1297" s="1" t="s">
        <v>4925</v>
      </c>
      <c r="S1297" s="3">
        <v>919603000000</v>
      </c>
      <c r="T1297" s="1" t="s">
        <v>86</v>
      </c>
      <c r="U1297" s="1">
        <v>64</v>
      </c>
      <c r="V1297" s="1">
        <v>70</v>
      </c>
      <c r="W1297" s="1" t="s">
        <v>41</v>
      </c>
      <c r="X1297" s="1">
        <v>611145</v>
      </c>
      <c r="Y1297" s="2">
        <v>38141</v>
      </c>
      <c r="Z1297" s="1">
        <v>-10.8210262828535</v>
      </c>
      <c r="AA1297" s="1">
        <v>20</v>
      </c>
      <c r="AB1297" s="1">
        <v>676000</v>
      </c>
      <c r="AC1297" s="1">
        <f t="shared" si="20"/>
        <v>736000</v>
      </c>
    </row>
    <row r="1298" spans="1:29" x14ac:dyDescent="0.25">
      <c r="A1298" s="1" t="s">
        <v>4926</v>
      </c>
      <c r="B1298" s="1" t="s">
        <v>4927</v>
      </c>
      <c r="C1298" s="1" t="s">
        <v>4928</v>
      </c>
      <c r="D1298" s="1">
        <v>2022</v>
      </c>
      <c r="E1298" s="1" t="s">
        <v>31</v>
      </c>
      <c r="F1298" s="1">
        <v>4</v>
      </c>
      <c r="G1298" s="1" t="s">
        <v>32</v>
      </c>
      <c r="H1298" s="1" t="s">
        <v>113</v>
      </c>
      <c r="I1298" s="1">
        <v>169000</v>
      </c>
      <c r="J1298" s="1">
        <v>154000</v>
      </c>
      <c r="K1298" s="1">
        <v>15000</v>
      </c>
      <c r="L1298" s="1">
        <v>0</v>
      </c>
      <c r="M1298" s="1" t="s">
        <v>34</v>
      </c>
      <c r="N1298" s="1" t="s">
        <v>63</v>
      </c>
      <c r="O1298" s="1" t="s">
        <v>91</v>
      </c>
      <c r="P1298" s="1" t="s">
        <v>92</v>
      </c>
      <c r="Q1298" s="1" t="s">
        <v>38</v>
      </c>
      <c r="R1298" s="1" t="s">
        <v>4929</v>
      </c>
      <c r="S1298" s="3">
        <v>917871000000</v>
      </c>
      <c r="T1298" s="1" t="s">
        <v>74</v>
      </c>
      <c r="U1298" s="1">
        <v>64</v>
      </c>
      <c r="V1298" s="1">
        <v>61</v>
      </c>
      <c r="W1298" s="1" t="s">
        <v>41</v>
      </c>
      <c r="X1298" s="1">
        <v>536139</v>
      </c>
      <c r="Y1298" s="2">
        <v>37827</v>
      </c>
      <c r="Z1298" s="1">
        <v>-10.8210262828535</v>
      </c>
      <c r="AA1298" s="1">
        <v>20</v>
      </c>
      <c r="AB1298" s="1">
        <v>676000</v>
      </c>
      <c r="AC1298" s="1">
        <f t="shared" si="20"/>
        <v>736000</v>
      </c>
    </row>
    <row r="1299" spans="1:29" x14ac:dyDescent="0.25">
      <c r="A1299" s="1" t="s">
        <v>4954</v>
      </c>
      <c r="B1299" s="1" t="s">
        <v>2716</v>
      </c>
      <c r="C1299" s="1" t="s">
        <v>2717</v>
      </c>
      <c r="D1299" s="1">
        <v>2022</v>
      </c>
      <c r="E1299" s="1" t="s">
        <v>31</v>
      </c>
      <c r="F1299" s="1">
        <v>4</v>
      </c>
      <c r="G1299" s="1" t="s">
        <v>32</v>
      </c>
      <c r="H1299" s="1" t="s">
        <v>90</v>
      </c>
      <c r="I1299" s="1">
        <v>169000</v>
      </c>
      <c r="J1299" s="1">
        <v>154000</v>
      </c>
      <c r="K1299" s="1">
        <v>15000</v>
      </c>
      <c r="L1299" s="1">
        <v>0</v>
      </c>
      <c r="M1299" s="1" t="s">
        <v>34</v>
      </c>
      <c r="N1299" s="1" t="s">
        <v>35</v>
      </c>
      <c r="O1299" s="1" t="s">
        <v>78</v>
      </c>
      <c r="P1299" s="1" t="s">
        <v>79</v>
      </c>
      <c r="Q1299" s="1" t="s">
        <v>38</v>
      </c>
      <c r="R1299" s="1" t="s">
        <v>4955</v>
      </c>
      <c r="S1299" s="3">
        <v>917970000000</v>
      </c>
      <c r="T1299" s="1" t="s">
        <v>74</v>
      </c>
      <c r="U1299" s="1">
        <v>64</v>
      </c>
      <c r="V1299" s="1">
        <v>82</v>
      </c>
      <c r="W1299" s="1" t="s">
        <v>41</v>
      </c>
      <c r="X1299" s="1">
        <v>190906</v>
      </c>
      <c r="Y1299" s="2">
        <v>37052</v>
      </c>
      <c r="Z1299" s="1">
        <v>-10.8210262828535</v>
      </c>
      <c r="AA1299" s="1">
        <v>23</v>
      </c>
      <c r="AB1299" s="1">
        <v>676000</v>
      </c>
      <c r="AC1299" s="1">
        <f t="shared" si="20"/>
        <v>736000</v>
      </c>
    </row>
    <row r="1300" spans="1:29" x14ac:dyDescent="0.25">
      <c r="A1300" s="1" t="s">
        <v>4960</v>
      </c>
      <c r="B1300" s="1" t="s">
        <v>2897</v>
      </c>
      <c r="C1300" s="1" t="s">
        <v>2898</v>
      </c>
      <c r="D1300" s="1">
        <v>2022</v>
      </c>
      <c r="E1300" s="1" t="s">
        <v>45</v>
      </c>
      <c r="F1300" s="1">
        <v>2</v>
      </c>
      <c r="G1300" s="1" t="s">
        <v>46</v>
      </c>
      <c r="H1300" s="1" t="s">
        <v>47</v>
      </c>
      <c r="I1300" s="1">
        <v>92000</v>
      </c>
      <c r="J1300" s="1">
        <v>77000</v>
      </c>
      <c r="K1300" s="1">
        <v>15000</v>
      </c>
      <c r="L1300" s="1">
        <v>0</v>
      </c>
      <c r="M1300" s="1" t="s">
        <v>34</v>
      </c>
      <c r="N1300" s="1" t="s">
        <v>63</v>
      </c>
      <c r="O1300" s="1" t="s">
        <v>91</v>
      </c>
      <c r="P1300" s="1" t="s">
        <v>92</v>
      </c>
      <c r="Q1300" s="1" t="s">
        <v>38</v>
      </c>
      <c r="R1300" s="1" t="s">
        <v>4961</v>
      </c>
      <c r="S1300" s="3">
        <v>919438000000</v>
      </c>
      <c r="T1300" s="1" t="s">
        <v>51</v>
      </c>
      <c r="U1300" s="1">
        <v>64</v>
      </c>
      <c r="V1300" s="1">
        <v>63</v>
      </c>
      <c r="W1300" s="1" t="s">
        <v>52</v>
      </c>
      <c r="X1300" s="1">
        <v>767001</v>
      </c>
      <c r="Y1300" s="2">
        <v>35592</v>
      </c>
      <c r="Z1300" s="1">
        <v>-10.8210262828535</v>
      </c>
      <c r="AA1300" s="1">
        <v>27</v>
      </c>
      <c r="AB1300" s="1">
        <v>184000</v>
      </c>
      <c r="AC1300" s="1">
        <f t="shared" si="20"/>
        <v>214000</v>
      </c>
    </row>
    <row r="1301" spans="1:29" x14ac:dyDescent="0.25">
      <c r="A1301" s="1" t="s">
        <v>4962</v>
      </c>
      <c r="B1301" s="1" t="s">
        <v>4963</v>
      </c>
      <c r="C1301" s="1" t="s">
        <v>4964</v>
      </c>
      <c r="D1301" s="1">
        <v>2022</v>
      </c>
      <c r="E1301" s="1" t="s">
        <v>31</v>
      </c>
      <c r="F1301" s="1">
        <v>4</v>
      </c>
      <c r="G1301" s="1" t="s">
        <v>32</v>
      </c>
      <c r="H1301" s="1" t="s">
        <v>56</v>
      </c>
      <c r="I1301" s="1">
        <v>169000</v>
      </c>
      <c r="J1301" s="1">
        <v>154000</v>
      </c>
      <c r="K1301" s="1">
        <v>15000</v>
      </c>
      <c r="L1301" s="1">
        <v>0</v>
      </c>
      <c r="M1301" s="1" t="s">
        <v>34</v>
      </c>
      <c r="N1301" s="1" t="s">
        <v>35</v>
      </c>
      <c r="O1301" s="1" t="s">
        <v>91</v>
      </c>
      <c r="P1301" s="1" t="s">
        <v>92</v>
      </c>
      <c r="Q1301" s="1" t="s">
        <v>38</v>
      </c>
      <c r="R1301" s="1" t="s">
        <v>4965</v>
      </c>
      <c r="S1301" s="3">
        <v>918421000000</v>
      </c>
      <c r="T1301" s="1" t="s">
        <v>98</v>
      </c>
      <c r="U1301" s="1">
        <v>63</v>
      </c>
      <c r="V1301" s="1">
        <v>61</v>
      </c>
      <c r="W1301" s="1" t="s">
        <v>52</v>
      </c>
      <c r="X1301" s="1">
        <v>507061</v>
      </c>
      <c r="Y1301" s="2">
        <v>38073</v>
      </c>
      <c r="Z1301" s="1">
        <v>-11.8210262828535</v>
      </c>
      <c r="AA1301" s="1">
        <v>20</v>
      </c>
      <c r="AB1301" s="1">
        <v>676000</v>
      </c>
      <c r="AC1301" s="1">
        <f t="shared" si="20"/>
        <v>736000</v>
      </c>
    </row>
    <row r="1302" spans="1:29" x14ac:dyDescent="0.25">
      <c r="A1302" s="1" t="s">
        <v>4970</v>
      </c>
      <c r="B1302" s="1" t="s">
        <v>4061</v>
      </c>
      <c r="C1302" s="1" t="s">
        <v>4062</v>
      </c>
      <c r="D1302" s="1">
        <v>2022</v>
      </c>
      <c r="E1302" s="1" t="s">
        <v>45</v>
      </c>
      <c r="F1302" s="1">
        <v>2</v>
      </c>
      <c r="G1302" s="1" t="s">
        <v>46</v>
      </c>
      <c r="H1302" s="1" t="s">
        <v>102</v>
      </c>
      <c r="I1302" s="1">
        <v>92000</v>
      </c>
      <c r="J1302" s="1">
        <v>77000</v>
      </c>
      <c r="K1302" s="1">
        <v>15000</v>
      </c>
      <c r="L1302" s="1">
        <v>0</v>
      </c>
      <c r="M1302" s="1" t="s">
        <v>34</v>
      </c>
      <c r="N1302" s="1" t="s">
        <v>35</v>
      </c>
      <c r="O1302" s="1" t="s">
        <v>64</v>
      </c>
      <c r="P1302" s="1" t="s">
        <v>65</v>
      </c>
      <c r="Q1302" s="1" t="s">
        <v>38</v>
      </c>
      <c r="R1302" s="1" t="s">
        <v>4971</v>
      </c>
      <c r="S1302" s="3">
        <v>919368000000</v>
      </c>
      <c r="T1302" s="1" t="s">
        <v>51</v>
      </c>
      <c r="U1302" s="1">
        <v>63</v>
      </c>
      <c r="V1302" s="1">
        <v>60</v>
      </c>
      <c r="W1302" s="1" t="s">
        <v>41</v>
      </c>
      <c r="X1302" s="1">
        <v>135870</v>
      </c>
      <c r="Y1302" s="2">
        <v>36910</v>
      </c>
      <c r="Z1302" s="1">
        <v>-11.8210262828535</v>
      </c>
      <c r="AA1302" s="1">
        <v>23</v>
      </c>
      <c r="AB1302" s="1">
        <v>184000</v>
      </c>
      <c r="AC1302" s="1">
        <f t="shared" si="20"/>
        <v>214000</v>
      </c>
    </row>
    <row r="1303" spans="1:29" x14ac:dyDescent="0.25">
      <c r="A1303" s="1" t="s">
        <v>4980</v>
      </c>
      <c r="B1303" s="1" t="s">
        <v>1027</v>
      </c>
      <c r="C1303" s="1" t="s">
        <v>1028</v>
      </c>
      <c r="D1303" s="1">
        <v>2022</v>
      </c>
      <c r="E1303" s="1" t="s">
        <v>31</v>
      </c>
      <c r="F1303" s="1">
        <v>4</v>
      </c>
      <c r="G1303" s="1" t="s">
        <v>32</v>
      </c>
      <c r="H1303" s="1" t="s">
        <v>102</v>
      </c>
      <c r="I1303" s="1">
        <v>169000</v>
      </c>
      <c r="J1303" s="1">
        <v>154000</v>
      </c>
      <c r="K1303" s="1">
        <v>15000</v>
      </c>
      <c r="L1303" s="1">
        <v>0</v>
      </c>
      <c r="M1303" s="1" t="s">
        <v>34</v>
      </c>
      <c r="N1303" s="1" t="s">
        <v>70</v>
      </c>
      <c r="O1303" s="1" t="s">
        <v>84</v>
      </c>
      <c r="P1303" s="1" t="s">
        <v>65</v>
      </c>
      <c r="Q1303" s="1" t="s">
        <v>38</v>
      </c>
      <c r="R1303" s="1" t="s">
        <v>4981</v>
      </c>
      <c r="S1303" s="3">
        <v>918564000000</v>
      </c>
      <c r="T1303" s="1" t="s">
        <v>40</v>
      </c>
      <c r="U1303" s="1">
        <v>63</v>
      </c>
      <c r="V1303" s="1">
        <v>76</v>
      </c>
      <c r="W1303" s="1" t="s">
        <v>52</v>
      </c>
      <c r="X1303" s="1">
        <v>703989</v>
      </c>
      <c r="Y1303" s="2">
        <v>37849</v>
      </c>
      <c r="Z1303" s="1">
        <v>-11.8210262828535</v>
      </c>
      <c r="AA1303" s="1">
        <v>20</v>
      </c>
      <c r="AB1303" s="1">
        <v>676000</v>
      </c>
      <c r="AC1303" s="1">
        <f t="shared" si="20"/>
        <v>736000</v>
      </c>
    </row>
    <row r="1304" spans="1:29" x14ac:dyDescent="0.25">
      <c r="A1304" s="1" t="s">
        <v>4990</v>
      </c>
      <c r="B1304" s="1" t="s">
        <v>3464</v>
      </c>
      <c r="C1304" s="1" t="s">
        <v>3465</v>
      </c>
      <c r="D1304" s="1">
        <v>2022</v>
      </c>
      <c r="E1304" s="1" t="s">
        <v>31</v>
      </c>
      <c r="F1304" s="1">
        <v>4</v>
      </c>
      <c r="G1304" s="1" t="s">
        <v>32</v>
      </c>
      <c r="H1304" s="1" t="s">
        <v>102</v>
      </c>
      <c r="I1304" s="1">
        <v>169000</v>
      </c>
      <c r="J1304" s="1">
        <v>154000</v>
      </c>
      <c r="K1304" s="1">
        <v>15000</v>
      </c>
      <c r="L1304" s="1">
        <v>0</v>
      </c>
      <c r="M1304" s="1" t="s">
        <v>34</v>
      </c>
      <c r="N1304" s="1" t="s">
        <v>63</v>
      </c>
      <c r="O1304" s="1" t="s">
        <v>84</v>
      </c>
      <c r="P1304" s="1" t="s">
        <v>65</v>
      </c>
      <c r="Q1304" s="1" t="s">
        <v>38</v>
      </c>
      <c r="R1304" s="1" t="s">
        <v>4991</v>
      </c>
      <c r="S1304" s="3">
        <v>919878000000</v>
      </c>
      <c r="T1304" s="1" t="s">
        <v>98</v>
      </c>
      <c r="U1304" s="1">
        <v>63</v>
      </c>
      <c r="V1304" s="1">
        <v>87</v>
      </c>
      <c r="W1304" s="1" t="s">
        <v>52</v>
      </c>
      <c r="X1304" s="1">
        <v>587464</v>
      </c>
      <c r="Y1304" s="2">
        <v>38758</v>
      </c>
      <c r="Z1304" s="1">
        <v>-11.8210262828535</v>
      </c>
      <c r="AA1304" s="1">
        <v>18</v>
      </c>
      <c r="AB1304" s="1">
        <v>676000</v>
      </c>
      <c r="AC1304" s="1">
        <f t="shared" si="20"/>
        <v>736000</v>
      </c>
    </row>
    <row r="1305" spans="1:29" x14ac:dyDescent="0.25">
      <c r="A1305" s="1" t="s">
        <v>5024</v>
      </c>
      <c r="B1305" s="1" t="s">
        <v>2078</v>
      </c>
      <c r="C1305" s="1" t="s">
        <v>2079</v>
      </c>
      <c r="D1305" s="1">
        <v>2022</v>
      </c>
      <c r="E1305" s="1" t="s">
        <v>45</v>
      </c>
      <c r="F1305" s="1">
        <v>2</v>
      </c>
      <c r="G1305" s="1" t="s">
        <v>46</v>
      </c>
      <c r="H1305" s="1" t="s">
        <v>62</v>
      </c>
      <c r="I1305" s="1">
        <v>92000</v>
      </c>
      <c r="J1305" s="1">
        <v>77000</v>
      </c>
      <c r="K1305" s="1">
        <v>15000</v>
      </c>
      <c r="L1305" s="1">
        <v>0</v>
      </c>
      <c r="M1305" s="1" t="s">
        <v>34</v>
      </c>
      <c r="N1305" s="1" t="s">
        <v>70</v>
      </c>
      <c r="O1305" s="1" t="s">
        <v>78</v>
      </c>
      <c r="P1305" s="1" t="s">
        <v>79</v>
      </c>
      <c r="Q1305" s="1" t="s">
        <v>38</v>
      </c>
      <c r="R1305" s="1" t="s">
        <v>5025</v>
      </c>
      <c r="S1305" s="3">
        <v>917117000000</v>
      </c>
      <c r="T1305" s="1" t="s">
        <v>40</v>
      </c>
      <c r="U1305" s="1">
        <v>63</v>
      </c>
      <c r="V1305" s="1">
        <v>70</v>
      </c>
      <c r="W1305" s="1" t="s">
        <v>41</v>
      </c>
      <c r="X1305" s="1">
        <v>350827</v>
      </c>
      <c r="Y1305" s="2">
        <v>36244</v>
      </c>
      <c r="Z1305" s="1">
        <v>-11.8210262828535</v>
      </c>
      <c r="AA1305" s="1">
        <v>25</v>
      </c>
      <c r="AB1305" s="1">
        <v>184000</v>
      </c>
      <c r="AC1305" s="1">
        <f t="shared" si="20"/>
        <v>214000</v>
      </c>
    </row>
    <row r="1306" spans="1:29" x14ac:dyDescent="0.25">
      <c r="A1306" s="1" t="s">
        <v>5028</v>
      </c>
      <c r="B1306" s="1" t="s">
        <v>4382</v>
      </c>
      <c r="C1306" s="1" t="s">
        <v>4383</v>
      </c>
      <c r="D1306" s="1">
        <v>2022</v>
      </c>
      <c r="E1306" s="1" t="s">
        <v>31</v>
      </c>
      <c r="F1306" s="1">
        <v>4</v>
      </c>
      <c r="G1306" s="1" t="s">
        <v>32</v>
      </c>
      <c r="H1306" s="1" t="s">
        <v>33</v>
      </c>
      <c r="I1306" s="1">
        <v>169000</v>
      </c>
      <c r="J1306" s="1">
        <v>154000</v>
      </c>
      <c r="K1306" s="1">
        <v>15000</v>
      </c>
      <c r="L1306" s="1">
        <v>0</v>
      </c>
      <c r="M1306" s="1" t="s">
        <v>34</v>
      </c>
      <c r="N1306" s="1" t="s">
        <v>63</v>
      </c>
      <c r="O1306" s="1" t="s">
        <v>188</v>
      </c>
      <c r="P1306" s="1" t="s">
        <v>189</v>
      </c>
      <c r="Q1306" s="1" t="s">
        <v>38</v>
      </c>
      <c r="R1306" s="1" t="s">
        <v>5029</v>
      </c>
      <c r="S1306" s="3">
        <v>919293000000</v>
      </c>
      <c r="T1306" s="1" t="s">
        <v>98</v>
      </c>
      <c r="U1306" s="1">
        <v>63</v>
      </c>
      <c r="V1306" s="1">
        <v>77</v>
      </c>
      <c r="W1306" s="1" t="s">
        <v>52</v>
      </c>
      <c r="X1306" s="1">
        <v>321716</v>
      </c>
      <c r="Y1306" s="2">
        <v>38147</v>
      </c>
      <c r="Z1306" s="1">
        <v>-11.8210262828535</v>
      </c>
      <c r="AA1306" s="1">
        <v>20</v>
      </c>
      <c r="AB1306" s="1">
        <v>676000</v>
      </c>
      <c r="AC1306" s="1">
        <f t="shared" si="20"/>
        <v>736000</v>
      </c>
    </row>
    <row r="1307" spans="1:29" x14ac:dyDescent="0.25">
      <c r="A1307" s="1" t="s">
        <v>5032</v>
      </c>
      <c r="B1307" s="1" t="s">
        <v>5033</v>
      </c>
      <c r="C1307" s="1" t="s">
        <v>5034</v>
      </c>
      <c r="D1307" s="1">
        <v>2022</v>
      </c>
      <c r="E1307" s="1" t="s">
        <v>31</v>
      </c>
      <c r="F1307" s="1">
        <v>4</v>
      </c>
      <c r="G1307" s="1" t="s">
        <v>32</v>
      </c>
      <c r="H1307" s="1" t="s">
        <v>56</v>
      </c>
      <c r="I1307" s="1">
        <v>169000</v>
      </c>
      <c r="J1307" s="1">
        <v>154000</v>
      </c>
      <c r="K1307" s="1">
        <v>15000</v>
      </c>
      <c r="L1307" s="1">
        <v>0</v>
      </c>
      <c r="M1307" s="1" t="s">
        <v>34</v>
      </c>
      <c r="N1307" s="1" t="s">
        <v>63</v>
      </c>
      <c r="O1307" s="1" t="s">
        <v>84</v>
      </c>
      <c r="P1307" s="1" t="s">
        <v>65</v>
      </c>
      <c r="Q1307" s="1" t="s">
        <v>38</v>
      </c>
      <c r="R1307" s="1" t="s">
        <v>5035</v>
      </c>
      <c r="S1307" s="3">
        <v>918738000000</v>
      </c>
      <c r="T1307" s="1" t="s">
        <v>86</v>
      </c>
      <c r="U1307" s="1">
        <v>63</v>
      </c>
      <c r="V1307" s="1">
        <v>79</v>
      </c>
      <c r="W1307" s="1" t="s">
        <v>52</v>
      </c>
      <c r="X1307" s="1">
        <v>539342</v>
      </c>
      <c r="Y1307" s="2">
        <v>36794</v>
      </c>
      <c r="Z1307" s="1">
        <v>-11.8210262828535</v>
      </c>
      <c r="AA1307" s="1">
        <v>23</v>
      </c>
      <c r="AB1307" s="1">
        <v>676000</v>
      </c>
      <c r="AC1307" s="1">
        <f t="shared" si="20"/>
        <v>736000</v>
      </c>
    </row>
    <row r="1308" spans="1:29" x14ac:dyDescent="0.25">
      <c r="A1308" s="1" t="s">
        <v>5038</v>
      </c>
      <c r="B1308" s="1" t="s">
        <v>5039</v>
      </c>
      <c r="C1308" s="1" t="s">
        <v>5040</v>
      </c>
      <c r="D1308" s="1">
        <v>2022</v>
      </c>
      <c r="E1308" s="1" t="s">
        <v>31</v>
      </c>
      <c r="F1308" s="1">
        <v>4</v>
      </c>
      <c r="G1308" s="1" t="s">
        <v>32</v>
      </c>
      <c r="H1308" s="1" t="s">
        <v>102</v>
      </c>
      <c r="I1308" s="1">
        <v>169000</v>
      </c>
      <c r="J1308" s="1">
        <v>154000</v>
      </c>
      <c r="K1308" s="1">
        <v>15000</v>
      </c>
      <c r="L1308" s="1">
        <v>0</v>
      </c>
      <c r="M1308" s="1" t="s">
        <v>34</v>
      </c>
      <c r="N1308" s="1" t="s">
        <v>63</v>
      </c>
      <c r="O1308" s="1" t="s">
        <v>36</v>
      </c>
      <c r="P1308" s="1" t="s">
        <v>37</v>
      </c>
      <c r="Q1308" s="1" t="s">
        <v>38</v>
      </c>
      <c r="R1308" s="1" t="s">
        <v>5041</v>
      </c>
      <c r="S1308" s="3">
        <v>919125000000</v>
      </c>
      <c r="T1308" s="1" t="s">
        <v>86</v>
      </c>
      <c r="U1308" s="1">
        <v>63</v>
      </c>
      <c r="V1308" s="1">
        <v>74</v>
      </c>
      <c r="W1308" s="1" t="s">
        <v>41</v>
      </c>
      <c r="X1308" s="1">
        <v>464010</v>
      </c>
      <c r="Y1308" s="2">
        <v>38300</v>
      </c>
      <c r="Z1308" s="1">
        <v>-11.8210262828535</v>
      </c>
      <c r="AA1308" s="1">
        <v>19</v>
      </c>
      <c r="AB1308" s="1">
        <v>676000</v>
      </c>
      <c r="AC1308" s="1">
        <f t="shared" si="20"/>
        <v>736000</v>
      </c>
    </row>
    <row r="1309" spans="1:29" x14ac:dyDescent="0.25">
      <c r="A1309" s="1" t="s">
        <v>5053</v>
      </c>
      <c r="B1309" s="1" t="s">
        <v>4129</v>
      </c>
      <c r="C1309" s="1" t="s">
        <v>4130</v>
      </c>
      <c r="D1309" s="1">
        <v>2022</v>
      </c>
      <c r="E1309" s="1" t="s">
        <v>45</v>
      </c>
      <c r="F1309" s="1">
        <v>2</v>
      </c>
      <c r="G1309" s="1" t="s">
        <v>46</v>
      </c>
      <c r="H1309" s="1" t="s">
        <v>62</v>
      </c>
      <c r="I1309" s="1">
        <v>92000</v>
      </c>
      <c r="J1309" s="1">
        <v>77000</v>
      </c>
      <c r="K1309" s="1">
        <v>15000</v>
      </c>
      <c r="L1309" s="1">
        <v>0</v>
      </c>
      <c r="M1309" s="1" t="s">
        <v>34</v>
      </c>
      <c r="N1309" s="1" t="s">
        <v>35</v>
      </c>
      <c r="O1309" s="1" t="s">
        <v>48</v>
      </c>
      <c r="P1309" s="1" t="s">
        <v>49</v>
      </c>
      <c r="Q1309" s="1" t="s">
        <v>38</v>
      </c>
      <c r="R1309" s="1" t="s">
        <v>5054</v>
      </c>
      <c r="S1309" s="3">
        <v>917237000000</v>
      </c>
      <c r="T1309" s="1" t="s">
        <v>51</v>
      </c>
      <c r="U1309" s="1">
        <v>63</v>
      </c>
      <c r="V1309" s="1">
        <v>81</v>
      </c>
      <c r="W1309" s="1" t="s">
        <v>52</v>
      </c>
      <c r="X1309" s="1">
        <v>623918</v>
      </c>
      <c r="Y1309" s="2">
        <v>36206</v>
      </c>
      <c r="Z1309" s="1">
        <v>-11.8210262828535</v>
      </c>
      <c r="AA1309" s="1">
        <v>25</v>
      </c>
      <c r="AB1309" s="1">
        <v>184000</v>
      </c>
      <c r="AC1309" s="1">
        <f t="shared" si="20"/>
        <v>214000</v>
      </c>
    </row>
    <row r="1310" spans="1:29" x14ac:dyDescent="0.25">
      <c r="A1310" s="1" t="s">
        <v>5067</v>
      </c>
      <c r="B1310" s="1" t="s">
        <v>5068</v>
      </c>
      <c r="C1310" s="1" t="s">
        <v>5069</v>
      </c>
      <c r="D1310" s="1">
        <v>2022</v>
      </c>
      <c r="E1310" s="1" t="s">
        <v>31</v>
      </c>
      <c r="F1310" s="1">
        <v>4</v>
      </c>
      <c r="G1310" s="1" t="s">
        <v>32</v>
      </c>
      <c r="H1310" s="1" t="s">
        <v>56</v>
      </c>
      <c r="I1310" s="1">
        <v>169000</v>
      </c>
      <c r="J1310" s="1">
        <v>154000</v>
      </c>
      <c r="K1310" s="1">
        <v>15000</v>
      </c>
      <c r="L1310" s="1">
        <v>0</v>
      </c>
      <c r="M1310" s="1" t="s">
        <v>34</v>
      </c>
      <c r="N1310" s="1" t="s">
        <v>70</v>
      </c>
      <c r="O1310" s="1" t="s">
        <v>188</v>
      </c>
      <c r="P1310" s="1" t="s">
        <v>189</v>
      </c>
      <c r="Q1310" s="1" t="s">
        <v>38</v>
      </c>
      <c r="R1310" s="1" t="s">
        <v>5070</v>
      </c>
      <c r="S1310" s="3">
        <v>918530000000</v>
      </c>
      <c r="T1310" s="1" t="s">
        <v>86</v>
      </c>
      <c r="U1310" s="1">
        <v>63</v>
      </c>
      <c r="V1310" s="1">
        <v>67</v>
      </c>
      <c r="W1310" s="1" t="s">
        <v>41</v>
      </c>
      <c r="X1310" s="1">
        <v>653188</v>
      </c>
      <c r="Y1310" s="2">
        <v>36710</v>
      </c>
      <c r="Z1310" s="1">
        <v>-11.8210262828535</v>
      </c>
      <c r="AA1310" s="1">
        <v>24</v>
      </c>
      <c r="AB1310" s="1">
        <v>676000</v>
      </c>
      <c r="AC1310" s="1">
        <f t="shared" si="20"/>
        <v>736000</v>
      </c>
    </row>
    <row r="1311" spans="1:29" x14ac:dyDescent="0.25">
      <c r="A1311" s="1" t="s">
        <v>5111</v>
      </c>
      <c r="B1311" s="1" t="s">
        <v>5112</v>
      </c>
      <c r="C1311" s="1" t="s">
        <v>5113</v>
      </c>
      <c r="D1311" s="1">
        <v>2022</v>
      </c>
      <c r="E1311" s="1" t="s">
        <v>31</v>
      </c>
      <c r="F1311" s="1">
        <v>4</v>
      </c>
      <c r="G1311" s="1" t="s">
        <v>32</v>
      </c>
      <c r="H1311" s="1" t="s">
        <v>33</v>
      </c>
      <c r="I1311" s="1">
        <v>169000</v>
      </c>
      <c r="J1311" s="1">
        <v>154000</v>
      </c>
      <c r="K1311" s="1">
        <v>15000</v>
      </c>
      <c r="L1311" s="1">
        <v>0</v>
      </c>
      <c r="M1311" s="1" t="s">
        <v>34</v>
      </c>
      <c r="N1311" s="1" t="s">
        <v>35</v>
      </c>
      <c r="O1311" s="1" t="s">
        <v>36</v>
      </c>
      <c r="P1311" s="1" t="s">
        <v>37</v>
      </c>
      <c r="Q1311" s="1" t="s">
        <v>38</v>
      </c>
      <c r="R1311" s="1" t="s">
        <v>5114</v>
      </c>
      <c r="S1311" s="3">
        <v>919812000000</v>
      </c>
      <c r="T1311" s="1" t="s">
        <v>86</v>
      </c>
      <c r="U1311" s="1">
        <v>63</v>
      </c>
      <c r="V1311" s="1">
        <v>68</v>
      </c>
      <c r="W1311" s="1" t="s">
        <v>52</v>
      </c>
      <c r="X1311" s="1">
        <v>706514</v>
      </c>
      <c r="Y1311" s="2">
        <v>38781</v>
      </c>
      <c r="Z1311" s="1">
        <v>-11.8210262828535</v>
      </c>
      <c r="AA1311" s="1">
        <v>18</v>
      </c>
      <c r="AB1311" s="1">
        <v>676000</v>
      </c>
      <c r="AC1311" s="1">
        <f t="shared" si="20"/>
        <v>736000</v>
      </c>
    </row>
    <row r="1312" spans="1:29" x14ac:dyDescent="0.25">
      <c r="A1312" s="1" t="s">
        <v>5115</v>
      </c>
      <c r="B1312" s="1" t="s">
        <v>5116</v>
      </c>
      <c r="C1312" s="1" t="s">
        <v>5117</v>
      </c>
      <c r="D1312" s="1">
        <v>2022</v>
      </c>
      <c r="E1312" s="1" t="s">
        <v>31</v>
      </c>
      <c r="F1312" s="1">
        <v>4</v>
      </c>
      <c r="G1312" s="1" t="s">
        <v>32</v>
      </c>
      <c r="H1312" s="1" t="s">
        <v>151</v>
      </c>
      <c r="I1312" s="1">
        <v>169000</v>
      </c>
      <c r="J1312" s="1">
        <v>154000</v>
      </c>
      <c r="K1312" s="1">
        <v>15000</v>
      </c>
      <c r="L1312" s="1">
        <v>0</v>
      </c>
      <c r="M1312" s="1" t="s">
        <v>34</v>
      </c>
      <c r="N1312" s="1" t="s">
        <v>63</v>
      </c>
      <c r="O1312" s="1" t="s">
        <v>71</v>
      </c>
      <c r="P1312" s="1" t="s">
        <v>72</v>
      </c>
      <c r="Q1312" s="1" t="s">
        <v>38</v>
      </c>
      <c r="R1312" s="1" t="s">
        <v>5118</v>
      </c>
      <c r="S1312" s="3">
        <v>917615000000</v>
      </c>
      <c r="T1312" s="1" t="s">
        <v>40</v>
      </c>
      <c r="U1312" s="1">
        <v>63</v>
      </c>
      <c r="V1312" s="1">
        <v>77</v>
      </c>
      <c r="W1312" s="1" t="s">
        <v>41</v>
      </c>
      <c r="X1312" s="1">
        <v>706349</v>
      </c>
      <c r="Y1312" s="2">
        <v>37938</v>
      </c>
      <c r="Z1312" s="1">
        <v>-11.8210262828535</v>
      </c>
      <c r="AA1312" s="1">
        <v>20</v>
      </c>
      <c r="AB1312" s="1">
        <v>676000</v>
      </c>
      <c r="AC1312" s="1">
        <f t="shared" si="20"/>
        <v>736000</v>
      </c>
    </row>
    <row r="1313" spans="1:29" x14ac:dyDescent="0.25">
      <c r="A1313" s="1" t="s">
        <v>5137</v>
      </c>
      <c r="B1313" s="1" t="s">
        <v>5138</v>
      </c>
      <c r="C1313" s="1" t="s">
        <v>5139</v>
      </c>
      <c r="D1313" s="1">
        <v>2022</v>
      </c>
      <c r="E1313" s="1" t="s">
        <v>31</v>
      </c>
      <c r="F1313" s="1">
        <v>4</v>
      </c>
      <c r="G1313" s="1" t="s">
        <v>32</v>
      </c>
      <c r="H1313" s="1" t="s">
        <v>62</v>
      </c>
      <c r="I1313" s="1">
        <v>169000</v>
      </c>
      <c r="J1313" s="1">
        <v>154000</v>
      </c>
      <c r="K1313" s="1">
        <v>15000</v>
      </c>
      <c r="L1313" s="1">
        <v>0</v>
      </c>
      <c r="M1313" s="1" t="s">
        <v>34</v>
      </c>
      <c r="N1313" s="1" t="s">
        <v>35</v>
      </c>
      <c r="O1313" s="1" t="s">
        <v>36</v>
      </c>
      <c r="P1313" s="1" t="s">
        <v>37</v>
      </c>
      <c r="Q1313" s="1" t="s">
        <v>38</v>
      </c>
      <c r="R1313" s="1" t="s">
        <v>5140</v>
      </c>
      <c r="S1313" s="3">
        <v>918739000000</v>
      </c>
      <c r="T1313" s="1" t="s">
        <v>98</v>
      </c>
      <c r="U1313" s="1">
        <v>63</v>
      </c>
      <c r="V1313" s="1">
        <v>87</v>
      </c>
      <c r="W1313" s="1" t="s">
        <v>41</v>
      </c>
      <c r="X1313" s="1">
        <v>241575</v>
      </c>
      <c r="Y1313" s="2">
        <v>38633</v>
      </c>
      <c r="Z1313" s="1">
        <v>-11.8210262828535</v>
      </c>
      <c r="AA1313" s="1">
        <v>18</v>
      </c>
      <c r="AB1313" s="1">
        <v>676000</v>
      </c>
      <c r="AC1313" s="1">
        <f t="shared" si="20"/>
        <v>736000</v>
      </c>
    </row>
    <row r="1314" spans="1:29" x14ac:dyDescent="0.25">
      <c r="A1314" s="1" t="s">
        <v>5145</v>
      </c>
      <c r="B1314" s="1" t="s">
        <v>5146</v>
      </c>
      <c r="C1314" s="1" t="s">
        <v>5147</v>
      </c>
      <c r="D1314" s="1">
        <v>2022</v>
      </c>
      <c r="E1314" s="1" t="s">
        <v>31</v>
      </c>
      <c r="F1314" s="1">
        <v>4</v>
      </c>
      <c r="G1314" s="1" t="s">
        <v>32</v>
      </c>
      <c r="H1314" s="1" t="s">
        <v>102</v>
      </c>
      <c r="I1314" s="1">
        <v>169000</v>
      </c>
      <c r="J1314" s="1">
        <v>154000</v>
      </c>
      <c r="K1314" s="1">
        <v>15000</v>
      </c>
      <c r="L1314" s="1">
        <v>0</v>
      </c>
      <c r="M1314" s="1" t="s">
        <v>34</v>
      </c>
      <c r="N1314" s="1" t="s">
        <v>70</v>
      </c>
      <c r="O1314" s="1" t="s">
        <v>103</v>
      </c>
      <c r="P1314" s="1" t="s">
        <v>104</v>
      </c>
      <c r="Q1314" s="1" t="s">
        <v>38</v>
      </c>
      <c r="R1314" s="1" t="s">
        <v>5148</v>
      </c>
      <c r="S1314" s="3">
        <v>917749000000</v>
      </c>
      <c r="T1314" s="1" t="s">
        <v>86</v>
      </c>
      <c r="U1314" s="1">
        <v>63</v>
      </c>
      <c r="V1314" s="1">
        <v>82</v>
      </c>
      <c r="W1314" s="1" t="s">
        <v>52</v>
      </c>
      <c r="X1314" s="1">
        <v>640363</v>
      </c>
      <c r="Y1314" s="2">
        <v>38331</v>
      </c>
      <c r="Z1314" s="1">
        <v>-11.8210262828535</v>
      </c>
      <c r="AA1314" s="1">
        <v>19</v>
      </c>
      <c r="AB1314" s="1">
        <v>676000</v>
      </c>
      <c r="AC1314" s="1">
        <f t="shared" si="20"/>
        <v>736000</v>
      </c>
    </row>
    <row r="1315" spans="1:29" x14ac:dyDescent="0.25">
      <c r="A1315" s="1" t="s">
        <v>5183</v>
      </c>
      <c r="B1315" s="1" t="s">
        <v>5184</v>
      </c>
      <c r="C1315" s="1" t="s">
        <v>5185</v>
      </c>
      <c r="D1315" s="1">
        <v>2022</v>
      </c>
      <c r="E1315" s="1" t="s">
        <v>31</v>
      </c>
      <c r="F1315" s="1">
        <v>4</v>
      </c>
      <c r="G1315" s="1" t="s">
        <v>32</v>
      </c>
      <c r="H1315" s="1" t="s">
        <v>113</v>
      </c>
      <c r="I1315" s="1">
        <v>169000</v>
      </c>
      <c r="J1315" s="1">
        <v>154000</v>
      </c>
      <c r="K1315" s="1">
        <v>15000</v>
      </c>
      <c r="L1315" s="1">
        <v>0</v>
      </c>
      <c r="M1315" s="1" t="s">
        <v>34</v>
      </c>
      <c r="N1315" s="1" t="s">
        <v>35</v>
      </c>
      <c r="O1315" s="1" t="s">
        <v>84</v>
      </c>
      <c r="P1315" s="1" t="s">
        <v>65</v>
      </c>
      <c r="Q1315" s="1" t="s">
        <v>38</v>
      </c>
      <c r="R1315" s="1" t="s">
        <v>5186</v>
      </c>
      <c r="S1315" s="3">
        <v>919815000000</v>
      </c>
      <c r="T1315" s="1" t="s">
        <v>51</v>
      </c>
      <c r="U1315" s="1">
        <v>62</v>
      </c>
      <c r="V1315" s="1">
        <v>73</v>
      </c>
      <c r="W1315" s="1" t="s">
        <v>52</v>
      </c>
      <c r="X1315" s="1">
        <v>244988</v>
      </c>
      <c r="Y1315" s="2">
        <v>38722</v>
      </c>
      <c r="Z1315" s="1">
        <v>-12.8210262828535</v>
      </c>
      <c r="AA1315" s="1">
        <v>18</v>
      </c>
      <c r="AB1315" s="1">
        <v>676000</v>
      </c>
      <c r="AC1315" s="1">
        <f t="shared" si="20"/>
        <v>736000</v>
      </c>
    </row>
    <row r="1316" spans="1:29" x14ac:dyDescent="0.25">
      <c r="A1316" s="1" t="s">
        <v>5195</v>
      </c>
      <c r="B1316" s="1" t="s">
        <v>3450</v>
      </c>
      <c r="C1316" s="1" t="s">
        <v>3451</v>
      </c>
      <c r="D1316" s="1">
        <v>2022</v>
      </c>
      <c r="E1316" s="1" t="s">
        <v>31</v>
      </c>
      <c r="F1316" s="1">
        <v>4</v>
      </c>
      <c r="G1316" s="1" t="s">
        <v>32</v>
      </c>
      <c r="H1316" s="1" t="s">
        <v>56</v>
      </c>
      <c r="I1316" s="1">
        <v>169000</v>
      </c>
      <c r="J1316" s="1">
        <v>154000</v>
      </c>
      <c r="K1316" s="1">
        <v>15000</v>
      </c>
      <c r="L1316" s="1">
        <v>0</v>
      </c>
      <c r="M1316" s="1" t="s">
        <v>34</v>
      </c>
      <c r="N1316" s="1" t="s">
        <v>70</v>
      </c>
      <c r="O1316" s="1" t="s">
        <v>84</v>
      </c>
      <c r="P1316" s="1" t="s">
        <v>65</v>
      </c>
      <c r="Q1316" s="1" t="s">
        <v>38</v>
      </c>
      <c r="R1316" s="1" t="s">
        <v>5196</v>
      </c>
      <c r="S1316" s="3">
        <v>917349000000</v>
      </c>
      <c r="T1316" s="1" t="s">
        <v>98</v>
      </c>
      <c r="U1316" s="1">
        <v>62</v>
      </c>
      <c r="V1316" s="1">
        <v>81</v>
      </c>
      <c r="W1316" s="1" t="s">
        <v>41</v>
      </c>
      <c r="X1316" s="1">
        <v>446038</v>
      </c>
      <c r="Y1316" s="2">
        <v>37954</v>
      </c>
      <c r="Z1316" s="1">
        <v>-12.8210262828535</v>
      </c>
      <c r="AA1316" s="1">
        <v>20</v>
      </c>
      <c r="AB1316" s="1">
        <v>676000</v>
      </c>
      <c r="AC1316" s="1">
        <f t="shared" si="20"/>
        <v>736000</v>
      </c>
    </row>
    <row r="1317" spans="1:29" x14ac:dyDescent="0.25">
      <c r="A1317" s="1" t="s">
        <v>5231</v>
      </c>
      <c r="B1317" s="1" t="s">
        <v>5232</v>
      </c>
      <c r="C1317" s="1" t="s">
        <v>5233</v>
      </c>
      <c r="D1317" s="1">
        <v>2022</v>
      </c>
      <c r="E1317" s="1" t="s">
        <v>31</v>
      </c>
      <c r="F1317" s="1">
        <v>4</v>
      </c>
      <c r="G1317" s="1" t="s">
        <v>32</v>
      </c>
      <c r="H1317" s="1" t="s">
        <v>62</v>
      </c>
      <c r="I1317" s="1">
        <v>169000</v>
      </c>
      <c r="J1317" s="1">
        <v>154000</v>
      </c>
      <c r="K1317" s="1">
        <v>15000</v>
      </c>
      <c r="L1317" s="1">
        <v>0</v>
      </c>
      <c r="M1317" s="1" t="s">
        <v>34</v>
      </c>
      <c r="N1317" s="1" t="s">
        <v>35</v>
      </c>
      <c r="O1317" s="1" t="s">
        <v>78</v>
      </c>
      <c r="P1317" s="1" t="s">
        <v>79</v>
      </c>
      <c r="Q1317" s="1" t="s">
        <v>38</v>
      </c>
      <c r="R1317" s="1" t="s">
        <v>5234</v>
      </c>
      <c r="S1317" s="3">
        <v>918267000000</v>
      </c>
      <c r="T1317" s="1" t="s">
        <v>86</v>
      </c>
      <c r="U1317" s="1">
        <v>62</v>
      </c>
      <c r="V1317" s="1">
        <v>72</v>
      </c>
      <c r="W1317" s="1" t="s">
        <v>52</v>
      </c>
      <c r="X1317" s="1">
        <v>367748</v>
      </c>
      <c r="Y1317" s="2">
        <v>37447</v>
      </c>
      <c r="Z1317" s="1">
        <v>-12.8210262828535</v>
      </c>
      <c r="AA1317" s="1">
        <v>21</v>
      </c>
      <c r="AB1317" s="1">
        <v>676000</v>
      </c>
      <c r="AC1317" s="1">
        <f t="shared" si="20"/>
        <v>736000</v>
      </c>
    </row>
    <row r="1318" spans="1:29" x14ac:dyDescent="0.25">
      <c r="A1318" s="1" t="s">
        <v>5247</v>
      </c>
      <c r="B1318" s="1" t="s">
        <v>5248</v>
      </c>
      <c r="C1318" s="1" t="s">
        <v>5249</v>
      </c>
      <c r="D1318" s="1">
        <v>2022</v>
      </c>
      <c r="E1318" s="1" t="s">
        <v>31</v>
      </c>
      <c r="F1318" s="1">
        <v>4</v>
      </c>
      <c r="G1318" s="1" t="s">
        <v>32</v>
      </c>
      <c r="H1318" s="1" t="s">
        <v>33</v>
      </c>
      <c r="I1318" s="1">
        <v>169000</v>
      </c>
      <c r="J1318" s="1">
        <v>154000</v>
      </c>
      <c r="K1318" s="1">
        <v>15000</v>
      </c>
      <c r="L1318" s="1">
        <v>0</v>
      </c>
      <c r="M1318" s="1" t="s">
        <v>34</v>
      </c>
      <c r="N1318" s="1" t="s">
        <v>63</v>
      </c>
      <c r="O1318" s="1" t="s">
        <v>103</v>
      </c>
      <c r="P1318" s="1" t="s">
        <v>104</v>
      </c>
      <c r="Q1318" s="1" t="s">
        <v>38</v>
      </c>
      <c r="R1318" s="1" t="s">
        <v>5250</v>
      </c>
      <c r="S1318" s="3">
        <v>918824000000</v>
      </c>
      <c r="T1318" s="1" t="s">
        <v>86</v>
      </c>
      <c r="U1318" s="1">
        <v>62</v>
      </c>
      <c r="V1318" s="1">
        <v>64</v>
      </c>
      <c r="W1318" s="1" t="s">
        <v>52</v>
      </c>
      <c r="X1318" s="1">
        <v>778738</v>
      </c>
      <c r="Y1318" s="2">
        <v>37276</v>
      </c>
      <c r="Z1318" s="1">
        <v>-12.8210262828535</v>
      </c>
      <c r="AA1318" s="1">
        <v>22</v>
      </c>
      <c r="AB1318" s="1">
        <v>676000</v>
      </c>
      <c r="AC1318" s="1">
        <f t="shared" si="20"/>
        <v>736000</v>
      </c>
    </row>
    <row r="1319" spans="1:29" x14ac:dyDescent="0.25">
      <c r="A1319" s="1" t="s">
        <v>5261</v>
      </c>
      <c r="B1319" s="1" t="s">
        <v>5262</v>
      </c>
      <c r="C1319" s="1" t="s">
        <v>5263</v>
      </c>
      <c r="D1319" s="1">
        <v>2022</v>
      </c>
      <c r="E1319" s="1" t="s">
        <v>31</v>
      </c>
      <c r="F1319" s="1">
        <v>4</v>
      </c>
      <c r="G1319" s="1" t="s">
        <v>32</v>
      </c>
      <c r="H1319" s="1" t="s">
        <v>62</v>
      </c>
      <c r="I1319" s="1">
        <v>169000</v>
      </c>
      <c r="J1319" s="1">
        <v>154000</v>
      </c>
      <c r="K1319" s="1">
        <v>15000</v>
      </c>
      <c r="L1319" s="1">
        <v>0</v>
      </c>
      <c r="M1319" s="1" t="s">
        <v>34</v>
      </c>
      <c r="N1319" s="1" t="s">
        <v>35</v>
      </c>
      <c r="O1319" s="1" t="s">
        <v>36</v>
      </c>
      <c r="P1319" s="1" t="s">
        <v>37</v>
      </c>
      <c r="Q1319" s="1" t="s">
        <v>38</v>
      </c>
      <c r="R1319" s="1" t="s">
        <v>5264</v>
      </c>
      <c r="S1319" s="3">
        <v>917274000000</v>
      </c>
      <c r="T1319" s="1" t="s">
        <v>74</v>
      </c>
      <c r="U1319" s="1">
        <v>62</v>
      </c>
      <c r="V1319" s="1">
        <v>72</v>
      </c>
      <c r="W1319" s="1" t="s">
        <v>52</v>
      </c>
      <c r="X1319" s="1">
        <v>207952</v>
      </c>
      <c r="Y1319" s="2">
        <v>38173</v>
      </c>
      <c r="Z1319" s="1">
        <v>-12.8210262828535</v>
      </c>
      <c r="AA1319" s="1">
        <v>20</v>
      </c>
      <c r="AB1319" s="1">
        <v>676000</v>
      </c>
      <c r="AC1319" s="1">
        <f t="shared" si="20"/>
        <v>736000</v>
      </c>
    </row>
    <row r="1320" spans="1:29" x14ac:dyDescent="0.25">
      <c r="A1320" s="1" t="s">
        <v>5271</v>
      </c>
      <c r="B1320" s="1" t="s">
        <v>5272</v>
      </c>
      <c r="C1320" s="1" t="s">
        <v>5273</v>
      </c>
      <c r="D1320" s="1">
        <v>2022</v>
      </c>
      <c r="E1320" s="1" t="s">
        <v>31</v>
      </c>
      <c r="F1320" s="1">
        <v>4</v>
      </c>
      <c r="G1320" s="1" t="s">
        <v>32</v>
      </c>
      <c r="H1320" s="1" t="s">
        <v>113</v>
      </c>
      <c r="I1320" s="1">
        <v>169000</v>
      </c>
      <c r="J1320" s="1">
        <v>154000</v>
      </c>
      <c r="K1320" s="1">
        <v>15000</v>
      </c>
      <c r="L1320" s="1">
        <v>0</v>
      </c>
      <c r="M1320" s="1" t="s">
        <v>34</v>
      </c>
      <c r="N1320" s="1" t="s">
        <v>70</v>
      </c>
      <c r="O1320" s="1" t="s">
        <v>36</v>
      </c>
      <c r="P1320" s="1" t="s">
        <v>37</v>
      </c>
      <c r="Q1320" s="1" t="s">
        <v>38</v>
      </c>
      <c r="R1320" s="1" t="s">
        <v>5274</v>
      </c>
      <c r="S1320" s="3">
        <v>917009000000</v>
      </c>
      <c r="T1320" s="1" t="s">
        <v>86</v>
      </c>
      <c r="U1320" s="1">
        <v>62</v>
      </c>
      <c r="V1320" s="1">
        <v>89</v>
      </c>
      <c r="W1320" s="1" t="s">
        <v>52</v>
      </c>
      <c r="X1320" s="1">
        <v>695122</v>
      </c>
      <c r="Y1320" s="2">
        <v>37516</v>
      </c>
      <c r="Z1320" s="1">
        <v>-12.8210262828535</v>
      </c>
      <c r="AA1320" s="1">
        <v>21</v>
      </c>
      <c r="AB1320" s="1">
        <v>676000</v>
      </c>
      <c r="AC1320" s="1">
        <f t="shared" si="20"/>
        <v>736000</v>
      </c>
    </row>
    <row r="1321" spans="1:29" x14ac:dyDescent="0.25">
      <c r="A1321" s="1" t="s">
        <v>5319</v>
      </c>
      <c r="B1321" s="1" t="s">
        <v>2678</v>
      </c>
      <c r="C1321" s="1" t="s">
        <v>2679</v>
      </c>
      <c r="D1321" s="1">
        <v>2022</v>
      </c>
      <c r="E1321" s="1" t="s">
        <v>31</v>
      </c>
      <c r="F1321" s="1">
        <v>4</v>
      </c>
      <c r="G1321" s="1" t="s">
        <v>32</v>
      </c>
      <c r="H1321" s="1" t="s">
        <v>210</v>
      </c>
      <c r="I1321" s="1">
        <v>169000</v>
      </c>
      <c r="J1321" s="1">
        <v>154000</v>
      </c>
      <c r="K1321" s="1">
        <v>15000</v>
      </c>
      <c r="L1321" s="1">
        <v>0</v>
      </c>
      <c r="M1321" s="1" t="s">
        <v>34</v>
      </c>
      <c r="N1321" s="1" t="s">
        <v>63</v>
      </c>
      <c r="O1321" s="1" t="s">
        <v>84</v>
      </c>
      <c r="P1321" s="1" t="s">
        <v>65</v>
      </c>
      <c r="Q1321" s="1" t="s">
        <v>38</v>
      </c>
      <c r="R1321" s="1" t="s">
        <v>5320</v>
      </c>
      <c r="S1321" s="3">
        <v>917451000000</v>
      </c>
      <c r="T1321" s="1" t="s">
        <v>40</v>
      </c>
      <c r="U1321" s="1">
        <v>62</v>
      </c>
      <c r="V1321" s="1">
        <v>81</v>
      </c>
      <c r="W1321" s="1" t="s">
        <v>41</v>
      </c>
      <c r="X1321" s="1">
        <v>374645</v>
      </c>
      <c r="Y1321" s="2">
        <v>38540</v>
      </c>
      <c r="Z1321" s="1">
        <v>-12.8210262828535</v>
      </c>
      <c r="AA1321" s="1">
        <v>19</v>
      </c>
      <c r="AB1321" s="1">
        <v>676000</v>
      </c>
      <c r="AC1321" s="1">
        <f t="shared" si="20"/>
        <v>736000</v>
      </c>
    </row>
    <row r="1322" spans="1:29" x14ac:dyDescent="0.25">
      <c r="A1322" s="1" t="s">
        <v>5361</v>
      </c>
      <c r="B1322" s="1" t="s">
        <v>1647</v>
      </c>
      <c r="C1322" s="1" t="s">
        <v>1648</v>
      </c>
      <c r="D1322" s="1">
        <v>2022</v>
      </c>
      <c r="E1322" s="1" t="s">
        <v>31</v>
      </c>
      <c r="F1322" s="1">
        <v>4</v>
      </c>
      <c r="G1322" s="1" t="s">
        <v>32</v>
      </c>
      <c r="H1322" s="1" t="s">
        <v>62</v>
      </c>
      <c r="I1322" s="1">
        <v>169000</v>
      </c>
      <c r="J1322" s="1">
        <v>154000</v>
      </c>
      <c r="K1322" s="1">
        <v>15000</v>
      </c>
      <c r="L1322" s="1">
        <v>0</v>
      </c>
      <c r="M1322" s="1" t="s">
        <v>34</v>
      </c>
      <c r="N1322" s="1" t="s">
        <v>35</v>
      </c>
      <c r="O1322" s="1" t="s">
        <v>78</v>
      </c>
      <c r="P1322" s="1" t="s">
        <v>79</v>
      </c>
      <c r="Q1322" s="1" t="s">
        <v>38</v>
      </c>
      <c r="R1322" s="1" t="s">
        <v>5362</v>
      </c>
      <c r="S1322" s="3">
        <v>919215000000</v>
      </c>
      <c r="T1322" s="1" t="s">
        <v>98</v>
      </c>
      <c r="U1322" s="1">
        <v>61</v>
      </c>
      <c r="V1322" s="1">
        <v>73</v>
      </c>
      <c r="W1322" s="1" t="s">
        <v>52</v>
      </c>
      <c r="X1322" s="1">
        <v>725323</v>
      </c>
      <c r="Y1322" s="2">
        <v>37412</v>
      </c>
      <c r="Z1322" s="1">
        <v>-13.8210262828535</v>
      </c>
      <c r="AA1322" s="1">
        <v>22</v>
      </c>
      <c r="AB1322" s="1">
        <v>676000</v>
      </c>
      <c r="AC1322" s="1">
        <f t="shared" si="20"/>
        <v>736000</v>
      </c>
    </row>
    <row r="1323" spans="1:29" x14ac:dyDescent="0.25">
      <c r="A1323" s="1" t="s">
        <v>5423</v>
      </c>
      <c r="B1323" s="1" t="s">
        <v>5424</v>
      </c>
      <c r="C1323" s="1" t="s">
        <v>5425</v>
      </c>
      <c r="D1323" s="1">
        <v>2022</v>
      </c>
      <c r="E1323" s="1" t="s">
        <v>31</v>
      </c>
      <c r="F1323" s="1">
        <v>4</v>
      </c>
      <c r="G1323" s="1" t="s">
        <v>32</v>
      </c>
      <c r="H1323" s="1" t="s">
        <v>90</v>
      </c>
      <c r="I1323" s="1">
        <v>169000</v>
      </c>
      <c r="J1323" s="1">
        <v>154000</v>
      </c>
      <c r="K1323" s="1">
        <v>15000</v>
      </c>
      <c r="L1323" s="1">
        <v>0</v>
      </c>
      <c r="M1323" s="1" t="s">
        <v>34</v>
      </c>
      <c r="N1323" s="1" t="s">
        <v>35</v>
      </c>
      <c r="O1323" s="1" t="s">
        <v>78</v>
      </c>
      <c r="P1323" s="1" t="s">
        <v>79</v>
      </c>
      <c r="Q1323" s="1" t="s">
        <v>38</v>
      </c>
      <c r="R1323" s="1" t="s">
        <v>5426</v>
      </c>
      <c r="S1323" s="3">
        <v>917235000000</v>
      </c>
      <c r="T1323" s="1" t="s">
        <v>98</v>
      </c>
      <c r="U1323" s="1">
        <v>61</v>
      </c>
      <c r="V1323" s="1">
        <v>87</v>
      </c>
      <c r="W1323" s="1" t="s">
        <v>41</v>
      </c>
      <c r="X1323" s="1">
        <v>649104</v>
      </c>
      <c r="Y1323" s="2">
        <v>36763</v>
      </c>
      <c r="Z1323" s="1">
        <v>-13.8210262828535</v>
      </c>
      <c r="AA1323" s="1">
        <v>23</v>
      </c>
      <c r="AB1323" s="1">
        <v>676000</v>
      </c>
      <c r="AC1323" s="1">
        <f t="shared" si="20"/>
        <v>736000</v>
      </c>
    </row>
    <row r="1324" spans="1:29" x14ac:dyDescent="0.25">
      <c r="A1324" s="1" t="s">
        <v>5435</v>
      </c>
      <c r="B1324" s="1" t="s">
        <v>509</v>
      </c>
      <c r="C1324" s="1" t="s">
        <v>510</v>
      </c>
      <c r="D1324" s="1">
        <v>2022</v>
      </c>
      <c r="E1324" s="1" t="s">
        <v>45</v>
      </c>
      <c r="F1324" s="1">
        <v>2</v>
      </c>
      <c r="G1324" s="1" t="s">
        <v>46</v>
      </c>
      <c r="H1324" s="1" t="s">
        <v>33</v>
      </c>
      <c r="I1324" s="1">
        <v>92000</v>
      </c>
      <c r="J1324" s="1">
        <v>77000</v>
      </c>
      <c r="K1324" s="1">
        <v>15000</v>
      </c>
      <c r="L1324" s="1">
        <v>0</v>
      </c>
      <c r="M1324" s="1" t="s">
        <v>34</v>
      </c>
      <c r="N1324" s="1" t="s">
        <v>35</v>
      </c>
      <c r="O1324" s="1" t="s">
        <v>48</v>
      </c>
      <c r="P1324" s="1" t="s">
        <v>49</v>
      </c>
      <c r="Q1324" s="1" t="s">
        <v>38</v>
      </c>
      <c r="R1324" s="1" t="s">
        <v>5436</v>
      </c>
      <c r="S1324" s="3">
        <v>917268000000</v>
      </c>
      <c r="T1324" s="1" t="s">
        <v>40</v>
      </c>
      <c r="U1324" s="1">
        <v>61</v>
      </c>
      <c r="V1324" s="1">
        <v>88</v>
      </c>
      <c r="W1324" s="1" t="s">
        <v>41</v>
      </c>
      <c r="X1324" s="1">
        <v>404407</v>
      </c>
      <c r="Y1324" s="2">
        <v>35686</v>
      </c>
      <c r="Z1324" s="1">
        <v>-13.8210262828535</v>
      </c>
      <c r="AA1324" s="1">
        <v>26</v>
      </c>
      <c r="AB1324" s="1">
        <v>184000</v>
      </c>
      <c r="AC1324" s="1">
        <f t="shared" si="20"/>
        <v>214000</v>
      </c>
    </row>
    <row r="1325" spans="1:29" x14ac:dyDescent="0.25">
      <c r="A1325" s="1" t="s">
        <v>5449</v>
      </c>
      <c r="B1325" s="1" t="s">
        <v>5450</v>
      </c>
      <c r="C1325" s="1" t="s">
        <v>5451</v>
      </c>
      <c r="D1325" s="1">
        <v>2022</v>
      </c>
      <c r="E1325" s="1" t="s">
        <v>31</v>
      </c>
      <c r="F1325" s="1">
        <v>4</v>
      </c>
      <c r="G1325" s="1" t="s">
        <v>32</v>
      </c>
      <c r="H1325" s="1" t="s">
        <v>122</v>
      </c>
      <c r="I1325" s="1">
        <v>169000</v>
      </c>
      <c r="J1325" s="1">
        <v>154000</v>
      </c>
      <c r="K1325" s="1">
        <v>15000</v>
      </c>
      <c r="L1325" s="1">
        <v>0</v>
      </c>
      <c r="M1325" s="1" t="s">
        <v>34</v>
      </c>
      <c r="N1325" s="1" t="s">
        <v>63</v>
      </c>
      <c r="O1325" s="1" t="s">
        <v>71</v>
      </c>
      <c r="P1325" s="1" t="s">
        <v>72</v>
      </c>
      <c r="Q1325" s="1" t="s">
        <v>38</v>
      </c>
      <c r="R1325" s="1" t="s">
        <v>5452</v>
      </c>
      <c r="S1325" s="3">
        <v>918953000000</v>
      </c>
      <c r="T1325" s="1" t="s">
        <v>40</v>
      </c>
      <c r="U1325" s="1">
        <v>61</v>
      </c>
      <c r="V1325" s="1">
        <v>92</v>
      </c>
      <c r="W1325" s="1" t="s">
        <v>41</v>
      </c>
      <c r="X1325" s="1">
        <v>306734</v>
      </c>
      <c r="Y1325" s="2">
        <v>38720</v>
      </c>
      <c r="Z1325" s="1">
        <v>-13.8210262828535</v>
      </c>
      <c r="AA1325" s="1">
        <v>18</v>
      </c>
      <c r="AB1325" s="1">
        <v>676000</v>
      </c>
      <c r="AC1325" s="1">
        <f t="shared" si="20"/>
        <v>736000</v>
      </c>
    </row>
    <row r="1326" spans="1:29" x14ac:dyDescent="0.25">
      <c r="A1326" s="1" t="s">
        <v>5459</v>
      </c>
      <c r="B1326" s="1" t="s">
        <v>5460</v>
      </c>
      <c r="C1326" s="1" t="s">
        <v>5461</v>
      </c>
      <c r="D1326" s="1">
        <v>2022</v>
      </c>
      <c r="E1326" s="1" t="s">
        <v>31</v>
      </c>
      <c r="F1326" s="1">
        <v>4</v>
      </c>
      <c r="G1326" s="1" t="s">
        <v>32</v>
      </c>
      <c r="H1326" s="1" t="s">
        <v>113</v>
      </c>
      <c r="I1326" s="1">
        <v>169000</v>
      </c>
      <c r="J1326" s="1">
        <v>154000</v>
      </c>
      <c r="K1326" s="1">
        <v>15000</v>
      </c>
      <c r="L1326" s="1">
        <v>0</v>
      </c>
      <c r="M1326" s="1" t="s">
        <v>34</v>
      </c>
      <c r="N1326" s="1" t="s">
        <v>35</v>
      </c>
      <c r="O1326" s="1" t="s">
        <v>78</v>
      </c>
      <c r="P1326" s="1" t="s">
        <v>79</v>
      </c>
      <c r="Q1326" s="1" t="s">
        <v>38</v>
      </c>
      <c r="R1326" s="1" t="s">
        <v>5462</v>
      </c>
      <c r="S1326" s="3">
        <v>919316000000</v>
      </c>
      <c r="T1326" s="1" t="s">
        <v>74</v>
      </c>
      <c r="U1326" s="1">
        <v>61</v>
      </c>
      <c r="V1326" s="1">
        <v>63</v>
      </c>
      <c r="W1326" s="1" t="s">
        <v>41</v>
      </c>
      <c r="X1326" s="1">
        <v>168523</v>
      </c>
      <c r="Y1326" s="2">
        <v>37836</v>
      </c>
      <c r="Z1326" s="1">
        <v>-13.8210262828535</v>
      </c>
      <c r="AA1326" s="1">
        <v>20</v>
      </c>
      <c r="AB1326" s="1">
        <v>676000</v>
      </c>
      <c r="AC1326" s="1">
        <f t="shared" si="20"/>
        <v>736000</v>
      </c>
    </row>
    <row r="1327" spans="1:29" x14ac:dyDescent="0.25">
      <c r="A1327" s="1" t="s">
        <v>5467</v>
      </c>
      <c r="B1327" s="1" t="s">
        <v>3850</v>
      </c>
      <c r="C1327" s="1" t="s">
        <v>3851</v>
      </c>
      <c r="D1327" s="1">
        <v>2022</v>
      </c>
      <c r="E1327" s="1" t="s">
        <v>31</v>
      </c>
      <c r="F1327" s="1">
        <v>4</v>
      </c>
      <c r="G1327" s="1" t="s">
        <v>32</v>
      </c>
      <c r="H1327" s="1" t="s">
        <v>151</v>
      </c>
      <c r="I1327" s="1">
        <v>169000</v>
      </c>
      <c r="J1327" s="1">
        <v>154000</v>
      </c>
      <c r="K1327" s="1">
        <v>15000</v>
      </c>
      <c r="L1327" s="1">
        <v>0</v>
      </c>
      <c r="M1327" s="1" t="s">
        <v>34</v>
      </c>
      <c r="N1327" s="1" t="s">
        <v>70</v>
      </c>
      <c r="O1327" s="1" t="s">
        <v>48</v>
      </c>
      <c r="P1327" s="1" t="s">
        <v>49</v>
      </c>
      <c r="Q1327" s="1" t="s">
        <v>38</v>
      </c>
      <c r="R1327" s="1" t="s">
        <v>5468</v>
      </c>
      <c r="S1327" s="3">
        <v>918272000000</v>
      </c>
      <c r="T1327" s="1" t="s">
        <v>51</v>
      </c>
      <c r="U1327" s="1">
        <v>61</v>
      </c>
      <c r="V1327" s="1">
        <v>63</v>
      </c>
      <c r="W1327" s="1" t="s">
        <v>41</v>
      </c>
      <c r="X1327" s="1">
        <v>681255</v>
      </c>
      <c r="Y1327" s="2">
        <v>38529</v>
      </c>
      <c r="Z1327" s="1">
        <v>-13.8210262828535</v>
      </c>
      <c r="AA1327" s="1">
        <v>19</v>
      </c>
      <c r="AB1327" s="1">
        <v>676000</v>
      </c>
      <c r="AC1327" s="1">
        <f t="shared" si="20"/>
        <v>736000</v>
      </c>
    </row>
    <row r="1328" spans="1:29" x14ac:dyDescent="0.25">
      <c r="A1328" s="1" t="s">
        <v>5475</v>
      </c>
      <c r="B1328" s="1" t="s">
        <v>5476</v>
      </c>
      <c r="C1328" s="1" t="s">
        <v>5477</v>
      </c>
      <c r="D1328" s="1">
        <v>2022</v>
      </c>
      <c r="E1328" s="1" t="s">
        <v>31</v>
      </c>
      <c r="F1328" s="1">
        <v>4</v>
      </c>
      <c r="G1328" s="1" t="s">
        <v>32</v>
      </c>
      <c r="H1328" s="1" t="s">
        <v>102</v>
      </c>
      <c r="I1328" s="1">
        <v>169000</v>
      </c>
      <c r="J1328" s="1">
        <v>154000</v>
      </c>
      <c r="K1328" s="1">
        <v>15000</v>
      </c>
      <c r="L1328" s="1">
        <v>0</v>
      </c>
      <c r="M1328" s="1" t="s">
        <v>34</v>
      </c>
      <c r="N1328" s="1" t="s">
        <v>63</v>
      </c>
      <c r="O1328" s="1" t="s">
        <v>48</v>
      </c>
      <c r="P1328" s="1" t="s">
        <v>49</v>
      </c>
      <c r="Q1328" s="1" t="s">
        <v>38</v>
      </c>
      <c r="R1328" s="1" t="s">
        <v>5478</v>
      </c>
      <c r="S1328" s="3">
        <v>917894000000</v>
      </c>
      <c r="T1328" s="1" t="s">
        <v>74</v>
      </c>
      <c r="U1328" s="1">
        <v>61</v>
      </c>
      <c r="V1328" s="1">
        <v>71</v>
      </c>
      <c r="W1328" s="1" t="s">
        <v>41</v>
      </c>
      <c r="X1328" s="1">
        <v>255055</v>
      </c>
      <c r="Y1328" s="2">
        <v>38560</v>
      </c>
      <c r="Z1328" s="1">
        <v>-13.8210262828535</v>
      </c>
      <c r="AA1328" s="1">
        <v>18</v>
      </c>
      <c r="AB1328" s="1">
        <v>676000</v>
      </c>
      <c r="AC1328" s="1">
        <f t="shared" si="20"/>
        <v>736000</v>
      </c>
    </row>
    <row r="1329" spans="1:29" x14ac:dyDescent="0.25">
      <c r="A1329" s="1" t="s">
        <v>5481</v>
      </c>
      <c r="B1329" s="1" t="s">
        <v>5482</v>
      </c>
      <c r="C1329" s="1" t="s">
        <v>5483</v>
      </c>
      <c r="D1329" s="1">
        <v>2022</v>
      </c>
      <c r="E1329" s="1" t="s">
        <v>31</v>
      </c>
      <c r="F1329" s="1">
        <v>4</v>
      </c>
      <c r="G1329" s="1" t="s">
        <v>32</v>
      </c>
      <c r="H1329" s="1" t="s">
        <v>62</v>
      </c>
      <c r="I1329" s="1">
        <v>169000</v>
      </c>
      <c r="J1329" s="1">
        <v>154000</v>
      </c>
      <c r="K1329" s="1">
        <v>15000</v>
      </c>
      <c r="L1329" s="1">
        <v>0</v>
      </c>
      <c r="M1329" s="1" t="s">
        <v>34</v>
      </c>
      <c r="N1329" s="1" t="s">
        <v>63</v>
      </c>
      <c r="O1329" s="1" t="s">
        <v>57</v>
      </c>
      <c r="P1329" s="1" t="s">
        <v>57</v>
      </c>
      <c r="Q1329" s="1" t="s">
        <v>38</v>
      </c>
      <c r="R1329" s="1" t="s">
        <v>5484</v>
      </c>
      <c r="S1329" s="3">
        <v>917746000000</v>
      </c>
      <c r="T1329" s="1" t="s">
        <v>51</v>
      </c>
      <c r="U1329" s="1">
        <v>61</v>
      </c>
      <c r="V1329" s="1">
        <v>62</v>
      </c>
      <c r="W1329" s="1" t="s">
        <v>41</v>
      </c>
      <c r="X1329" s="1">
        <v>355396</v>
      </c>
      <c r="Y1329" s="2">
        <v>38056</v>
      </c>
      <c r="Z1329" s="1">
        <v>-13.8210262828535</v>
      </c>
      <c r="AA1329" s="1">
        <v>20</v>
      </c>
      <c r="AB1329" s="1">
        <v>676000</v>
      </c>
      <c r="AC1329" s="1">
        <f t="shared" si="20"/>
        <v>736000</v>
      </c>
    </row>
    <row r="1330" spans="1:29" x14ac:dyDescent="0.25">
      <c r="A1330" s="1" t="s">
        <v>5499</v>
      </c>
      <c r="B1330" s="1" t="s">
        <v>5299</v>
      </c>
      <c r="C1330" s="1" t="s">
        <v>5300</v>
      </c>
      <c r="D1330" s="1">
        <v>2022</v>
      </c>
      <c r="E1330" s="1" t="s">
        <v>31</v>
      </c>
      <c r="F1330" s="1">
        <v>4</v>
      </c>
      <c r="G1330" s="1" t="s">
        <v>32</v>
      </c>
      <c r="H1330" s="1" t="s">
        <v>102</v>
      </c>
      <c r="I1330" s="1">
        <v>169000</v>
      </c>
      <c r="J1330" s="1">
        <v>154000</v>
      </c>
      <c r="K1330" s="1">
        <v>15000</v>
      </c>
      <c r="L1330" s="1">
        <v>0</v>
      </c>
      <c r="M1330" s="1" t="s">
        <v>34</v>
      </c>
      <c r="N1330" s="1" t="s">
        <v>70</v>
      </c>
      <c r="O1330" s="1" t="s">
        <v>71</v>
      </c>
      <c r="P1330" s="1" t="s">
        <v>72</v>
      </c>
      <c r="Q1330" s="1" t="s">
        <v>38</v>
      </c>
      <c r="R1330" s="1" t="s">
        <v>5500</v>
      </c>
      <c r="S1330" s="3">
        <v>917880000000</v>
      </c>
      <c r="T1330" s="1" t="s">
        <v>51</v>
      </c>
      <c r="U1330" s="1">
        <v>60</v>
      </c>
      <c r="V1330" s="1">
        <v>86</v>
      </c>
      <c r="W1330" s="1" t="s">
        <v>41</v>
      </c>
      <c r="X1330" s="1">
        <v>284423</v>
      </c>
      <c r="Y1330" s="2">
        <v>38814</v>
      </c>
      <c r="Z1330" s="1">
        <v>-14.8210262828535</v>
      </c>
      <c r="AA1330" s="1">
        <v>18</v>
      </c>
      <c r="AB1330" s="1">
        <v>676000</v>
      </c>
      <c r="AC1330" s="1">
        <f t="shared" si="20"/>
        <v>736000</v>
      </c>
    </row>
    <row r="1331" spans="1:29" x14ac:dyDescent="0.25">
      <c r="A1331" s="1" t="s">
        <v>5515</v>
      </c>
      <c r="B1331" s="1" t="s">
        <v>5516</v>
      </c>
      <c r="C1331" s="1" t="s">
        <v>5517</v>
      </c>
      <c r="D1331" s="1">
        <v>2022</v>
      </c>
      <c r="E1331" s="1" t="s">
        <v>31</v>
      </c>
      <c r="F1331" s="1">
        <v>4</v>
      </c>
      <c r="G1331" s="1" t="s">
        <v>32</v>
      </c>
      <c r="H1331" s="1" t="s">
        <v>56</v>
      </c>
      <c r="I1331" s="1">
        <v>169000</v>
      </c>
      <c r="J1331" s="1">
        <v>154000</v>
      </c>
      <c r="K1331" s="1">
        <v>15000</v>
      </c>
      <c r="L1331" s="1">
        <v>0</v>
      </c>
      <c r="M1331" s="1" t="s">
        <v>34</v>
      </c>
      <c r="N1331" s="1" t="s">
        <v>63</v>
      </c>
      <c r="O1331" s="1" t="s">
        <v>188</v>
      </c>
      <c r="P1331" s="1" t="s">
        <v>189</v>
      </c>
      <c r="Q1331" s="1" t="s">
        <v>38</v>
      </c>
      <c r="R1331" s="1" t="s">
        <v>5518</v>
      </c>
      <c r="S1331" s="3">
        <v>918984000000</v>
      </c>
      <c r="T1331" s="1" t="s">
        <v>86</v>
      </c>
      <c r="U1331" s="1">
        <v>60</v>
      </c>
      <c r="V1331" s="1">
        <v>60</v>
      </c>
      <c r="W1331" s="1" t="s">
        <v>41</v>
      </c>
      <c r="X1331" s="1">
        <v>610496</v>
      </c>
      <c r="Y1331" s="2">
        <v>38274</v>
      </c>
      <c r="Z1331" s="1">
        <v>-14.8210262828535</v>
      </c>
      <c r="AA1331" s="1">
        <v>19</v>
      </c>
      <c r="AB1331" s="1">
        <v>676000</v>
      </c>
      <c r="AC1331" s="1">
        <f t="shared" si="20"/>
        <v>736000</v>
      </c>
    </row>
    <row r="1332" spans="1:29" x14ac:dyDescent="0.25">
      <c r="A1332" s="1" t="s">
        <v>5537</v>
      </c>
      <c r="B1332" s="1" t="s">
        <v>4987</v>
      </c>
      <c r="C1332" s="1" t="s">
        <v>4988</v>
      </c>
      <c r="D1332" s="1">
        <v>2022</v>
      </c>
      <c r="E1332" s="1" t="s">
        <v>45</v>
      </c>
      <c r="F1332" s="1">
        <v>2</v>
      </c>
      <c r="G1332" s="1" t="s">
        <v>46</v>
      </c>
      <c r="H1332" s="1" t="s">
        <v>113</v>
      </c>
      <c r="I1332" s="1">
        <v>92000</v>
      </c>
      <c r="J1332" s="1">
        <v>77000</v>
      </c>
      <c r="K1332" s="1">
        <v>15000</v>
      </c>
      <c r="L1332" s="1">
        <v>0</v>
      </c>
      <c r="M1332" s="1" t="s">
        <v>34</v>
      </c>
      <c r="N1332" s="1" t="s">
        <v>70</v>
      </c>
      <c r="O1332" s="1" t="s">
        <v>48</v>
      </c>
      <c r="P1332" s="1" t="s">
        <v>49</v>
      </c>
      <c r="Q1332" s="1" t="s">
        <v>38</v>
      </c>
      <c r="R1332" s="1" t="s">
        <v>5538</v>
      </c>
      <c r="S1332" s="3">
        <v>917365000000</v>
      </c>
      <c r="T1332" s="1" t="s">
        <v>86</v>
      </c>
      <c r="U1332" s="1">
        <v>60</v>
      </c>
      <c r="V1332" s="1">
        <v>72</v>
      </c>
      <c r="W1332" s="1" t="s">
        <v>41</v>
      </c>
      <c r="X1332" s="1">
        <v>307765</v>
      </c>
      <c r="Y1332" s="2">
        <v>35825</v>
      </c>
      <c r="Z1332" s="1">
        <v>-14.8210262828535</v>
      </c>
      <c r="AA1332" s="1">
        <v>26</v>
      </c>
      <c r="AB1332" s="1">
        <v>184000</v>
      </c>
      <c r="AC1332" s="1">
        <f t="shared" si="20"/>
        <v>214000</v>
      </c>
    </row>
    <row r="1333" spans="1:29" x14ac:dyDescent="0.25">
      <c r="A1333" s="1" t="s">
        <v>5543</v>
      </c>
      <c r="B1333" s="1" t="s">
        <v>5013</v>
      </c>
      <c r="C1333" s="1" t="s">
        <v>5014</v>
      </c>
      <c r="D1333" s="1">
        <v>2022</v>
      </c>
      <c r="E1333" s="1" t="s">
        <v>45</v>
      </c>
      <c r="F1333" s="1">
        <v>2</v>
      </c>
      <c r="G1333" s="1" t="s">
        <v>46</v>
      </c>
      <c r="H1333" s="1" t="s">
        <v>33</v>
      </c>
      <c r="I1333" s="1">
        <v>92000</v>
      </c>
      <c r="J1333" s="1">
        <v>77000</v>
      </c>
      <c r="K1333" s="1">
        <v>15000</v>
      </c>
      <c r="L1333" s="1">
        <v>0</v>
      </c>
      <c r="M1333" s="1" t="s">
        <v>34</v>
      </c>
      <c r="N1333" s="1" t="s">
        <v>35</v>
      </c>
      <c r="O1333" s="1" t="s">
        <v>84</v>
      </c>
      <c r="P1333" s="1" t="s">
        <v>65</v>
      </c>
      <c r="Q1333" s="1" t="s">
        <v>38</v>
      </c>
      <c r="R1333" s="1" t="s">
        <v>5544</v>
      </c>
      <c r="S1333" s="3">
        <v>917339000000</v>
      </c>
      <c r="T1333" s="1" t="s">
        <v>98</v>
      </c>
      <c r="U1333" s="1">
        <v>60</v>
      </c>
      <c r="V1333" s="1">
        <v>67</v>
      </c>
      <c r="W1333" s="1" t="s">
        <v>52</v>
      </c>
      <c r="X1333" s="1">
        <v>104437</v>
      </c>
      <c r="Y1333" s="2">
        <v>35270</v>
      </c>
      <c r="Z1333" s="1">
        <v>-14.8210262828535</v>
      </c>
      <c r="AA1333" s="1">
        <v>27</v>
      </c>
      <c r="AB1333" s="1">
        <v>184000</v>
      </c>
      <c r="AC1333" s="1">
        <f t="shared" si="20"/>
        <v>214000</v>
      </c>
    </row>
    <row r="1334" spans="1:29" x14ac:dyDescent="0.25">
      <c r="A1334" s="1" t="s">
        <v>5595</v>
      </c>
      <c r="B1334" s="1" t="s">
        <v>4232</v>
      </c>
      <c r="C1334" s="1" t="s">
        <v>4233</v>
      </c>
      <c r="D1334" s="1">
        <v>2022</v>
      </c>
      <c r="E1334" s="1" t="s">
        <v>45</v>
      </c>
      <c r="F1334" s="1">
        <v>2</v>
      </c>
      <c r="G1334" s="1" t="s">
        <v>46</v>
      </c>
      <c r="H1334" s="1" t="s">
        <v>102</v>
      </c>
      <c r="I1334" s="1">
        <v>92000</v>
      </c>
      <c r="J1334" s="1">
        <v>77000</v>
      </c>
      <c r="K1334" s="1">
        <v>15000</v>
      </c>
      <c r="L1334" s="1">
        <v>0</v>
      </c>
      <c r="M1334" s="1" t="s">
        <v>34</v>
      </c>
      <c r="N1334" s="1" t="s">
        <v>63</v>
      </c>
      <c r="O1334" s="1" t="s">
        <v>84</v>
      </c>
      <c r="P1334" s="1" t="s">
        <v>65</v>
      </c>
      <c r="Q1334" s="1" t="s">
        <v>38</v>
      </c>
      <c r="R1334" s="1" t="s">
        <v>5596</v>
      </c>
      <c r="S1334" s="3">
        <v>918481000000</v>
      </c>
      <c r="T1334" s="1" t="s">
        <v>74</v>
      </c>
      <c r="U1334" s="1">
        <v>60</v>
      </c>
      <c r="V1334" s="1">
        <v>76</v>
      </c>
      <c r="W1334" s="1" t="s">
        <v>41</v>
      </c>
      <c r="X1334" s="1">
        <v>147364</v>
      </c>
      <c r="Y1334" s="2">
        <v>35333</v>
      </c>
      <c r="Z1334" s="1">
        <v>-14.8210262828535</v>
      </c>
      <c r="AA1334" s="1">
        <v>27</v>
      </c>
      <c r="AB1334" s="1">
        <v>184000</v>
      </c>
      <c r="AC1334" s="1">
        <f t="shared" si="20"/>
        <v>214000</v>
      </c>
    </row>
    <row r="1335" spans="1:29" x14ac:dyDescent="0.25">
      <c r="A1335" s="1" t="s">
        <v>5601</v>
      </c>
      <c r="B1335" s="1" t="s">
        <v>5602</v>
      </c>
      <c r="C1335" s="1" t="s">
        <v>5603</v>
      </c>
      <c r="D1335" s="1">
        <v>2022</v>
      </c>
      <c r="E1335" s="1" t="s">
        <v>31</v>
      </c>
      <c r="F1335" s="1">
        <v>4</v>
      </c>
      <c r="G1335" s="1" t="s">
        <v>32</v>
      </c>
      <c r="H1335" s="1" t="s">
        <v>113</v>
      </c>
      <c r="I1335" s="1">
        <v>169000</v>
      </c>
      <c r="J1335" s="1">
        <v>154000</v>
      </c>
      <c r="K1335" s="1">
        <v>15000</v>
      </c>
      <c r="L1335" s="1">
        <v>0</v>
      </c>
      <c r="M1335" s="1" t="s">
        <v>34</v>
      </c>
      <c r="N1335" s="1" t="s">
        <v>63</v>
      </c>
      <c r="O1335" s="1" t="s">
        <v>78</v>
      </c>
      <c r="P1335" s="1" t="s">
        <v>79</v>
      </c>
      <c r="Q1335" s="1" t="s">
        <v>38</v>
      </c>
      <c r="R1335" s="1" t="s">
        <v>5604</v>
      </c>
      <c r="S1335" s="3">
        <v>918859000000</v>
      </c>
      <c r="T1335" s="1" t="s">
        <v>74</v>
      </c>
      <c r="U1335" s="1">
        <v>60</v>
      </c>
      <c r="V1335" s="1">
        <v>87</v>
      </c>
      <c r="W1335" s="1" t="s">
        <v>41</v>
      </c>
      <c r="X1335" s="1">
        <v>132282</v>
      </c>
      <c r="Y1335" s="2">
        <v>37436</v>
      </c>
      <c r="Z1335" s="1">
        <v>-14.8210262828535</v>
      </c>
      <c r="AA1335" s="1">
        <v>22</v>
      </c>
      <c r="AB1335" s="1">
        <v>676000</v>
      </c>
      <c r="AC1335" s="1">
        <f t="shared" si="20"/>
        <v>736000</v>
      </c>
    </row>
    <row r="1336" spans="1:29" x14ac:dyDescent="0.25">
      <c r="A1336" s="1" t="s">
        <v>5609</v>
      </c>
      <c r="B1336" s="1" t="s">
        <v>4638</v>
      </c>
      <c r="C1336" s="1" t="s">
        <v>4639</v>
      </c>
      <c r="D1336" s="1">
        <v>2022</v>
      </c>
      <c r="E1336" s="1" t="s">
        <v>45</v>
      </c>
      <c r="F1336" s="1">
        <v>2</v>
      </c>
      <c r="G1336" s="1" t="s">
        <v>46</v>
      </c>
      <c r="H1336" s="1" t="s">
        <v>113</v>
      </c>
      <c r="I1336" s="1">
        <v>92000</v>
      </c>
      <c r="J1336" s="1">
        <v>77000</v>
      </c>
      <c r="K1336" s="1">
        <v>15000</v>
      </c>
      <c r="L1336" s="1">
        <v>0</v>
      </c>
      <c r="M1336" s="1" t="s">
        <v>34</v>
      </c>
      <c r="N1336" s="1" t="s">
        <v>63</v>
      </c>
      <c r="O1336" s="1" t="s">
        <v>36</v>
      </c>
      <c r="P1336" s="1" t="s">
        <v>37</v>
      </c>
      <c r="Q1336" s="1" t="s">
        <v>38</v>
      </c>
      <c r="R1336" s="1" t="s">
        <v>5610</v>
      </c>
      <c r="S1336" s="3">
        <v>918153000000</v>
      </c>
      <c r="T1336" s="1" t="s">
        <v>98</v>
      </c>
      <c r="U1336" s="1">
        <v>60</v>
      </c>
      <c r="V1336" s="1">
        <v>88</v>
      </c>
      <c r="W1336" s="1" t="s">
        <v>41</v>
      </c>
      <c r="X1336" s="1">
        <v>267298</v>
      </c>
      <c r="Y1336" s="2">
        <v>35987</v>
      </c>
      <c r="Z1336" s="1">
        <v>-14.8210262828535</v>
      </c>
      <c r="AA1336" s="1">
        <v>25</v>
      </c>
      <c r="AB1336" s="1">
        <v>184000</v>
      </c>
      <c r="AC1336" s="1">
        <f t="shared" si="20"/>
        <v>214000</v>
      </c>
    </row>
    <row r="1337" spans="1:29" x14ac:dyDescent="0.25">
      <c r="A1337" s="1" t="s">
        <v>5627</v>
      </c>
      <c r="B1337" s="1" t="s">
        <v>5628</v>
      </c>
      <c r="C1337" s="1" t="s">
        <v>5629</v>
      </c>
      <c r="D1337" s="1">
        <v>2022</v>
      </c>
      <c r="E1337" s="1" t="s">
        <v>31</v>
      </c>
      <c r="F1337" s="1">
        <v>4</v>
      </c>
      <c r="G1337" s="1" t="s">
        <v>32</v>
      </c>
      <c r="H1337" s="1" t="s">
        <v>113</v>
      </c>
      <c r="I1337" s="1">
        <v>169000</v>
      </c>
      <c r="J1337" s="1">
        <v>154000</v>
      </c>
      <c r="K1337" s="1">
        <v>15000</v>
      </c>
      <c r="L1337" s="1">
        <v>0</v>
      </c>
      <c r="M1337" s="1" t="s">
        <v>34</v>
      </c>
      <c r="N1337" s="1" t="s">
        <v>70</v>
      </c>
      <c r="O1337" s="1" t="s">
        <v>103</v>
      </c>
      <c r="P1337" s="1" t="s">
        <v>104</v>
      </c>
      <c r="Q1337" s="1" t="s">
        <v>38</v>
      </c>
      <c r="R1337" s="1" t="s">
        <v>5630</v>
      </c>
      <c r="S1337" s="3">
        <v>919034000000</v>
      </c>
      <c r="T1337" s="1" t="s">
        <v>40</v>
      </c>
      <c r="U1337" s="1">
        <v>60</v>
      </c>
      <c r="V1337" s="1">
        <v>62</v>
      </c>
      <c r="W1337" s="1" t="s">
        <v>52</v>
      </c>
      <c r="X1337" s="1">
        <v>341849</v>
      </c>
      <c r="Y1337" s="2">
        <v>38195</v>
      </c>
      <c r="Z1337" s="1">
        <v>-14.8210262828535</v>
      </c>
      <c r="AA1337" s="1">
        <v>19</v>
      </c>
      <c r="AB1337" s="1">
        <v>676000</v>
      </c>
      <c r="AC1337" s="1">
        <f t="shared" si="20"/>
        <v>736000</v>
      </c>
    </row>
    <row r="1338" spans="1:29" x14ac:dyDescent="0.25">
      <c r="A1338" s="1" t="s">
        <v>5645</v>
      </c>
      <c r="B1338" s="1" t="s">
        <v>535</v>
      </c>
      <c r="C1338" s="1" t="s">
        <v>536</v>
      </c>
      <c r="D1338" s="1">
        <v>2022</v>
      </c>
      <c r="E1338" s="1" t="s">
        <v>31</v>
      </c>
      <c r="F1338" s="1">
        <v>4</v>
      </c>
      <c r="G1338" s="1" t="s">
        <v>32</v>
      </c>
      <c r="H1338" s="1" t="s">
        <v>62</v>
      </c>
      <c r="I1338" s="1">
        <v>169000</v>
      </c>
      <c r="J1338" s="1">
        <v>154000</v>
      </c>
      <c r="K1338" s="1">
        <v>15000</v>
      </c>
      <c r="L1338" s="1">
        <v>0</v>
      </c>
      <c r="M1338" s="1" t="s">
        <v>34</v>
      </c>
      <c r="N1338" s="1" t="s">
        <v>70</v>
      </c>
      <c r="O1338" s="1" t="s">
        <v>71</v>
      </c>
      <c r="P1338" s="1" t="s">
        <v>72</v>
      </c>
      <c r="Q1338" s="1" t="s">
        <v>38</v>
      </c>
      <c r="R1338" s="1" t="s">
        <v>5646</v>
      </c>
      <c r="S1338" s="3">
        <v>917508000000</v>
      </c>
      <c r="T1338" s="1" t="s">
        <v>40</v>
      </c>
      <c r="U1338" s="1">
        <v>60</v>
      </c>
      <c r="V1338" s="1">
        <v>76</v>
      </c>
      <c r="W1338" s="1" t="s">
        <v>52</v>
      </c>
      <c r="X1338" s="1">
        <v>244773</v>
      </c>
      <c r="Y1338" s="2">
        <v>38420</v>
      </c>
      <c r="Z1338" s="1">
        <v>-14.8210262828535</v>
      </c>
      <c r="AA1338" s="1">
        <v>19</v>
      </c>
      <c r="AB1338" s="1">
        <v>676000</v>
      </c>
      <c r="AC1338" s="1">
        <f t="shared" si="20"/>
        <v>736000</v>
      </c>
    </row>
    <row r="1339" spans="1:29" x14ac:dyDescent="0.25">
      <c r="A1339" s="1" t="s">
        <v>110</v>
      </c>
      <c r="B1339" s="1" t="s">
        <v>111</v>
      </c>
      <c r="C1339" s="1" t="s">
        <v>112</v>
      </c>
      <c r="D1339" s="1">
        <v>2023</v>
      </c>
      <c r="E1339" s="1" t="s">
        <v>31</v>
      </c>
      <c r="F1339" s="1">
        <v>4</v>
      </c>
      <c r="G1339" s="1" t="s">
        <v>32</v>
      </c>
      <c r="H1339" s="1" t="s">
        <v>113</v>
      </c>
      <c r="I1339" s="1">
        <v>169000</v>
      </c>
      <c r="J1339" s="1">
        <v>154000</v>
      </c>
      <c r="K1339" s="1">
        <v>15000</v>
      </c>
      <c r="L1339" s="1">
        <v>0</v>
      </c>
      <c r="M1339" s="1" t="s">
        <v>5649</v>
      </c>
      <c r="N1339" s="1" t="s">
        <v>63</v>
      </c>
      <c r="O1339" s="1" t="s">
        <v>78</v>
      </c>
      <c r="P1339" s="1" t="s">
        <v>79</v>
      </c>
      <c r="Q1339" s="1" t="s">
        <v>38</v>
      </c>
      <c r="R1339" s="1" t="s">
        <v>114</v>
      </c>
      <c r="S1339" s="3">
        <v>919784000000</v>
      </c>
      <c r="T1339" s="1" t="s">
        <v>40</v>
      </c>
      <c r="U1339" s="1">
        <v>90</v>
      </c>
      <c r="V1339" s="1">
        <v>64</v>
      </c>
      <c r="W1339" s="1" t="s">
        <v>41</v>
      </c>
      <c r="X1339" s="1">
        <v>521786</v>
      </c>
      <c r="Y1339" s="2">
        <v>36942</v>
      </c>
      <c r="Z1339" s="1">
        <v>15.1789737171464</v>
      </c>
      <c r="AA1339" s="1">
        <v>23</v>
      </c>
      <c r="AB1339" s="1">
        <v>676000</v>
      </c>
      <c r="AC1339" s="1">
        <f t="shared" si="20"/>
        <v>736000</v>
      </c>
    </row>
    <row r="1340" spans="1:29" x14ac:dyDescent="0.25">
      <c r="A1340" s="1" t="s">
        <v>220</v>
      </c>
      <c r="B1340" s="1" t="s">
        <v>221</v>
      </c>
      <c r="C1340" s="1" t="s">
        <v>222</v>
      </c>
      <c r="D1340" s="1">
        <v>2023</v>
      </c>
      <c r="E1340" s="1" t="s">
        <v>31</v>
      </c>
      <c r="F1340" s="1">
        <v>4</v>
      </c>
      <c r="G1340" s="1" t="s">
        <v>32</v>
      </c>
      <c r="H1340" s="1" t="s">
        <v>102</v>
      </c>
      <c r="I1340" s="1">
        <v>169000</v>
      </c>
      <c r="J1340" s="1">
        <v>154000</v>
      </c>
      <c r="K1340" s="1">
        <v>15000</v>
      </c>
      <c r="L1340" s="1">
        <v>0</v>
      </c>
      <c r="M1340" s="1" t="s">
        <v>34</v>
      </c>
      <c r="N1340" s="1" t="s">
        <v>35</v>
      </c>
      <c r="O1340" s="1" t="s">
        <v>57</v>
      </c>
      <c r="P1340" s="1" t="s">
        <v>57</v>
      </c>
      <c r="Q1340" s="1" t="s">
        <v>38</v>
      </c>
      <c r="R1340" s="1" t="s">
        <v>223</v>
      </c>
      <c r="S1340" s="3">
        <v>918166000000</v>
      </c>
      <c r="T1340" s="1" t="s">
        <v>51</v>
      </c>
      <c r="U1340" s="1">
        <v>90</v>
      </c>
      <c r="V1340" s="1">
        <v>86</v>
      </c>
      <c r="W1340" s="1" t="s">
        <v>52</v>
      </c>
      <c r="X1340" s="1">
        <v>755905</v>
      </c>
      <c r="Y1340" s="2">
        <v>36739</v>
      </c>
      <c r="Z1340" s="1">
        <v>15.1789737171464</v>
      </c>
      <c r="AA1340" s="1">
        <v>23</v>
      </c>
      <c r="AB1340" s="1">
        <v>676000</v>
      </c>
      <c r="AC1340" s="1">
        <f t="shared" si="20"/>
        <v>736000</v>
      </c>
    </row>
    <row r="1341" spans="1:29" x14ac:dyDescent="0.25">
      <c r="A1341" s="1" t="s">
        <v>232</v>
      </c>
      <c r="B1341" s="1" t="s">
        <v>233</v>
      </c>
      <c r="C1341" s="1" t="s">
        <v>234</v>
      </c>
      <c r="D1341" s="1">
        <v>2023</v>
      </c>
      <c r="E1341" s="1" t="s">
        <v>31</v>
      </c>
      <c r="F1341" s="1">
        <v>4</v>
      </c>
      <c r="G1341" s="1" t="s">
        <v>32</v>
      </c>
      <c r="H1341" s="1" t="s">
        <v>56</v>
      </c>
      <c r="I1341" s="1">
        <v>169000</v>
      </c>
      <c r="J1341" s="1">
        <v>154000</v>
      </c>
      <c r="K1341" s="1">
        <v>15000</v>
      </c>
      <c r="L1341" s="1">
        <v>0</v>
      </c>
      <c r="M1341" s="1" t="s">
        <v>34</v>
      </c>
      <c r="N1341" s="1" t="s">
        <v>70</v>
      </c>
      <c r="O1341" s="1" t="s">
        <v>188</v>
      </c>
      <c r="P1341" s="1" t="s">
        <v>189</v>
      </c>
      <c r="Q1341" s="1" t="s">
        <v>38</v>
      </c>
      <c r="R1341" s="1" t="s">
        <v>235</v>
      </c>
      <c r="S1341" s="3">
        <v>917539000000</v>
      </c>
      <c r="T1341" s="1" t="s">
        <v>74</v>
      </c>
      <c r="U1341" s="1">
        <v>90</v>
      </c>
      <c r="V1341" s="1">
        <v>71</v>
      </c>
      <c r="W1341" s="1" t="s">
        <v>52</v>
      </c>
      <c r="X1341" s="1">
        <v>658374</v>
      </c>
      <c r="Y1341" s="2">
        <v>37328</v>
      </c>
      <c r="Z1341" s="1">
        <v>15.1789737171464</v>
      </c>
      <c r="AA1341" s="1">
        <v>22</v>
      </c>
      <c r="AB1341" s="1">
        <v>676000</v>
      </c>
      <c r="AC1341" s="1">
        <f t="shared" si="20"/>
        <v>736000</v>
      </c>
    </row>
    <row r="1342" spans="1:29" x14ac:dyDescent="0.25">
      <c r="A1342" s="1" t="s">
        <v>256</v>
      </c>
      <c r="B1342" s="1" t="s">
        <v>257</v>
      </c>
      <c r="C1342" s="1" t="s">
        <v>258</v>
      </c>
      <c r="D1342" s="1">
        <v>2023</v>
      </c>
      <c r="E1342" s="1" t="s">
        <v>31</v>
      </c>
      <c r="F1342" s="1">
        <v>4</v>
      </c>
      <c r="G1342" s="1" t="s">
        <v>32</v>
      </c>
      <c r="H1342" s="1" t="s">
        <v>56</v>
      </c>
      <c r="I1342" s="1">
        <v>169000</v>
      </c>
      <c r="J1342" s="1">
        <v>154000</v>
      </c>
      <c r="K1342" s="1">
        <v>15000</v>
      </c>
      <c r="L1342" s="1">
        <v>0</v>
      </c>
      <c r="M1342" s="1" t="s">
        <v>34</v>
      </c>
      <c r="N1342" s="1" t="s">
        <v>70</v>
      </c>
      <c r="O1342" s="1" t="s">
        <v>84</v>
      </c>
      <c r="P1342" s="1" t="s">
        <v>65</v>
      </c>
      <c r="Q1342" s="1" t="s">
        <v>38</v>
      </c>
      <c r="R1342" s="1" t="s">
        <v>259</v>
      </c>
      <c r="S1342" s="3">
        <v>919514000000</v>
      </c>
      <c r="T1342" s="1" t="s">
        <v>40</v>
      </c>
      <c r="U1342" s="1">
        <v>90</v>
      </c>
      <c r="V1342" s="1">
        <v>67</v>
      </c>
      <c r="W1342" s="1" t="s">
        <v>41</v>
      </c>
      <c r="X1342" s="1">
        <v>435651</v>
      </c>
      <c r="Y1342" s="2">
        <v>37003</v>
      </c>
      <c r="Z1342" s="1">
        <v>15.1789737171464</v>
      </c>
      <c r="AA1342" s="1">
        <v>23</v>
      </c>
      <c r="AB1342" s="1">
        <v>676000</v>
      </c>
      <c r="AC1342" s="1">
        <f t="shared" si="20"/>
        <v>736000</v>
      </c>
    </row>
    <row r="1343" spans="1:29" x14ac:dyDescent="0.25">
      <c r="A1343" s="1" t="s">
        <v>264</v>
      </c>
      <c r="B1343" s="1" t="s">
        <v>265</v>
      </c>
      <c r="C1343" s="1" t="s">
        <v>266</v>
      </c>
      <c r="D1343" s="1">
        <v>2023</v>
      </c>
      <c r="E1343" s="1" t="s">
        <v>31</v>
      </c>
      <c r="F1343" s="1">
        <v>4</v>
      </c>
      <c r="G1343" s="1" t="s">
        <v>32</v>
      </c>
      <c r="H1343" s="1" t="s">
        <v>33</v>
      </c>
      <c r="I1343" s="1">
        <v>169000</v>
      </c>
      <c r="J1343" s="1">
        <v>154000</v>
      </c>
      <c r="K1343" s="1">
        <v>15000</v>
      </c>
      <c r="L1343" s="1">
        <v>0</v>
      </c>
      <c r="M1343" s="1" t="s">
        <v>34</v>
      </c>
      <c r="N1343" s="1" t="s">
        <v>70</v>
      </c>
      <c r="O1343" s="1" t="s">
        <v>78</v>
      </c>
      <c r="P1343" s="1" t="s">
        <v>79</v>
      </c>
      <c r="Q1343" s="1" t="s">
        <v>38</v>
      </c>
      <c r="R1343" s="1" t="s">
        <v>267</v>
      </c>
      <c r="S1343" s="3">
        <v>918838000000</v>
      </c>
      <c r="T1343" s="1" t="s">
        <v>40</v>
      </c>
      <c r="U1343" s="1">
        <v>90</v>
      </c>
      <c r="V1343" s="1">
        <v>91</v>
      </c>
      <c r="W1343" s="1" t="s">
        <v>41</v>
      </c>
      <c r="X1343" s="1">
        <v>429351</v>
      </c>
      <c r="Y1343" s="2">
        <v>37460</v>
      </c>
      <c r="Z1343" s="1">
        <v>15.1789737171464</v>
      </c>
      <c r="AA1343" s="1">
        <v>21</v>
      </c>
      <c r="AB1343" s="1">
        <v>676000</v>
      </c>
      <c r="AC1343" s="1">
        <f t="shared" si="20"/>
        <v>736000</v>
      </c>
    </row>
    <row r="1344" spans="1:29" x14ac:dyDescent="0.25">
      <c r="A1344" s="1" t="s">
        <v>284</v>
      </c>
      <c r="B1344" s="1" t="s">
        <v>285</v>
      </c>
      <c r="C1344" s="1" t="s">
        <v>286</v>
      </c>
      <c r="D1344" s="1">
        <v>2023</v>
      </c>
      <c r="E1344" s="1" t="s">
        <v>31</v>
      </c>
      <c r="F1344" s="1">
        <v>4</v>
      </c>
      <c r="G1344" s="1" t="s">
        <v>32</v>
      </c>
      <c r="H1344" s="1" t="s">
        <v>113</v>
      </c>
      <c r="I1344" s="1">
        <v>169000</v>
      </c>
      <c r="J1344" s="1">
        <v>154000</v>
      </c>
      <c r="K1344" s="1">
        <v>15000</v>
      </c>
      <c r="L1344" s="1">
        <v>0</v>
      </c>
      <c r="M1344" s="1" t="s">
        <v>34</v>
      </c>
      <c r="N1344" s="1" t="s">
        <v>35</v>
      </c>
      <c r="O1344" s="1" t="s">
        <v>84</v>
      </c>
      <c r="P1344" s="1" t="s">
        <v>65</v>
      </c>
      <c r="Q1344" s="1" t="s">
        <v>38</v>
      </c>
      <c r="R1344" s="1" t="s">
        <v>287</v>
      </c>
      <c r="S1344" s="3">
        <v>917883000000</v>
      </c>
      <c r="T1344" s="1" t="s">
        <v>86</v>
      </c>
      <c r="U1344" s="1">
        <v>90</v>
      </c>
      <c r="V1344" s="1">
        <v>77</v>
      </c>
      <c r="W1344" s="1" t="s">
        <v>41</v>
      </c>
      <c r="X1344" s="1">
        <v>298986</v>
      </c>
      <c r="Y1344" s="2">
        <v>38811</v>
      </c>
      <c r="Z1344" s="1">
        <v>15.1789737171464</v>
      </c>
      <c r="AA1344" s="1">
        <v>18</v>
      </c>
      <c r="AB1344" s="1">
        <v>676000</v>
      </c>
      <c r="AC1344" s="1">
        <f t="shared" si="20"/>
        <v>736000</v>
      </c>
    </row>
    <row r="1345" spans="1:29" x14ac:dyDescent="0.25">
      <c r="A1345" s="1" t="s">
        <v>332</v>
      </c>
      <c r="B1345" s="1" t="s">
        <v>333</v>
      </c>
      <c r="C1345" s="1" t="s">
        <v>334</v>
      </c>
      <c r="D1345" s="1">
        <v>2023</v>
      </c>
      <c r="E1345" s="1" t="s">
        <v>45</v>
      </c>
      <c r="F1345" s="1">
        <v>2</v>
      </c>
      <c r="G1345" s="1" t="s">
        <v>46</v>
      </c>
      <c r="H1345" s="1" t="s">
        <v>102</v>
      </c>
      <c r="I1345" s="1">
        <v>92000</v>
      </c>
      <c r="J1345" s="1">
        <v>77000</v>
      </c>
      <c r="K1345" s="1">
        <v>15000</v>
      </c>
      <c r="L1345" s="1">
        <v>0</v>
      </c>
      <c r="M1345" s="1" t="s">
        <v>34</v>
      </c>
      <c r="N1345" s="1" t="s">
        <v>70</v>
      </c>
      <c r="O1345" s="1" t="s">
        <v>48</v>
      </c>
      <c r="P1345" s="1" t="s">
        <v>49</v>
      </c>
      <c r="Q1345" s="1" t="s">
        <v>38</v>
      </c>
      <c r="R1345" s="1" t="s">
        <v>335</v>
      </c>
      <c r="S1345" s="3">
        <v>919524000000</v>
      </c>
      <c r="T1345" s="1" t="s">
        <v>86</v>
      </c>
      <c r="U1345" s="1">
        <v>89</v>
      </c>
      <c r="V1345" s="1">
        <v>62</v>
      </c>
      <c r="W1345" s="1" t="s">
        <v>52</v>
      </c>
      <c r="X1345" s="1">
        <v>432067</v>
      </c>
      <c r="Y1345" s="2">
        <v>36999</v>
      </c>
      <c r="Z1345" s="1">
        <v>14.1789737171464</v>
      </c>
      <c r="AA1345" s="1">
        <v>23</v>
      </c>
      <c r="AB1345" s="1">
        <v>184000</v>
      </c>
      <c r="AC1345" s="1">
        <f t="shared" si="20"/>
        <v>214000</v>
      </c>
    </row>
    <row r="1346" spans="1:29" x14ac:dyDescent="0.25">
      <c r="A1346" s="1" t="s">
        <v>336</v>
      </c>
      <c r="B1346" s="1" t="s">
        <v>337</v>
      </c>
      <c r="C1346" s="1" t="s">
        <v>338</v>
      </c>
      <c r="D1346" s="1">
        <v>2023</v>
      </c>
      <c r="E1346" s="1" t="s">
        <v>31</v>
      </c>
      <c r="F1346" s="1">
        <v>4</v>
      </c>
      <c r="G1346" s="1" t="s">
        <v>32</v>
      </c>
      <c r="H1346" s="1" t="s">
        <v>47</v>
      </c>
      <c r="I1346" s="1">
        <v>169000</v>
      </c>
      <c r="J1346" s="1">
        <v>154000</v>
      </c>
      <c r="K1346" s="1">
        <v>15000</v>
      </c>
      <c r="L1346" s="1">
        <v>0</v>
      </c>
      <c r="M1346" s="1" t="s">
        <v>34</v>
      </c>
      <c r="N1346" s="1" t="s">
        <v>70</v>
      </c>
      <c r="O1346" s="1" t="s">
        <v>103</v>
      </c>
      <c r="P1346" s="1" t="s">
        <v>104</v>
      </c>
      <c r="Q1346" s="1" t="s">
        <v>38</v>
      </c>
      <c r="R1346" s="1" t="s">
        <v>339</v>
      </c>
      <c r="S1346" s="3">
        <v>917959000000</v>
      </c>
      <c r="T1346" s="1" t="s">
        <v>86</v>
      </c>
      <c r="U1346" s="1">
        <v>89</v>
      </c>
      <c r="V1346" s="1">
        <v>62</v>
      </c>
      <c r="W1346" s="1" t="s">
        <v>41</v>
      </c>
      <c r="X1346" s="1">
        <v>455723</v>
      </c>
      <c r="Y1346" s="2">
        <v>38503</v>
      </c>
      <c r="Z1346" s="1">
        <v>14.1789737171464</v>
      </c>
      <c r="AA1346" s="1">
        <v>19</v>
      </c>
      <c r="AB1346" s="1">
        <v>676000</v>
      </c>
      <c r="AC1346" s="1">
        <f t="shared" si="20"/>
        <v>736000</v>
      </c>
    </row>
    <row r="1347" spans="1:29" x14ac:dyDescent="0.25">
      <c r="A1347" s="1" t="s">
        <v>344</v>
      </c>
      <c r="B1347" s="1" t="s">
        <v>345</v>
      </c>
      <c r="C1347" s="1" t="s">
        <v>346</v>
      </c>
      <c r="D1347" s="1">
        <v>2023</v>
      </c>
      <c r="E1347" s="1" t="s">
        <v>31</v>
      </c>
      <c r="F1347" s="1">
        <v>4</v>
      </c>
      <c r="G1347" s="1" t="s">
        <v>32</v>
      </c>
      <c r="H1347" s="1" t="s">
        <v>122</v>
      </c>
      <c r="I1347" s="1">
        <v>169000</v>
      </c>
      <c r="J1347" s="1">
        <v>154000</v>
      </c>
      <c r="K1347" s="1">
        <v>15000</v>
      </c>
      <c r="L1347" s="1">
        <v>0</v>
      </c>
      <c r="M1347" s="1" t="s">
        <v>34</v>
      </c>
      <c r="N1347" s="1" t="s">
        <v>63</v>
      </c>
      <c r="O1347" s="1" t="s">
        <v>91</v>
      </c>
      <c r="P1347" s="1" t="s">
        <v>92</v>
      </c>
      <c r="Q1347" s="1" t="s">
        <v>38</v>
      </c>
      <c r="R1347" s="1" t="s">
        <v>347</v>
      </c>
      <c r="S1347" s="3">
        <v>918860000000</v>
      </c>
      <c r="T1347" s="1" t="s">
        <v>98</v>
      </c>
      <c r="U1347" s="1">
        <v>89</v>
      </c>
      <c r="V1347" s="1">
        <v>89</v>
      </c>
      <c r="W1347" s="1" t="s">
        <v>52</v>
      </c>
      <c r="X1347" s="1">
        <v>423884</v>
      </c>
      <c r="Y1347" s="2">
        <v>38887</v>
      </c>
      <c r="Z1347" s="1">
        <v>14.1789737171464</v>
      </c>
      <c r="AA1347" s="1">
        <v>18</v>
      </c>
      <c r="AB1347" s="1">
        <v>676000</v>
      </c>
      <c r="AC1347" s="1">
        <f t="shared" si="20"/>
        <v>736000</v>
      </c>
    </row>
    <row r="1348" spans="1:29" x14ac:dyDescent="0.25">
      <c r="A1348" s="1" t="s">
        <v>360</v>
      </c>
      <c r="B1348" s="1" t="s">
        <v>361</v>
      </c>
      <c r="C1348" s="1" t="s">
        <v>362</v>
      </c>
      <c r="D1348" s="1">
        <v>2023</v>
      </c>
      <c r="E1348" s="1" t="s">
        <v>31</v>
      </c>
      <c r="F1348" s="1">
        <v>4</v>
      </c>
      <c r="G1348" s="1" t="s">
        <v>32</v>
      </c>
      <c r="H1348" s="1" t="s">
        <v>151</v>
      </c>
      <c r="I1348" s="1">
        <v>169000</v>
      </c>
      <c r="J1348" s="1">
        <v>154000</v>
      </c>
      <c r="K1348" s="1">
        <v>15000</v>
      </c>
      <c r="L1348" s="1">
        <v>0</v>
      </c>
      <c r="M1348" s="1" t="s">
        <v>34</v>
      </c>
      <c r="N1348" s="1" t="s">
        <v>70</v>
      </c>
      <c r="O1348" s="1" t="s">
        <v>78</v>
      </c>
      <c r="P1348" s="1" t="s">
        <v>79</v>
      </c>
      <c r="Q1348" s="1" t="s">
        <v>38</v>
      </c>
      <c r="R1348" s="1" t="s">
        <v>363</v>
      </c>
      <c r="S1348" s="3">
        <v>917420000000</v>
      </c>
      <c r="T1348" s="1" t="s">
        <v>51</v>
      </c>
      <c r="U1348" s="1">
        <v>89</v>
      </c>
      <c r="V1348" s="1">
        <v>66</v>
      </c>
      <c r="W1348" s="1" t="s">
        <v>41</v>
      </c>
      <c r="X1348" s="1">
        <v>307059</v>
      </c>
      <c r="Y1348" s="2">
        <v>38548</v>
      </c>
      <c r="Z1348" s="1">
        <v>14.1789737171464</v>
      </c>
      <c r="AA1348" s="1">
        <v>18</v>
      </c>
      <c r="AB1348" s="1">
        <v>676000</v>
      </c>
      <c r="AC1348" s="1">
        <f t="shared" si="20"/>
        <v>736000</v>
      </c>
    </row>
    <row r="1349" spans="1:29" x14ac:dyDescent="0.25">
      <c r="A1349" s="1" t="s">
        <v>372</v>
      </c>
      <c r="B1349" s="1" t="s">
        <v>373</v>
      </c>
      <c r="C1349" s="1" t="s">
        <v>374</v>
      </c>
      <c r="D1349" s="1">
        <v>2023</v>
      </c>
      <c r="E1349" s="1" t="s">
        <v>31</v>
      </c>
      <c r="F1349" s="1">
        <v>4</v>
      </c>
      <c r="G1349" s="1" t="s">
        <v>32</v>
      </c>
      <c r="H1349" s="1" t="s">
        <v>151</v>
      </c>
      <c r="I1349" s="1">
        <v>169000</v>
      </c>
      <c r="J1349" s="1">
        <v>154000</v>
      </c>
      <c r="K1349" s="1">
        <v>15000</v>
      </c>
      <c r="L1349" s="1">
        <v>0</v>
      </c>
      <c r="M1349" s="1" t="s">
        <v>34</v>
      </c>
      <c r="N1349" s="1" t="s">
        <v>70</v>
      </c>
      <c r="O1349" s="1" t="s">
        <v>48</v>
      </c>
      <c r="P1349" s="1" t="s">
        <v>49</v>
      </c>
      <c r="Q1349" s="1" t="s">
        <v>38</v>
      </c>
      <c r="R1349" s="1" t="s">
        <v>375</v>
      </c>
      <c r="S1349" s="3">
        <v>917728000000</v>
      </c>
      <c r="T1349" s="1" t="s">
        <v>98</v>
      </c>
      <c r="U1349" s="1">
        <v>89</v>
      </c>
      <c r="V1349" s="1">
        <v>67</v>
      </c>
      <c r="W1349" s="1" t="s">
        <v>41</v>
      </c>
      <c r="X1349" s="1">
        <v>127532</v>
      </c>
      <c r="Y1349" s="2">
        <v>37995</v>
      </c>
      <c r="Z1349" s="1">
        <v>14.1789737171464</v>
      </c>
      <c r="AA1349" s="1">
        <v>20</v>
      </c>
      <c r="AB1349" s="1">
        <v>676000</v>
      </c>
      <c r="AC1349" s="1">
        <f t="shared" si="20"/>
        <v>736000</v>
      </c>
    </row>
    <row r="1350" spans="1:29" x14ac:dyDescent="0.25">
      <c r="A1350" s="1" t="s">
        <v>388</v>
      </c>
      <c r="B1350" s="1" t="s">
        <v>389</v>
      </c>
      <c r="C1350" s="1" t="s">
        <v>390</v>
      </c>
      <c r="D1350" s="1">
        <v>2023</v>
      </c>
      <c r="E1350" s="1" t="s">
        <v>31</v>
      </c>
      <c r="F1350" s="1">
        <v>4</v>
      </c>
      <c r="G1350" s="1" t="s">
        <v>32</v>
      </c>
      <c r="H1350" s="1" t="s">
        <v>210</v>
      </c>
      <c r="I1350" s="1">
        <v>169000</v>
      </c>
      <c r="J1350" s="1">
        <v>154000</v>
      </c>
      <c r="K1350" s="1">
        <v>15000</v>
      </c>
      <c r="L1350" s="1">
        <v>0</v>
      </c>
      <c r="M1350" s="1" t="s">
        <v>34</v>
      </c>
      <c r="N1350" s="1" t="s">
        <v>35</v>
      </c>
      <c r="O1350" s="1" t="s">
        <v>84</v>
      </c>
      <c r="P1350" s="1" t="s">
        <v>65</v>
      </c>
      <c r="Q1350" s="1" t="s">
        <v>38</v>
      </c>
      <c r="R1350" s="1" t="s">
        <v>391</v>
      </c>
      <c r="S1350" s="3">
        <v>919325000000</v>
      </c>
      <c r="T1350" s="1" t="s">
        <v>98</v>
      </c>
      <c r="U1350" s="1">
        <v>89</v>
      </c>
      <c r="V1350" s="1">
        <v>80</v>
      </c>
      <c r="W1350" s="1" t="s">
        <v>41</v>
      </c>
      <c r="X1350" s="1">
        <v>242809</v>
      </c>
      <c r="Y1350" s="2">
        <v>38062</v>
      </c>
      <c r="Z1350" s="1">
        <v>14.1789737171464</v>
      </c>
      <c r="AA1350" s="1">
        <v>20</v>
      </c>
      <c r="AB1350" s="1">
        <v>676000</v>
      </c>
      <c r="AC1350" s="1">
        <f t="shared" ref="AC1350:AC1413" si="21">IF(F1350 = 2, AB1350+30000,AB1350+60000)</f>
        <v>736000</v>
      </c>
    </row>
    <row r="1351" spans="1:29" x14ac:dyDescent="0.25">
      <c r="A1351" s="1" t="s">
        <v>408</v>
      </c>
      <c r="B1351" s="1" t="s">
        <v>409</v>
      </c>
      <c r="C1351" s="1" t="s">
        <v>410</v>
      </c>
      <c r="D1351" s="1">
        <v>2023</v>
      </c>
      <c r="E1351" s="1" t="s">
        <v>45</v>
      </c>
      <c r="F1351" s="1">
        <v>2</v>
      </c>
      <c r="G1351" s="1" t="s">
        <v>46</v>
      </c>
      <c r="H1351" s="1" t="s">
        <v>47</v>
      </c>
      <c r="I1351" s="1">
        <v>92000</v>
      </c>
      <c r="J1351" s="1">
        <v>77000</v>
      </c>
      <c r="K1351" s="1">
        <v>15000</v>
      </c>
      <c r="L1351" s="1">
        <v>0</v>
      </c>
      <c r="M1351" s="1" t="s">
        <v>34</v>
      </c>
      <c r="N1351" s="1" t="s">
        <v>70</v>
      </c>
      <c r="O1351" s="1" t="s">
        <v>78</v>
      </c>
      <c r="P1351" s="1" t="s">
        <v>79</v>
      </c>
      <c r="Q1351" s="1" t="s">
        <v>38</v>
      </c>
      <c r="R1351" s="1" t="s">
        <v>411</v>
      </c>
      <c r="S1351" s="3">
        <v>918743000000</v>
      </c>
      <c r="T1351" s="1" t="s">
        <v>98</v>
      </c>
      <c r="U1351" s="1">
        <v>89</v>
      </c>
      <c r="V1351" s="1">
        <v>85</v>
      </c>
      <c r="W1351" s="1" t="s">
        <v>52</v>
      </c>
      <c r="X1351" s="1">
        <v>302492</v>
      </c>
      <c r="Y1351" s="2">
        <v>36173</v>
      </c>
      <c r="Z1351" s="1">
        <v>14.1789737171464</v>
      </c>
      <c r="AA1351" s="1">
        <v>25</v>
      </c>
      <c r="AB1351" s="1">
        <v>184000</v>
      </c>
      <c r="AC1351" s="1">
        <f t="shared" si="21"/>
        <v>214000</v>
      </c>
    </row>
    <row r="1352" spans="1:29" x14ac:dyDescent="0.25">
      <c r="A1352" s="1" t="s">
        <v>412</v>
      </c>
      <c r="B1352" s="1" t="s">
        <v>413</v>
      </c>
      <c r="C1352" s="1" t="s">
        <v>414</v>
      </c>
      <c r="D1352" s="1">
        <v>2023</v>
      </c>
      <c r="E1352" s="1" t="s">
        <v>31</v>
      </c>
      <c r="F1352" s="1">
        <v>4</v>
      </c>
      <c r="G1352" s="1" t="s">
        <v>32</v>
      </c>
      <c r="H1352" s="1" t="s">
        <v>210</v>
      </c>
      <c r="I1352" s="1">
        <v>169000</v>
      </c>
      <c r="J1352" s="1">
        <v>154000</v>
      </c>
      <c r="K1352" s="1">
        <v>15000</v>
      </c>
      <c r="L1352" s="1">
        <v>0</v>
      </c>
      <c r="M1352" s="1" t="s">
        <v>34</v>
      </c>
      <c r="N1352" s="1" t="s">
        <v>63</v>
      </c>
      <c r="O1352" s="1" t="s">
        <v>57</v>
      </c>
      <c r="P1352" s="1" t="s">
        <v>57</v>
      </c>
      <c r="Q1352" s="1" t="s">
        <v>38</v>
      </c>
      <c r="R1352" s="1" t="s">
        <v>415</v>
      </c>
      <c r="S1352" s="3">
        <v>917707000000</v>
      </c>
      <c r="T1352" s="1" t="s">
        <v>86</v>
      </c>
      <c r="U1352" s="1">
        <v>89</v>
      </c>
      <c r="V1352" s="1">
        <v>67</v>
      </c>
      <c r="W1352" s="1" t="s">
        <v>41</v>
      </c>
      <c r="X1352" s="1">
        <v>415977</v>
      </c>
      <c r="Y1352" s="2">
        <v>36936</v>
      </c>
      <c r="Z1352" s="1">
        <v>14.1789737171464</v>
      </c>
      <c r="AA1352" s="1">
        <v>23</v>
      </c>
      <c r="AB1352" s="1">
        <v>676000</v>
      </c>
      <c r="AC1352" s="1">
        <f t="shared" si="21"/>
        <v>736000</v>
      </c>
    </row>
    <row r="1353" spans="1:29" x14ac:dyDescent="0.25">
      <c r="A1353" s="1" t="s">
        <v>448</v>
      </c>
      <c r="B1353" s="1" t="s">
        <v>449</v>
      </c>
      <c r="C1353" s="1" t="s">
        <v>450</v>
      </c>
      <c r="D1353" s="1">
        <v>2023</v>
      </c>
      <c r="E1353" s="1" t="s">
        <v>31</v>
      </c>
      <c r="F1353" s="1">
        <v>4</v>
      </c>
      <c r="G1353" s="1" t="s">
        <v>32</v>
      </c>
      <c r="H1353" s="1" t="s">
        <v>33</v>
      </c>
      <c r="I1353" s="1">
        <v>169000</v>
      </c>
      <c r="J1353" s="1">
        <v>154000</v>
      </c>
      <c r="K1353" s="1">
        <v>15000</v>
      </c>
      <c r="L1353" s="1">
        <v>0</v>
      </c>
      <c r="M1353" s="1" t="s">
        <v>5649</v>
      </c>
      <c r="N1353" s="1" t="s">
        <v>70</v>
      </c>
      <c r="O1353" s="1" t="s">
        <v>91</v>
      </c>
      <c r="P1353" s="1" t="s">
        <v>92</v>
      </c>
      <c r="Q1353" s="1" t="s">
        <v>38</v>
      </c>
      <c r="R1353" s="1" t="s">
        <v>451</v>
      </c>
      <c r="S1353" s="3">
        <v>918146000000</v>
      </c>
      <c r="T1353" s="1" t="s">
        <v>86</v>
      </c>
      <c r="U1353" s="1">
        <v>89</v>
      </c>
      <c r="V1353" s="1">
        <v>62</v>
      </c>
      <c r="W1353" s="1" t="s">
        <v>41</v>
      </c>
      <c r="X1353" s="1">
        <v>525750</v>
      </c>
      <c r="Y1353" s="2">
        <v>38627</v>
      </c>
      <c r="Z1353" s="1">
        <v>14.1789737171464</v>
      </c>
      <c r="AA1353" s="1">
        <v>18</v>
      </c>
      <c r="AB1353" s="1">
        <v>676000</v>
      </c>
      <c r="AC1353" s="1">
        <f t="shared" si="21"/>
        <v>736000</v>
      </c>
    </row>
    <row r="1354" spans="1:29" x14ac:dyDescent="0.25">
      <c r="A1354" s="1" t="s">
        <v>452</v>
      </c>
      <c r="B1354" s="1" t="s">
        <v>453</v>
      </c>
      <c r="C1354" s="1" t="s">
        <v>454</v>
      </c>
      <c r="D1354" s="1">
        <v>2023</v>
      </c>
      <c r="E1354" s="1" t="s">
        <v>31</v>
      </c>
      <c r="F1354" s="1">
        <v>4</v>
      </c>
      <c r="G1354" s="1" t="s">
        <v>32</v>
      </c>
      <c r="H1354" s="1" t="s">
        <v>210</v>
      </c>
      <c r="I1354" s="1">
        <v>169000</v>
      </c>
      <c r="J1354" s="1">
        <v>154000</v>
      </c>
      <c r="K1354" s="1">
        <v>15000</v>
      </c>
      <c r="L1354" s="1">
        <v>0</v>
      </c>
      <c r="M1354" s="1" t="s">
        <v>5649</v>
      </c>
      <c r="N1354" s="1" t="s">
        <v>35</v>
      </c>
      <c r="O1354" s="1" t="s">
        <v>84</v>
      </c>
      <c r="P1354" s="1" t="s">
        <v>65</v>
      </c>
      <c r="Q1354" s="1" t="s">
        <v>38</v>
      </c>
      <c r="R1354" s="1" t="s">
        <v>455</v>
      </c>
      <c r="S1354" s="3">
        <v>917296000000</v>
      </c>
      <c r="T1354" s="1" t="s">
        <v>51</v>
      </c>
      <c r="U1354" s="1">
        <v>89</v>
      </c>
      <c r="V1354" s="1">
        <v>88</v>
      </c>
      <c r="W1354" s="1" t="s">
        <v>52</v>
      </c>
      <c r="X1354" s="1">
        <v>358834</v>
      </c>
      <c r="Y1354" s="2">
        <v>37108</v>
      </c>
      <c r="Z1354" s="1">
        <v>14.1789737171464</v>
      </c>
      <c r="AA1354" s="1">
        <v>22</v>
      </c>
      <c r="AB1354" s="1">
        <v>676000</v>
      </c>
      <c r="AC1354" s="1">
        <f t="shared" si="21"/>
        <v>736000</v>
      </c>
    </row>
    <row r="1355" spans="1:29" x14ac:dyDescent="0.25">
      <c r="A1355" s="1" t="s">
        <v>464</v>
      </c>
      <c r="B1355" s="1" t="s">
        <v>465</v>
      </c>
      <c r="C1355" s="1" t="s">
        <v>466</v>
      </c>
      <c r="D1355" s="1">
        <v>2023</v>
      </c>
      <c r="E1355" s="1" t="s">
        <v>31</v>
      </c>
      <c r="F1355" s="1">
        <v>4</v>
      </c>
      <c r="G1355" s="1" t="s">
        <v>32</v>
      </c>
      <c r="H1355" s="1" t="s">
        <v>151</v>
      </c>
      <c r="I1355" s="1">
        <v>169000</v>
      </c>
      <c r="J1355" s="1">
        <v>154000</v>
      </c>
      <c r="K1355" s="1">
        <v>15000</v>
      </c>
      <c r="L1355" s="1">
        <v>0</v>
      </c>
      <c r="M1355" s="1" t="s">
        <v>5649</v>
      </c>
      <c r="N1355" s="1" t="s">
        <v>63</v>
      </c>
      <c r="O1355" s="1" t="s">
        <v>188</v>
      </c>
      <c r="P1355" s="1" t="s">
        <v>189</v>
      </c>
      <c r="Q1355" s="1" t="s">
        <v>38</v>
      </c>
      <c r="R1355" s="1" t="s">
        <v>467</v>
      </c>
      <c r="S1355" s="3">
        <v>918244000000</v>
      </c>
      <c r="T1355" s="1" t="s">
        <v>98</v>
      </c>
      <c r="U1355" s="1">
        <v>89</v>
      </c>
      <c r="V1355" s="1">
        <v>87</v>
      </c>
      <c r="W1355" s="1" t="s">
        <v>52</v>
      </c>
      <c r="X1355" s="1">
        <v>541814</v>
      </c>
      <c r="Y1355" s="2">
        <v>38538</v>
      </c>
      <c r="Z1355" s="1">
        <v>14.1789737171464</v>
      </c>
      <c r="AA1355" s="1">
        <v>19</v>
      </c>
      <c r="AB1355" s="1">
        <v>676000</v>
      </c>
      <c r="AC1355" s="1">
        <f t="shared" si="21"/>
        <v>736000</v>
      </c>
    </row>
    <row r="1356" spans="1:29" x14ac:dyDescent="0.25">
      <c r="A1356" s="1" t="s">
        <v>472</v>
      </c>
      <c r="B1356" s="1" t="s">
        <v>473</v>
      </c>
      <c r="C1356" s="1" t="s">
        <v>474</v>
      </c>
      <c r="D1356" s="1">
        <v>2023</v>
      </c>
      <c r="E1356" s="1" t="s">
        <v>31</v>
      </c>
      <c r="F1356" s="1">
        <v>4</v>
      </c>
      <c r="G1356" s="1" t="s">
        <v>32</v>
      </c>
      <c r="H1356" s="1" t="s">
        <v>56</v>
      </c>
      <c r="I1356" s="1">
        <v>169000</v>
      </c>
      <c r="J1356" s="1">
        <v>154000</v>
      </c>
      <c r="K1356" s="1">
        <v>15000</v>
      </c>
      <c r="L1356" s="1">
        <v>0</v>
      </c>
      <c r="M1356" s="1" t="s">
        <v>34</v>
      </c>
      <c r="N1356" s="1" t="s">
        <v>63</v>
      </c>
      <c r="O1356" s="1" t="s">
        <v>36</v>
      </c>
      <c r="P1356" s="1" t="s">
        <v>37</v>
      </c>
      <c r="Q1356" s="1" t="s">
        <v>38</v>
      </c>
      <c r="R1356" s="1" t="s">
        <v>475</v>
      </c>
      <c r="S1356" s="3">
        <v>919391000000</v>
      </c>
      <c r="T1356" s="1" t="s">
        <v>40</v>
      </c>
      <c r="U1356" s="1">
        <v>88</v>
      </c>
      <c r="V1356" s="1">
        <v>67</v>
      </c>
      <c r="W1356" s="1" t="s">
        <v>41</v>
      </c>
      <c r="X1356" s="1">
        <v>754175</v>
      </c>
      <c r="Y1356" s="2">
        <v>38649</v>
      </c>
      <c r="Z1356" s="1">
        <v>13.1789737171464</v>
      </c>
      <c r="AA1356" s="1">
        <v>18</v>
      </c>
      <c r="AB1356" s="1">
        <v>676000</v>
      </c>
      <c r="AC1356" s="1">
        <f t="shared" si="21"/>
        <v>736000</v>
      </c>
    </row>
    <row r="1357" spans="1:29" x14ac:dyDescent="0.25">
      <c r="A1357" s="1" t="s">
        <v>508</v>
      </c>
      <c r="B1357" s="1" t="s">
        <v>509</v>
      </c>
      <c r="C1357" s="1" t="s">
        <v>510</v>
      </c>
      <c r="D1357" s="1">
        <v>2023</v>
      </c>
      <c r="E1357" s="1" t="s">
        <v>31</v>
      </c>
      <c r="F1357" s="1">
        <v>4</v>
      </c>
      <c r="G1357" s="1" t="s">
        <v>32</v>
      </c>
      <c r="H1357" s="1" t="s">
        <v>102</v>
      </c>
      <c r="I1357" s="1">
        <v>169000</v>
      </c>
      <c r="J1357" s="1">
        <v>154000</v>
      </c>
      <c r="K1357" s="1">
        <v>15000</v>
      </c>
      <c r="L1357" s="1">
        <v>0</v>
      </c>
      <c r="M1357" s="1" t="s">
        <v>34</v>
      </c>
      <c r="N1357" s="1" t="s">
        <v>35</v>
      </c>
      <c r="O1357" s="1" t="s">
        <v>64</v>
      </c>
      <c r="P1357" s="1" t="s">
        <v>65</v>
      </c>
      <c r="Q1357" s="1" t="s">
        <v>38</v>
      </c>
      <c r="R1357" s="1" t="s">
        <v>511</v>
      </c>
      <c r="S1357" s="3">
        <v>917603000000</v>
      </c>
      <c r="T1357" s="1" t="s">
        <v>98</v>
      </c>
      <c r="U1357" s="1">
        <v>88</v>
      </c>
      <c r="V1357" s="1">
        <v>74</v>
      </c>
      <c r="W1357" s="1" t="s">
        <v>52</v>
      </c>
      <c r="X1357" s="1">
        <v>562626</v>
      </c>
      <c r="Y1357" s="2">
        <v>37947</v>
      </c>
      <c r="Z1357" s="1">
        <v>13.1789737171464</v>
      </c>
      <c r="AA1357" s="1">
        <v>20</v>
      </c>
      <c r="AB1357" s="1">
        <v>676000</v>
      </c>
      <c r="AC1357" s="1">
        <f t="shared" si="21"/>
        <v>736000</v>
      </c>
    </row>
    <row r="1358" spans="1:29" x14ac:dyDescent="0.25">
      <c r="A1358" s="1" t="s">
        <v>526</v>
      </c>
      <c r="B1358" s="1" t="s">
        <v>527</v>
      </c>
      <c r="C1358" s="1" t="s">
        <v>528</v>
      </c>
      <c r="D1358" s="1">
        <v>2023</v>
      </c>
      <c r="E1358" s="1" t="s">
        <v>31</v>
      </c>
      <c r="F1358" s="1">
        <v>4</v>
      </c>
      <c r="G1358" s="1" t="s">
        <v>32</v>
      </c>
      <c r="H1358" s="1" t="s">
        <v>210</v>
      </c>
      <c r="I1358" s="1">
        <v>169000</v>
      </c>
      <c r="J1358" s="1">
        <v>154000</v>
      </c>
      <c r="K1358" s="1">
        <v>15000</v>
      </c>
      <c r="L1358" s="1">
        <v>0</v>
      </c>
      <c r="M1358" s="1" t="s">
        <v>34</v>
      </c>
      <c r="N1358" s="1" t="s">
        <v>35</v>
      </c>
      <c r="O1358" s="1" t="s">
        <v>103</v>
      </c>
      <c r="P1358" s="1" t="s">
        <v>104</v>
      </c>
      <c r="Q1358" s="1" t="s">
        <v>38</v>
      </c>
      <c r="R1358" s="1" t="s">
        <v>529</v>
      </c>
      <c r="S1358" s="3">
        <v>919789000000</v>
      </c>
      <c r="T1358" s="1" t="s">
        <v>98</v>
      </c>
      <c r="U1358" s="1">
        <v>88</v>
      </c>
      <c r="V1358" s="1">
        <v>81</v>
      </c>
      <c r="W1358" s="1" t="s">
        <v>41</v>
      </c>
      <c r="X1358" s="1">
        <v>728715</v>
      </c>
      <c r="Y1358" s="2">
        <v>37116</v>
      </c>
      <c r="Z1358" s="1">
        <v>13.1789737171464</v>
      </c>
      <c r="AA1358" s="1">
        <v>22</v>
      </c>
      <c r="AB1358" s="1">
        <v>676000</v>
      </c>
      <c r="AC1358" s="1">
        <f t="shared" si="21"/>
        <v>736000</v>
      </c>
    </row>
    <row r="1359" spans="1:29" x14ac:dyDescent="0.25">
      <c r="A1359" s="1" t="s">
        <v>538</v>
      </c>
      <c r="B1359" s="1" t="s">
        <v>539</v>
      </c>
      <c r="C1359" s="1" t="s">
        <v>540</v>
      </c>
      <c r="D1359" s="1">
        <v>2023</v>
      </c>
      <c r="E1359" s="1" t="s">
        <v>31</v>
      </c>
      <c r="F1359" s="1">
        <v>4</v>
      </c>
      <c r="G1359" s="1" t="s">
        <v>32</v>
      </c>
      <c r="H1359" s="1" t="s">
        <v>90</v>
      </c>
      <c r="I1359" s="1">
        <v>169000</v>
      </c>
      <c r="J1359" s="1">
        <v>154000</v>
      </c>
      <c r="K1359" s="1">
        <v>15000</v>
      </c>
      <c r="L1359" s="1">
        <v>0</v>
      </c>
      <c r="M1359" s="1" t="s">
        <v>34</v>
      </c>
      <c r="N1359" s="1" t="s">
        <v>35</v>
      </c>
      <c r="O1359" s="1" t="s">
        <v>36</v>
      </c>
      <c r="P1359" s="1" t="s">
        <v>37</v>
      </c>
      <c r="Q1359" s="1" t="s">
        <v>38</v>
      </c>
      <c r="R1359" s="1" t="s">
        <v>541</v>
      </c>
      <c r="S1359" s="3">
        <v>918828000000</v>
      </c>
      <c r="T1359" s="1" t="s">
        <v>74</v>
      </c>
      <c r="U1359" s="1">
        <v>88</v>
      </c>
      <c r="V1359" s="1">
        <v>68</v>
      </c>
      <c r="W1359" s="1" t="s">
        <v>41</v>
      </c>
      <c r="X1359" s="1">
        <v>361524</v>
      </c>
      <c r="Y1359" s="2">
        <v>37821</v>
      </c>
      <c r="Z1359" s="1">
        <v>13.1789737171464</v>
      </c>
      <c r="AA1359" s="1">
        <v>20</v>
      </c>
      <c r="AB1359" s="1">
        <v>676000</v>
      </c>
      <c r="AC1359" s="1">
        <f t="shared" si="21"/>
        <v>736000</v>
      </c>
    </row>
    <row r="1360" spans="1:29" x14ac:dyDescent="0.25">
      <c r="A1360" s="1" t="s">
        <v>558</v>
      </c>
      <c r="B1360" s="1" t="s">
        <v>559</v>
      </c>
      <c r="C1360" s="1" t="s">
        <v>560</v>
      </c>
      <c r="D1360" s="1">
        <v>2023</v>
      </c>
      <c r="E1360" s="1" t="s">
        <v>31</v>
      </c>
      <c r="F1360" s="1">
        <v>4</v>
      </c>
      <c r="G1360" s="1" t="s">
        <v>32</v>
      </c>
      <c r="H1360" s="1" t="s">
        <v>62</v>
      </c>
      <c r="I1360" s="1">
        <v>169000</v>
      </c>
      <c r="J1360" s="1">
        <v>154000</v>
      </c>
      <c r="K1360" s="1">
        <v>15000</v>
      </c>
      <c r="L1360" s="1">
        <v>0</v>
      </c>
      <c r="M1360" s="1" t="s">
        <v>34</v>
      </c>
      <c r="N1360" s="1" t="s">
        <v>35</v>
      </c>
      <c r="O1360" s="1" t="s">
        <v>71</v>
      </c>
      <c r="P1360" s="1" t="s">
        <v>72</v>
      </c>
      <c r="Q1360" s="1" t="s">
        <v>38</v>
      </c>
      <c r="R1360" s="1" t="s">
        <v>561</v>
      </c>
      <c r="S1360" s="3">
        <v>917019000000</v>
      </c>
      <c r="T1360" s="1" t="s">
        <v>86</v>
      </c>
      <c r="U1360" s="1">
        <v>88</v>
      </c>
      <c r="V1360" s="1">
        <v>83</v>
      </c>
      <c r="W1360" s="1" t="s">
        <v>52</v>
      </c>
      <c r="X1360" s="1">
        <v>728031</v>
      </c>
      <c r="Y1360" s="2">
        <v>37768</v>
      </c>
      <c r="Z1360" s="1">
        <v>13.1789737171464</v>
      </c>
      <c r="AA1360" s="1">
        <v>21</v>
      </c>
      <c r="AB1360" s="1">
        <v>676000</v>
      </c>
      <c r="AC1360" s="1">
        <f t="shared" si="21"/>
        <v>736000</v>
      </c>
    </row>
    <row r="1361" spans="1:29" x14ac:dyDescent="0.25">
      <c r="A1361" s="1" t="s">
        <v>562</v>
      </c>
      <c r="B1361" s="1" t="s">
        <v>563</v>
      </c>
      <c r="C1361" s="1" t="s">
        <v>564</v>
      </c>
      <c r="D1361" s="1">
        <v>2023</v>
      </c>
      <c r="E1361" s="1" t="s">
        <v>31</v>
      </c>
      <c r="F1361" s="1">
        <v>4</v>
      </c>
      <c r="G1361" s="1" t="s">
        <v>32</v>
      </c>
      <c r="H1361" s="1" t="s">
        <v>151</v>
      </c>
      <c r="I1361" s="1">
        <v>169000</v>
      </c>
      <c r="J1361" s="1">
        <v>154000</v>
      </c>
      <c r="K1361" s="1">
        <v>15000</v>
      </c>
      <c r="L1361" s="1">
        <v>0</v>
      </c>
      <c r="M1361" s="1" t="s">
        <v>34</v>
      </c>
      <c r="N1361" s="1" t="s">
        <v>70</v>
      </c>
      <c r="O1361" s="1" t="s">
        <v>188</v>
      </c>
      <c r="P1361" s="1" t="s">
        <v>189</v>
      </c>
      <c r="Q1361" s="1" t="s">
        <v>38</v>
      </c>
      <c r="R1361" s="1" t="s">
        <v>565</v>
      </c>
      <c r="S1361" s="3">
        <v>918927000000</v>
      </c>
      <c r="T1361" s="1" t="s">
        <v>74</v>
      </c>
      <c r="U1361" s="1">
        <v>88</v>
      </c>
      <c r="V1361" s="1">
        <v>65</v>
      </c>
      <c r="W1361" s="1" t="s">
        <v>41</v>
      </c>
      <c r="X1361" s="1">
        <v>507559</v>
      </c>
      <c r="Y1361" s="2">
        <v>36786</v>
      </c>
      <c r="Z1361" s="1">
        <v>13.1789737171464</v>
      </c>
      <c r="AA1361" s="1">
        <v>23</v>
      </c>
      <c r="AB1361" s="1">
        <v>676000</v>
      </c>
      <c r="AC1361" s="1">
        <f t="shared" si="21"/>
        <v>736000</v>
      </c>
    </row>
    <row r="1362" spans="1:29" x14ac:dyDescent="0.25">
      <c r="A1362" s="1" t="s">
        <v>578</v>
      </c>
      <c r="B1362" s="1" t="s">
        <v>579</v>
      </c>
      <c r="C1362" s="1" t="s">
        <v>580</v>
      </c>
      <c r="D1362" s="1">
        <v>2023</v>
      </c>
      <c r="E1362" s="1" t="s">
        <v>31</v>
      </c>
      <c r="F1362" s="1">
        <v>4</v>
      </c>
      <c r="G1362" s="1" t="s">
        <v>32</v>
      </c>
      <c r="H1362" s="1" t="s">
        <v>113</v>
      </c>
      <c r="I1362" s="1">
        <v>169000</v>
      </c>
      <c r="J1362" s="1">
        <v>154000</v>
      </c>
      <c r="K1362" s="1">
        <v>15000</v>
      </c>
      <c r="L1362" s="1">
        <v>0</v>
      </c>
      <c r="M1362" s="1" t="s">
        <v>34</v>
      </c>
      <c r="N1362" s="1" t="s">
        <v>35</v>
      </c>
      <c r="O1362" s="1" t="s">
        <v>188</v>
      </c>
      <c r="P1362" s="1" t="s">
        <v>189</v>
      </c>
      <c r="Q1362" s="1" t="s">
        <v>38</v>
      </c>
      <c r="R1362" s="1" t="s">
        <v>581</v>
      </c>
      <c r="S1362" s="3">
        <v>919776000000</v>
      </c>
      <c r="T1362" s="1" t="s">
        <v>86</v>
      </c>
      <c r="U1362" s="1">
        <v>88</v>
      </c>
      <c r="V1362" s="1">
        <v>72</v>
      </c>
      <c r="W1362" s="1" t="s">
        <v>52</v>
      </c>
      <c r="X1362" s="1">
        <v>598950</v>
      </c>
      <c r="Y1362" s="2">
        <v>36714</v>
      </c>
      <c r="Z1362" s="1">
        <v>13.1789737171464</v>
      </c>
      <c r="AA1362" s="1">
        <v>24</v>
      </c>
      <c r="AB1362" s="1">
        <v>676000</v>
      </c>
      <c r="AC1362" s="1">
        <f t="shared" si="21"/>
        <v>736000</v>
      </c>
    </row>
    <row r="1363" spans="1:29" x14ac:dyDescent="0.25">
      <c r="A1363" s="1" t="s">
        <v>640</v>
      </c>
      <c r="B1363" s="1" t="s">
        <v>641</v>
      </c>
      <c r="C1363" s="1" t="s">
        <v>642</v>
      </c>
      <c r="D1363" s="1">
        <v>2023</v>
      </c>
      <c r="E1363" s="1" t="s">
        <v>31</v>
      </c>
      <c r="F1363" s="1">
        <v>4</v>
      </c>
      <c r="G1363" s="1" t="s">
        <v>32</v>
      </c>
      <c r="H1363" s="1" t="s">
        <v>122</v>
      </c>
      <c r="I1363" s="1">
        <v>169000</v>
      </c>
      <c r="J1363" s="1">
        <v>154000</v>
      </c>
      <c r="K1363" s="1">
        <v>15000</v>
      </c>
      <c r="L1363" s="1">
        <v>0</v>
      </c>
      <c r="M1363" s="1" t="s">
        <v>34</v>
      </c>
      <c r="N1363" s="1" t="s">
        <v>35</v>
      </c>
      <c r="O1363" s="1" t="s">
        <v>48</v>
      </c>
      <c r="P1363" s="1" t="s">
        <v>49</v>
      </c>
      <c r="Q1363" s="1" t="s">
        <v>38</v>
      </c>
      <c r="R1363" s="1" t="s">
        <v>643</v>
      </c>
      <c r="S1363" s="3">
        <v>918092000000</v>
      </c>
      <c r="T1363" s="1" t="s">
        <v>86</v>
      </c>
      <c r="U1363" s="1">
        <v>88</v>
      </c>
      <c r="V1363" s="1">
        <v>74</v>
      </c>
      <c r="W1363" s="1" t="s">
        <v>41</v>
      </c>
      <c r="X1363" s="1">
        <v>380857</v>
      </c>
      <c r="Y1363" s="2">
        <v>37048</v>
      </c>
      <c r="Z1363" s="1">
        <v>13.1789737171464</v>
      </c>
      <c r="AA1363" s="1">
        <v>23</v>
      </c>
      <c r="AB1363" s="1">
        <v>676000</v>
      </c>
      <c r="AC1363" s="1">
        <f t="shared" si="21"/>
        <v>736000</v>
      </c>
    </row>
    <row r="1364" spans="1:29" x14ac:dyDescent="0.25">
      <c r="A1364" s="1" t="s">
        <v>652</v>
      </c>
      <c r="B1364" s="1" t="s">
        <v>653</v>
      </c>
      <c r="C1364" s="1" t="s">
        <v>654</v>
      </c>
      <c r="D1364" s="1">
        <v>2023</v>
      </c>
      <c r="E1364" s="1" t="s">
        <v>31</v>
      </c>
      <c r="F1364" s="1">
        <v>4</v>
      </c>
      <c r="G1364" s="1" t="s">
        <v>32</v>
      </c>
      <c r="H1364" s="1" t="s">
        <v>47</v>
      </c>
      <c r="I1364" s="1">
        <v>169000</v>
      </c>
      <c r="J1364" s="1">
        <v>154000</v>
      </c>
      <c r="K1364" s="1">
        <v>15000</v>
      </c>
      <c r="L1364" s="1">
        <v>0</v>
      </c>
      <c r="M1364" s="1" t="s">
        <v>34</v>
      </c>
      <c r="N1364" s="1" t="s">
        <v>70</v>
      </c>
      <c r="O1364" s="1" t="s">
        <v>84</v>
      </c>
      <c r="P1364" s="1" t="s">
        <v>65</v>
      </c>
      <c r="Q1364" s="1" t="s">
        <v>38</v>
      </c>
      <c r="R1364" s="1" t="s">
        <v>655</v>
      </c>
      <c r="S1364" s="3">
        <v>919407000000</v>
      </c>
      <c r="T1364" s="1" t="s">
        <v>86</v>
      </c>
      <c r="U1364" s="1">
        <v>87</v>
      </c>
      <c r="V1364" s="1">
        <v>80</v>
      </c>
      <c r="W1364" s="1" t="s">
        <v>52</v>
      </c>
      <c r="X1364" s="1">
        <v>488707</v>
      </c>
      <c r="Y1364" s="2">
        <v>38197</v>
      </c>
      <c r="Z1364" s="1">
        <v>12.1789737171464</v>
      </c>
      <c r="AA1364" s="1">
        <v>19</v>
      </c>
      <c r="AB1364" s="1">
        <v>676000</v>
      </c>
      <c r="AC1364" s="1">
        <f t="shared" si="21"/>
        <v>736000</v>
      </c>
    </row>
    <row r="1365" spans="1:29" x14ac:dyDescent="0.25">
      <c r="A1365" s="1" t="s">
        <v>668</v>
      </c>
      <c r="B1365" s="1" t="s">
        <v>669</v>
      </c>
      <c r="C1365" s="1" t="s">
        <v>670</v>
      </c>
      <c r="D1365" s="1">
        <v>2023</v>
      </c>
      <c r="E1365" s="1" t="s">
        <v>31</v>
      </c>
      <c r="F1365" s="1">
        <v>4</v>
      </c>
      <c r="G1365" s="1" t="s">
        <v>32</v>
      </c>
      <c r="H1365" s="1" t="s">
        <v>122</v>
      </c>
      <c r="I1365" s="1">
        <v>169000</v>
      </c>
      <c r="J1365" s="1">
        <v>154000</v>
      </c>
      <c r="K1365" s="1">
        <v>15000</v>
      </c>
      <c r="L1365" s="1">
        <v>0</v>
      </c>
      <c r="M1365" s="1" t="s">
        <v>34</v>
      </c>
      <c r="N1365" s="1" t="s">
        <v>63</v>
      </c>
      <c r="O1365" s="1" t="s">
        <v>36</v>
      </c>
      <c r="P1365" s="1" t="s">
        <v>37</v>
      </c>
      <c r="Q1365" s="1" t="s">
        <v>38</v>
      </c>
      <c r="R1365" s="1" t="s">
        <v>671</v>
      </c>
      <c r="S1365" s="3">
        <v>919024000000</v>
      </c>
      <c r="T1365" s="1" t="s">
        <v>74</v>
      </c>
      <c r="U1365" s="1">
        <v>87</v>
      </c>
      <c r="V1365" s="1">
        <v>74</v>
      </c>
      <c r="W1365" s="1" t="s">
        <v>52</v>
      </c>
      <c r="X1365" s="1">
        <v>389962</v>
      </c>
      <c r="Y1365" s="2">
        <v>36995</v>
      </c>
      <c r="Z1365" s="1">
        <v>12.1789737171464</v>
      </c>
      <c r="AA1365" s="1">
        <v>23</v>
      </c>
      <c r="AB1365" s="1">
        <v>676000</v>
      </c>
      <c r="AC1365" s="1">
        <f t="shared" si="21"/>
        <v>736000</v>
      </c>
    </row>
    <row r="1366" spans="1:29" x14ac:dyDescent="0.25">
      <c r="A1366" s="1" t="s">
        <v>700</v>
      </c>
      <c r="B1366" s="1" t="s">
        <v>701</v>
      </c>
      <c r="C1366" s="1" t="s">
        <v>702</v>
      </c>
      <c r="D1366" s="1">
        <v>2023</v>
      </c>
      <c r="E1366" s="1" t="s">
        <v>31</v>
      </c>
      <c r="F1366" s="1">
        <v>4</v>
      </c>
      <c r="G1366" s="1" t="s">
        <v>32</v>
      </c>
      <c r="H1366" s="1" t="s">
        <v>113</v>
      </c>
      <c r="I1366" s="1">
        <v>169000</v>
      </c>
      <c r="J1366" s="1">
        <v>154000</v>
      </c>
      <c r="K1366" s="1">
        <v>15000</v>
      </c>
      <c r="L1366" s="1">
        <v>0</v>
      </c>
      <c r="M1366" s="1" t="s">
        <v>34</v>
      </c>
      <c r="N1366" s="1" t="s">
        <v>70</v>
      </c>
      <c r="O1366" s="1" t="s">
        <v>36</v>
      </c>
      <c r="P1366" s="1" t="s">
        <v>37</v>
      </c>
      <c r="Q1366" s="1" t="s">
        <v>38</v>
      </c>
      <c r="R1366" s="1" t="s">
        <v>703</v>
      </c>
      <c r="S1366" s="3">
        <v>919049000000</v>
      </c>
      <c r="T1366" s="1" t="s">
        <v>40</v>
      </c>
      <c r="U1366" s="1">
        <v>87</v>
      </c>
      <c r="V1366" s="1">
        <v>90</v>
      </c>
      <c r="W1366" s="1" t="s">
        <v>41</v>
      </c>
      <c r="X1366" s="1">
        <v>762677</v>
      </c>
      <c r="Y1366" s="2">
        <v>37063</v>
      </c>
      <c r="Z1366" s="1">
        <v>12.1789737171464</v>
      </c>
      <c r="AA1366" s="1">
        <v>23</v>
      </c>
      <c r="AB1366" s="1">
        <v>676000</v>
      </c>
      <c r="AC1366" s="1">
        <f t="shared" si="21"/>
        <v>736000</v>
      </c>
    </row>
    <row r="1367" spans="1:29" x14ac:dyDescent="0.25">
      <c r="A1367" s="1" t="s">
        <v>778</v>
      </c>
      <c r="B1367" s="1" t="s">
        <v>779</v>
      </c>
      <c r="C1367" s="1" t="s">
        <v>780</v>
      </c>
      <c r="D1367" s="1">
        <v>2023</v>
      </c>
      <c r="E1367" s="1" t="s">
        <v>45</v>
      </c>
      <c r="F1367" s="1">
        <v>2</v>
      </c>
      <c r="G1367" s="1" t="s">
        <v>46</v>
      </c>
      <c r="H1367" s="1" t="s">
        <v>33</v>
      </c>
      <c r="I1367" s="1">
        <v>92000</v>
      </c>
      <c r="J1367" s="1">
        <v>77000</v>
      </c>
      <c r="K1367" s="1">
        <v>15000</v>
      </c>
      <c r="L1367" s="1">
        <v>0</v>
      </c>
      <c r="M1367" s="1" t="s">
        <v>5649</v>
      </c>
      <c r="N1367" s="1" t="s">
        <v>63</v>
      </c>
      <c r="O1367" s="1" t="s">
        <v>103</v>
      </c>
      <c r="P1367" s="1" t="s">
        <v>104</v>
      </c>
      <c r="Q1367" s="1" t="s">
        <v>38</v>
      </c>
      <c r="R1367" s="1" t="s">
        <v>781</v>
      </c>
      <c r="S1367" s="3">
        <v>919180000000</v>
      </c>
      <c r="T1367" s="1" t="s">
        <v>98</v>
      </c>
      <c r="U1367" s="1">
        <v>87</v>
      </c>
      <c r="V1367" s="1">
        <v>87</v>
      </c>
      <c r="W1367" s="1" t="s">
        <v>52</v>
      </c>
      <c r="X1367" s="1">
        <v>743889</v>
      </c>
      <c r="Y1367" s="2">
        <v>36561</v>
      </c>
      <c r="Z1367" s="1">
        <v>12.1789737171464</v>
      </c>
      <c r="AA1367" s="1">
        <v>24</v>
      </c>
      <c r="AB1367" s="1">
        <v>184000</v>
      </c>
      <c r="AC1367" s="1">
        <f t="shared" si="21"/>
        <v>214000</v>
      </c>
    </row>
    <row r="1368" spans="1:29" x14ac:dyDescent="0.25">
      <c r="A1368" s="1" t="s">
        <v>794</v>
      </c>
      <c r="B1368" s="1" t="s">
        <v>795</v>
      </c>
      <c r="C1368" s="1" t="s">
        <v>796</v>
      </c>
      <c r="D1368" s="1">
        <v>2023</v>
      </c>
      <c r="E1368" s="1" t="s">
        <v>45</v>
      </c>
      <c r="F1368" s="1">
        <v>2</v>
      </c>
      <c r="G1368" s="1" t="s">
        <v>46</v>
      </c>
      <c r="H1368" s="1" t="s">
        <v>47</v>
      </c>
      <c r="I1368" s="1">
        <v>92000</v>
      </c>
      <c r="J1368" s="1">
        <v>77000</v>
      </c>
      <c r="K1368" s="1">
        <v>15000</v>
      </c>
      <c r="L1368" s="1">
        <v>0</v>
      </c>
      <c r="M1368" s="1" t="s">
        <v>34</v>
      </c>
      <c r="N1368" s="1" t="s">
        <v>63</v>
      </c>
      <c r="O1368" s="1" t="s">
        <v>48</v>
      </c>
      <c r="P1368" s="1" t="s">
        <v>49</v>
      </c>
      <c r="Q1368" s="1" t="s">
        <v>38</v>
      </c>
      <c r="R1368" s="1" t="s">
        <v>797</v>
      </c>
      <c r="S1368" s="3">
        <v>918234000000</v>
      </c>
      <c r="T1368" s="1" t="s">
        <v>98</v>
      </c>
      <c r="U1368" s="1">
        <v>87</v>
      </c>
      <c r="V1368" s="1">
        <v>69</v>
      </c>
      <c r="W1368" s="1" t="s">
        <v>41</v>
      </c>
      <c r="X1368" s="1">
        <v>116237</v>
      </c>
      <c r="Y1368" s="2">
        <v>36640</v>
      </c>
      <c r="Z1368" s="1">
        <v>12.1789737171464</v>
      </c>
      <c r="AA1368" s="1">
        <v>24</v>
      </c>
      <c r="AB1368" s="1">
        <v>184000</v>
      </c>
      <c r="AC1368" s="1">
        <f t="shared" si="21"/>
        <v>214000</v>
      </c>
    </row>
    <row r="1369" spans="1:29" x14ac:dyDescent="0.25">
      <c r="A1369" s="1" t="s">
        <v>810</v>
      </c>
      <c r="B1369" s="1" t="s">
        <v>811</v>
      </c>
      <c r="C1369" s="1" t="s">
        <v>812</v>
      </c>
      <c r="D1369" s="1">
        <v>2023</v>
      </c>
      <c r="E1369" s="1" t="s">
        <v>45</v>
      </c>
      <c r="F1369" s="1">
        <v>2</v>
      </c>
      <c r="G1369" s="1" t="s">
        <v>46</v>
      </c>
      <c r="H1369" s="1" t="s">
        <v>47</v>
      </c>
      <c r="I1369" s="1">
        <v>92000</v>
      </c>
      <c r="J1369" s="1">
        <v>77000</v>
      </c>
      <c r="K1369" s="1">
        <v>15000</v>
      </c>
      <c r="L1369" s="1">
        <v>0</v>
      </c>
      <c r="M1369" s="1" t="s">
        <v>34</v>
      </c>
      <c r="N1369" s="1" t="s">
        <v>35</v>
      </c>
      <c r="O1369" s="1" t="s">
        <v>103</v>
      </c>
      <c r="P1369" s="1" t="s">
        <v>104</v>
      </c>
      <c r="Q1369" s="1" t="s">
        <v>38</v>
      </c>
      <c r="R1369" s="1" t="s">
        <v>813</v>
      </c>
      <c r="S1369" s="3">
        <v>917448000000</v>
      </c>
      <c r="T1369" s="1" t="s">
        <v>98</v>
      </c>
      <c r="U1369" s="1">
        <v>87</v>
      </c>
      <c r="V1369" s="1">
        <v>77</v>
      </c>
      <c r="W1369" s="1" t="s">
        <v>41</v>
      </c>
      <c r="X1369" s="1">
        <v>128897</v>
      </c>
      <c r="Y1369" s="2">
        <v>36825</v>
      </c>
      <c r="Z1369" s="1">
        <v>12.1789737171464</v>
      </c>
      <c r="AA1369" s="1">
        <v>23</v>
      </c>
      <c r="AB1369" s="1">
        <v>184000</v>
      </c>
      <c r="AC1369" s="1">
        <f t="shared" si="21"/>
        <v>214000</v>
      </c>
    </row>
    <row r="1370" spans="1:29" x14ac:dyDescent="0.25">
      <c r="A1370" s="1" t="s">
        <v>918</v>
      </c>
      <c r="B1370" s="1" t="s">
        <v>919</v>
      </c>
      <c r="C1370" s="1" t="s">
        <v>920</v>
      </c>
      <c r="D1370" s="1">
        <v>2023</v>
      </c>
      <c r="E1370" s="1" t="s">
        <v>45</v>
      </c>
      <c r="F1370" s="1">
        <v>2</v>
      </c>
      <c r="G1370" s="1" t="s">
        <v>46</v>
      </c>
      <c r="H1370" s="1" t="s">
        <v>33</v>
      </c>
      <c r="I1370" s="1">
        <v>92000</v>
      </c>
      <c r="J1370" s="1">
        <v>77000</v>
      </c>
      <c r="K1370" s="1">
        <v>15000</v>
      </c>
      <c r="L1370" s="1">
        <v>0</v>
      </c>
      <c r="M1370" s="1" t="s">
        <v>34</v>
      </c>
      <c r="N1370" s="1" t="s">
        <v>35</v>
      </c>
      <c r="O1370" s="1" t="s">
        <v>48</v>
      </c>
      <c r="P1370" s="1" t="s">
        <v>49</v>
      </c>
      <c r="Q1370" s="1" t="s">
        <v>38</v>
      </c>
      <c r="R1370" s="1" t="s">
        <v>921</v>
      </c>
      <c r="S1370" s="3">
        <v>917258000000</v>
      </c>
      <c r="T1370" s="1" t="s">
        <v>51</v>
      </c>
      <c r="U1370" s="1">
        <v>86</v>
      </c>
      <c r="V1370" s="1">
        <v>67</v>
      </c>
      <c r="W1370" s="1" t="s">
        <v>41</v>
      </c>
      <c r="X1370" s="1">
        <v>760410</v>
      </c>
      <c r="Y1370" s="2">
        <v>37350</v>
      </c>
      <c r="Z1370" s="1">
        <v>11.1789737171464</v>
      </c>
      <c r="AA1370" s="1">
        <v>22</v>
      </c>
      <c r="AB1370" s="1">
        <v>184000</v>
      </c>
      <c r="AC1370" s="1">
        <f t="shared" si="21"/>
        <v>214000</v>
      </c>
    </row>
    <row r="1371" spans="1:29" x14ac:dyDescent="0.25">
      <c r="A1371" s="1" t="s">
        <v>930</v>
      </c>
      <c r="B1371" s="1" t="s">
        <v>931</v>
      </c>
      <c r="C1371" s="1" t="s">
        <v>932</v>
      </c>
      <c r="D1371" s="1">
        <v>2023</v>
      </c>
      <c r="E1371" s="1" t="s">
        <v>31</v>
      </c>
      <c r="F1371" s="1">
        <v>4</v>
      </c>
      <c r="G1371" s="1" t="s">
        <v>32</v>
      </c>
      <c r="H1371" s="1" t="s">
        <v>113</v>
      </c>
      <c r="I1371" s="1">
        <v>169000</v>
      </c>
      <c r="J1371" s="1">
        <v>154000</v>
      </c>
      <c r="K1371" s="1">
        <v>15000</v>
      </c>
      <c r="L1371" s="1">
        <v>0</v>
      </c>
      <c r="M1371" s="1" t="s">
        <v>34</v>
      </c>
      <c r="N1371" s="1" t="s">
        <v>63</v>
      </c>
      <c r="O1371" s="1" t="s">
        <v>71</v>
      </c>
      <c r="P1371" s="1" t="s">
        <v>72</v>
      </c>
      <c r="Q1371" s="1" t="s">
        <v>38</v>
      </c>
      <c r="R1371" s="1" t="s">
        <v>933</v>
      </c>
      <c r="S1371" s="3">
        <v>919279000000</v>
      </c>
      <c r="T1371" s="1" t="s">
        <v>40</v>
      </c>
      <c r="U1371" s="1">
        <v>86</v>
      </c>
      <c r="V1371" s="1">
        <v>91</v>
      </c>
      <c r="W1371" s="1" t="s">
        <v>41</v>
      </c>
      <c r="X1371" s="1">
        <v>567925</v>
      </c>
      <c r="Y1371" s="2">
        <v>38834</v>
      </c>
      <c r="Z1371" s="1">
        <v>11.1789737171464</v>
      </c>
      <c r="AA1371" s="1">
        <v>18</v>
      </c>
      <c r="AB1371" s="1">
        <v>676000</v>
      </c>
      <c r="AC1371" s="1">
        <f t="shared" si="21"/>
        <v>736000</v>
      </c>
    </row>
    <row r="1372" spans="1:29" x14ac:dyDescent="0.25">
      <c r="A1372" s="1" t="s">
        <v>934</v>
      </c>
      <c r="B1372" s="1" t="s">
        <v>935</v>
      </c>
      <c r="C1372" s="1" t="s">
        <v>936</v>
      </c>
      <c r="D1372" s="1">
        <v>2023</v>
      </c>
      <c r="E1372" s="1" t="s">
        <v>31</v>
      </c>
      <c r="F1372" s="1">
        <v>4</v>
      </c>
      <c r="G1372" s="1" t="s">
        <v>32</v>
      </c>
      <c r="H1372" s="1" t="s">
        <v>56</v>
      </c>
      <c r="I1372" s="1">
        <v>169000</v>
      </c>
      <c r="J1372" s="1">
        <v>154000</v>
      </c>
      <c r="K1372" s="1">
        <v>15000</v>
      </c>
      <c r="L1372" s="1">
        <v>0</v>
      </c>
      <c r="M1372" s="1" t="s">
        <v>34</v>
      </c>
      <c r="N1372" s="1" t="s">
        <v>35</v>
      </c>
      <c r="O1372" s="1" t="s">
        <v>36</v>
      </c>
      <c r="P1372" s="1" t="s">
        <v>37</v>
      </c>
      <c r="Q1372" s="1" t="s">
        <v>38</v>
      </c>
      <c r="R1372" s="1" t="s">
        <v>937</v>
      </c>
      <c r="S1372" s="3">
        <v>917088000000</v>
      </c>
      <c r="T1372" s="1" t="s">
        <v>98</v>
      </c>
      <c r="U1372" s="1">
        <v>86</v>
      </c>
      <c r="V1372" s="1">
        <v>65</v>
      </c>
      <c r="W1372" s="1" t="s">
        <v>52</v>
      </c>
      <c r="X1372" s="1">
        <v>196971</v>
      </c>
      <c r="Y1372" s="2">
        <v>37942</v>
      </c>
      <c r="Z1372" s="1">
        <v>11.1789737171464</v>
      </c>
      <c r="AA1372" s="1">
        <v>20</v>
      </c>
      <c r="AB1372" s="1">
        <v>676000</v>
      </c>
      <c r="AC1372" s="1">
        <f t="shared" si="21"/>
        <v>736000</v>
      </c>
    </row>
    <row r="1373" spans="1:29" x14ac:dyDescent="0.25">
      <c r="A1373" s="1" t="s">
        <v>946</v>
      </c>
      <c r="B1373" s="1" t="s">
        <v>947</v>
      </c>
      <c r="C1373" s="1" t="s">
        <v>948</v>
      </c>
      <c r="D1373" s="1">
        <v>2023</v>
      </c>
      <c r="E1373" s="1" t="s">
        <v>31</v>
      </c>
      <c r="F1373" s="1">
        <v>4</v>
      </c>
      <c r="G1373" s="1" t="s">
        <v>32</v>
      </c>
      <c r="H1373" s="1" t="s">
        <v>56</v>
      </c>
      <c r="I1373" s="1">
        <v>169000</v>
      </c>
      <c r="J1373" s="1">
        <v>154000</v>
      </c>
      <c r="K1373" s="1">
        <v>15000</v>
      </c>
      <c r="L1373" s="1">
        <v>0</v>
      </c>
      <c r="M1373" s="1" t="s">
        <v>34</v>
      </c>
      <c r="N1373" s="1" t="s">
        <v>63</v>
      </c>
      <c r="O1373" s="1" t="s">
        <v>48</v>
      </c>
      <c r="P1373" s="1" t="s">
        <v>49</v>
      </c>
      <c r="Q1373" s="1" t="s">
        <v>38</v>
      </c>
      <c r="R1373" s="1" t="s">
        <v>949</v>
      </c>
      <c r="S1373" s="3">
        <v>918262000000</v>
      </c>
      <c r="T1373" s="1" t="s">
        <v>51</v>
      </c>
      <c r="U1373" s="1">
        <v>86</v>
      </c>
      <c r="V1373" s="1">
        <v>78</v>
      </c>
      <c r="W1373" s="1" t="s">
        <v>41</v>
      </c>
      <c r="X1373" s="1">
        <v>791528</v>
      </c>
      <c r="Y1373" s="2">
        <v>37223</v>
      </c>
      <c r="Z1373" s="1">
        <v>11.1789737171464</v>
      </c>
      <c r="AA1373" s="1">
        <v>22</v>
      </c>
      <c r="AB1373" s="1">
        <v>676000</v>
      </c>
      <c r="AC1373" s="1">
        <f t="shared" si="21"/>
        <v>736000</v>
      </c>
    </row>
    <row r="1374" spans="1:29" x14ac:dyDescent="0.25">
      <c r="A1374" s="1" t="s">
        <v>1002</v>
      </c>
      <c r="B1374" s="1" t="s">
        <v>1003</v>
      </c>
      <c r="C1374" s="1" t="s">
        <v>1004</v>
      </c>
      <c r="D1374" s="1">
        <v>2023</v>
      </c>
      <c r="E1374" s="1" t="s">
        <v>31</v>
      </c>
      <c r="F1374" s="1">
        <v>4</v>
      </c>
      <c r="G1374" s="1" t="s">
        <v>32</v>
      </c>
      <c r="H1374" s="1" t="s">
        <v>90</v>
      </c>
      <c r="I1374" s="1">
        <v>169000</v>
      </c>
      <c r="J1374" s="1">
        <v>154000</v>
      </c>
      <c r="K1374" s="1">
        <v>15000</v>
      </c>
      <c r="L1374" s="1">
        <v>0</v>
      </c>
      <c r="M1374" s="1" t="s">
        <v>34</v>
      </c>
      <c r="N1374" s="1" t="s">
        <v>70</v>
      </c>
      <c r="O1374" s="1" t="s">
        <v>36</v>
      </c>
      <c r="P1374" s="1" t="s">
        <v>37</v>
      </c>
      <c r="Q1374" s="1" t="s">
        <v>38</v>
      </c>
      <c r="R1374" s="1" t="s">
        <v>1005</v>
      </c>
      <c r="S1374" s="3">
        <v>918685000000</v>
      </c>
      <c r="T1374" s="1" t="s">
        <v>51</v>
      </c>
      <c r="U1374" s="1">
        <v>86</v>
      </c>
      <c r="V1374" s="1">
        <v>81</v>
      </c>
      <c r="W1374" s="1" t="s">
        <v>41</v>
      </c>
      <c r="X1374" s="1">
        <v>459362</v>
      </c>
      <c r="Y1374" s="2">
        <v>38801</v>
      </c>
      <c r="Z1374" s="1">
        <v>11.1789737171464</v>
      </c>
      <c r="AA1374" s="1">
        <v>18</v>
      </c>
      <c r="AB1374" s="1">
        <v>676000</v>
      </c>
      <c r="AC1374" s="1">
        <f t="shared" si="21"/>
        <v>736000</v>
      </c>
    </row>
    <row r="1375" spans="1:29" x14ac:dyDescent="0.25">
      <c r="A1375" s="1" t="s">
        <v>1022</v>
      </c>
      <c r="B1375" s="1" t="s">
        <v>1023</v>
      </c>
      <c r="C1375" s="1" t="s">
        <v>1024</v>
      </c>
      <c r="D1375" s="1">
        <v>2023</v>
      </c>
      <c r="E1375" s="1" t="s">
        <v>31</v>
      </c>
      <c r="F1375" s="1">
        <v>4</v>
      </c>
      <c r="G1375" s="1" t="s">
        <v>32</v>
      </c>
      <c r="H1375" s="1" t="s">
        <v>90</v>
      </c>
      <c r="I1375" s="1">
        <v>169000</v>
      </c>
      <c r="J1375" s="1">
        <v>154000</v>
      </c>
      <c r="K1375" s="1">
        <v>15000</v>
      </c>
      <c r="L1375" s="1">
        <v>0</v>
      </c>
      <c r="M1375" s="1" t="s">
        <v>34</v>
      </c>
      <c r="N1375" s="1" t="s">
        <v>35</v>
      </c>
      <c r="O1375" s="1" t="s">
        <v>48</v>
      </c>
      <c r="P1375" s="1" t="s">
        <v>49</v>
      </c>
      <c r="Q1375" s="1" t="s">
        <v>38</v>
      </c>
      <c r="R1375" s="1" t="s">
        <v>1025</v>
      </c>
      <c r="S1375" s="3">
        <v>918295000000</v>
      </c>
      <c r="T1375" s="1" t="s">
        <v>51</v>
      </c>
      <c r="U1375" s="1">
        <v>86</v>
      </c>
      <c r="V1375" s="1">
        <v>79</v>
      </c>
      <c r="W1375" s="1" t="s">
        <v>41</v>
      </c>
      <c r="X1375" s="1">
        <v>162034</v>
      </c>
      <c r="Y1375" s="2">
        <v>37444</v>
      </c>
      <c r="Z1375" s="1">
        <v>11.1789737171464</v>
      </c>
      <c r="AA1375" s="1">
        <v>22</v>
      </c>
      <c r="AB1375" s="1">
        <v>676000</v>
      </c>
      <c r="AC1375" s="1">
        <f t="shared" si="21"/>
        <v>736000</v>
      </c>
    </row>
    <row r="1376" spans="1:29" x14ac:dyDescent="0.25">
      <c r="A1376" s="1" t="s">
        <v>1054</v>
      </c>
      <c r="B1376" s="1" t="s">
        <v>1055</v>
      </c>
      <c r="C1376" s="1" t="s">
        <v>1056</v>
      </c>
      <c r="D1376" s="1">
        <v>2023</v>
      </c>
      <c r="E1376" s="1" t="s">
        <v>31</v>
      </c>
      <c r="F1376" s="1">
        <v>4</v>
      </c>
      <c r="G1376" s="1" t="s">
        <v>32</v>
      </c>
      <c r="H1376" s="1" t="s">
        <v>56</v>
      </c>
      <c r="I1376" s="1">
        <v>169000</v>
      </c>
      <c r="J1376" s="1">
        <v>154000</v>
      </c>
      <c r="K1376" s="1">
        <v>15000</v>
      </c>
      <c r="L1376" s="1">
        <v>0</v>
      </c>
      <c r="M1376" s="1" t="s">
        <v>34</v>
      </c>
      <c r="N1376" s="1" t="s">
        <v>63</v>
      </c>
      <c r="O1376" s="1" t="s">
        <v>64</v>
      </c>
      <c r="P1376" s="1" t="s">
        <v>65</v>
      </c>
      <c r="Q1376" s="1" t="s">
        <v>38</v>
      </c>
      <c r="R1376" s="1" t="s">
        <v>1057</v>
      </c>
      <c r="S1376" s="3">
        <v>918288000000</v>
      </c>
      <c r="T1376" s="1" t="s">
        <v>51</v>
      </c>
      <c r="U1376" s="1">
        <v>86</v>
      </c>
      <c r="V1376" s="1">
        <v>81</v>
      </c>
      <c r="W1376" s="1" t="s">
        <v>41</v>
      </c>
      <c r="X1376" s="1">
        <v>112246</v>
      </c>
      <c r="Y1376" s="2">
        <v>37598</v>
      </c>
      <c r="Z1376" s="1">
        <v>11.1789737171464</v>
      </c>
      <c r="AA1376" s="1">
        <v>21</v>
      </c>
      <c r="AB1376" s="1">
        <v>676000</v>
      </c>
      <c r="AC1376" s="1">
        <f t="shared" si="21"/>
        <v>736000</v>
      </c>
    </row>
    <row r="1377" spans="1:29" x14ac:dyDescent="0.25">
      <c r="A1377" s="1" t="s">
        <v>1082</v>
      </c>
      <c r="B1377" s="1" t="s">
        <v>1083</v>
      </c>
      <c r="C1377" s="1" t="s">
        <v>1084</v>
      </c>
      <c r="D1377" s="1">
        <v>2023</v>
      </c>
      <c r="E1377" s="1" t="s">
        <v>45</v>
      </c>
      <c r="F1377" s="1">
        <v>2</v>
      </c>
      <c r="G1377" s="1" t="s">
        <v>46</v>
      </c>
      <c r="H1377" s="1" t="s">
        <v>33</v>
      </c>
      <c r="I1377" s="1">
        <v>92000</v>
      </c>
      <c r="J1377" s="1">
        <v>77000</v>
      </c>
      <c r="K1377" s="1">
        <v>15000</v>
      </c>
      <c r="L1377" s="1">
        <v>0</v>
      </c>
      <c r="M1377" s="1" t="s">
        <v>34</v>
      </c>
      <c r="N1377" s="1" t="s">
        <v>70</v>
      </c>
      <c r="O1377" s="1" t="s">
        <v>188</v>
      </c>
      <c r="P1377" s="1" t="s">
        <v>189</v>
      </c>
      <c r="Q1377" s="1" t="s">
        <v>38</v>
      </c>
      <c r="R1377" s="1" t="s">
        <v>1085</v>
      </c>
      <c r="S1377" s="3">
        <v>919877000000</v>
      </c>
      <c r="T1377" s="1" t="s">
        <v>98</v>
      </c>
      <c r="U1377" s="1">
        <v>86</v>
      </c>
      <c r="V1377" s="1">
        <v>73</v>
      </c>
      <c r="W1377" s="1" t="s">
        <v>41</v>
      </c>
      <c r="X1377" s="1">
        <v>739048</v>
      </c>
      <c r="Y1377" s="2">
        <v>37152</v>
      </c>
      <c r="Z1377" s="1">
        <v>11.1789737171464</v>
      </c>
      <c r="AA1377" s="1">
        <v>22</v>
      </c>
      <c r="AB1377" s="1">
        <v>184000</v>
      </c>
      <c r="AC1377" s="1">
        <f t="shared" si="21"/>
        <v>214000</v>
      </c>
    </row>
    <row r="1378" spans="1:29" x14ac:dyDescent="0.25">
      <c r="A1378" s="1" t="s">
        <v>1102</v>
      </c>
      <c r="B1378" s="1" t="s">
        <v>1103</v>
      </c>
      <c r="C1378" s="1" t="s">
        <v>1104</v>
      </c>
      <c r="D1378" s="1">
        <v>2023</v>
      </c>
      <c r="E1378" s="1" t="s">
        <v>45</v>
      </c>
      <c r="F1378" s="1">
        <v>2</v>
      </c>
      <c r="G1378" s="1" t="s">
        <v>46</v>
      </c>
      <c r="H1378" s="1" t="s">
        <v>90</v>
      </c>
      <c r="I1378" s="1">
        <v>92000</v>
      </c>
      <c r="J1378" s="1">
        <v>77000</v>
      </c>
      <c r="K1378" s="1">
        <v>15000</v>
      </c>
      <c r="L1378" s="1">
        <v>0</v>
      </c>
      <c r="M1378" s="1" t="s">
        <v>34</v>
      </c>
      <c r="N1378" s="1" t="s">
        <v>35</v>
      </c>
      <c r="O1378" s="1" t="s">
        <v>64</v>
      </c>
      <c r="P1378" s="1" t="s">
        <v>65</v>
      </c>
      <c r="Q1378" s="1" t="s">
        <v>38</v>
      </c>
      <c r="R1378" s="1" t="s">
        <v>1105</v>
      </c>
      <c r="S1378" s="3">
        <v>919981000000</v>
      </c>
      <c r="T1378" s="1" t="s">
        <v>40</v>
      </c>
      <c r="U1378" s="1">
        <v>86</v>
      </c>
      <c r="V1378" s="1">
        <v>63</v>
      </c>
      <c r="W1378" s="1" t="s">
        <v>52</v>
      </c>
      <c r="X1378" s="1">
        <v>367377</v>
      </c>
      <c r="Y1378" s="2">
        <v>37104</v>
      </c>
      <c r="Z1378" s="1">
        <v>11.1789737171464</v>
      </c>
      <c r="AA1378" s="1">
        <v>22</v>
      </c>
      <c r="AB1378" s="1">
        <v>184000</v>
      </c>
      <c r="AC1378" s="1">
        <f t="shared" si="21"/>
        <v>214000</v>
      </c>
    </row>
    <row r="1379" spans="1:29" x14ac:dyDescent="0.25">
      <c r="A1379" s="1" t="s">
        <v>1136</v>
      </c>
      <c r="B1379" s="1" t="s">
        <v>1137</v>
      </c>
      <c r="C1379" s="1" t="s">
        <v>1138</v>
      </c>
      <c r="D1379" s="1">
        <v>2023</v>
      </c>
      <c r="E1379" s="1" t="s">
        <v>31</v>
      </c>
      <c r="F1379" s="1">
        <v>4</v>
      </c>
      <c r="G1379" s="1" t="s">
        <v>32</v>
      </c>
      <c r="H1379" s="1" t="s">
        <v>90</v>
      </c>
      <c r="I1379" s="1">
        <v>169000</v>
      </c>
      <c r="J1379" s="1">
        <v>154000</v>
      </c>
      <c r="K1379" s="1">
        <v>15000</v>
      </c>
      <c r="L1379" s="1">
        <v>0</v>
      </c>
      <c r="M1379" s="1" t="s">
        <v>34</v>
      </c>
      <c r="N1379" s="1" t="s">
        <v>70</v>
      </c>
      <c r="O1379" s="1" t="s">
        <v>188</v>
      </c>
      <c r="P1379" s="1" t="s">
        <v>189</v>
      </c>
      <c r="Q1379" s="1" t="s">
        <v>38</v>
      </c>
      <c r="R1379" s="1" t="s">
        <v>1139</v>
      </c>
      <c r="S1379" s="3">
        <v>917184000000</v>
      </c>
      <c r="T1379" s="1" t="s">
        <v>86</v>
      </c>
      <c r="U1379" s="1">
        <v>85</v>
      </c>
      <c r="V1379" s="1">
        <v>84</v>
      </c>
      <c r="W1379" s="1" t="s">
        <v>52</v>
      </c>
      <c r="X1379" s="1">
        <v>602053</v>
      </c>
      <c r="Y1379" s="2">
        <v>36879</v>
      </c>
      <c r="Z1379" s="1">
        <v>10.1789737171464</v>
      </c>
      <c r="AA1379" s="1">
        <v>23</v>
      </c>
      <c r="AB1379" s="1">
        <v>676000</v>
      </c>
      <c r="AC1379" s="1">
        <f t="shared" si="21"/>
        <v>736000</v>
      </c>
    </row>
    <row r="1380" spans="1:29" x14ac:dyDescent="0.25">
      <c r="A1380" s="1" t="s">
        <v>1178</v>
      </c>
      <c r="B1380" s="1" t="s">
        <v>1157</v>
      </c>
      <c r="C1380" s="1" t="s">
        <v>1158</v>
      </c>
      <c r="D1380" s="1">
        <v>2023</v>
      </c>
      <c r="E1380" s="1" t="s">
        <v>31</v>
      </c>
      <c r="F1380" s="1">
        <v>4</v>
      </c>
      <c r="G1380" s="1" t="s">
        <v>32</v>
      </c>
      <c r="H1380" s="1" t="s">
        <v>56</v>
      </c>
      <c r="I1380" s="1">
        <v>169000</v>
      </c>
      <c r="J1380" s="1">
        <v>154000</v>
      </c>
      <c r="K1380" s="1">
        <v>15000</v>
      </c>
      <c r="L1380" s="1">
        <v>0</v>
      </c>
      <c r="M1380" s="1" t="s">
        <v>34</v>
      </c>
      <c r="N1380" s="1" t="s">
        <v>70</v>
      </c>
      <c r="O1380" s="1" t="s">
        <v>71</v>
      </c>
      <c r="P1380" s="1" t="s">
        <v>72</v>
      </c>
      <c r="Q1380" s="1" t="s">
        <v>38</v>
      </c>
      <c r="R1380" s="1" t="s">
        <v>1179</v>
      </c>
      <c r="S1380" s="3">
        <v>917862000000</v>
      </c>
      <c r="T1380" s="1" t="s">
        <v>86</v>
      </c>
      <c r="U1380" s="1">
        <v>85</v>
      </c>
      <c r="V1380" s="1">
        <v>80</v>
      </c>
      <c r="W1380" s="1" t="s">
        <v>41</v>
      </c>
      <c r="X1380" s="1">
        <v>432818</v>
      </c>
      <c r="Y1380" s="2">
        <v>38547</v>
      </c>
      <c r="Z1380" s="1">
        <v>10.1789737171464</v>
      </c>
      <c r="AA1380" s="1">
        <v>18</v>
      </c>
      <c r="AB1380" s="1">
        <v>676000</v>
      </c>
      <c r="AC1380" s="1">
        <f t="shared" si="21"/>
        <v>736000</v>
      </c>
    </row>
    <row r="1381" spans="1:29" x14ac:dyDescent="0.25">
      <c r="A1381" s="1" t="s">
        <v>1210</v>
      </c>
      <c r="B1381" s="1" t="s">
        <v>1211</v>
      </c>
      <c r="C1381" s="1" t="s">
        <v>1212</v>
      </c>
      <c r="D1381" s="1">
        <v>2023</v>
      </c>
      <c r="E1381" s="1" t="s">
        <v>31</v>
      </c>
      <c r="F1381" s="1">
        <v>4</v>
      </c>
      <c r="G1381" s="1" t="s">
        <v>32</v>
      </c>
      <c r="H1381" s="1" t="s">
        <v>122</v>
      </c>
      <c r="I1381" s="1">
        <v>169000</v>
      </c>
      <c r="J1381" s="1">
        <v>154000</v>
      </c>
      <c r="K1381" s="1">
        <v>15000</v>
      </c>
      <c r="L1381" s="1">
        <v>0</v>
      </c>
      <c r="M1381" s="1" t="s">
        <v>34</v>
      </c>
      <c r="N1381" s="1" t="s">
        <v>70</v>
      </c>
      <c r="O1381" s="1" t="s">
        <v>84</v>
      </c>
      <c r="P1381" s="1" t="s">
        <v>65</v>
      </c>
      <c r="Q1381" s="1" t="s">
        <v>38</v>
      </c>
      <c r="R1381" s="1" t="s">
        <v>1213</v>
      </c>
      <c r="S1381" s="3">
        <v>919624000000</v>
      </c>
      <c r="T1381" s="1" t="s">
        <v>40</v>
      </c>
      <c r="U1381" s="1">
        <v>85</v>
      </c>
      <c r="V1381" s="1">
        <v>83</v>
      </c>
      <c r="W1381" s="1" t="s">
        <v>52</v>
      </c>
      <c r="X1381" s="1">
        <v>205748</v>
      </c>
      <c r="Y1381" s="2">
        <v>36897</v>
      </c>
      <c r="Z1381" s="1">
        <v>10.1789737171464</v>
      </c>
      <c r="AA1381" s="1">
        <v>23</v>
      </c>
      <c r="AB1381" s="1">
        <v>676000</v>
      </c>
      <c r="AC1381" s="1">
        <f t="shared" si="21"/>
        <v>736000</v>
      </c>
    </row>
    <row r="1382" spans="1:29" x14ac:dyDescent="0.25">
      <c r="A1382" s="1" t="s">
        <v>1218</v>
      </c>
      <c r="B1382" s="1" t="s">
        <v>1219</v>
      </c>
      <c r="C1382" s="1" t="s">
        <v>1220</v>
      </c>
      <c r="D1382" s="1">
        <v>2023</v>
      </c>
      <c r="E1382" s="1" t="s">
        <v>31</v>
      </c>
      <c r="F1382" s="1">
        <v>4</v>
      </c>
      <c r="G1382" s="1" t="s">
        <v>32</v>
      </c>
      <c r="H1382" s="1" t="s">
        <v>90</v>
      </c>
      <c r="I1382" s="1">
        <v>169000</v>
      </c>
      <c r="J1382" s="1">
        <v>154000</v>
      </c>
      <c r="K1382" s="1">
        <v>15000</v>
      </c>
      <c r="L1382" s="1">
        <v>0</v>
      </c>
      <c r="M1382" s="1" t="s">
        <v>34</v>
      </c>
      <c r="N1382" s="1" t="s">
        <v>70</v>
      </c>
      <c r="O1382" s="1" t="s">
        <v>103</v>
      </c>
      <c r="P1382" s="1" t="s">
        <v>104</v>
      </c>
      <c r="Q1382" s="1" t="s">
        <v>38</v>
      </c>
      <c r="R1382" s="1" t="s">
        <v>1221</v>
      </c>
      <c r="S1382" s="3">
        <v>917137000000</v>
      </c>
      <c r="T1382" s="1" t="s">
        <v>98</v>
      </c>
      <c r="U1382" s="1">
        <v>85</v>
      </c>
      <c r="V1382" s="1">
        <v>92</v>
      </c>
      <c r="W1382" s="1" t="s">
        <v>52</v>
      </c>
      <c r="X1382" s="1">
        <v>457323</v>
      </c>
      <c r="Y1382" s="2">
        <v>37413</v>
      </c>
      <c r="Z1382" s="1">
        <v>10.1789737171464</v>
      </c>
      <c r="AA1382" s="1">
        <v>22</v>
      </c>
      <c r="AB1382" s="1">
        <v>676000</v>
      </c>
      <c r="AC1382" s="1">
        <f t="shared" si="21"/>
        <v>736000</v>
      </c>
    </row>
    <row r="1383" spans="1:29" x14ac:dyDescent="0.25">
      <c r="A1383" s="1" t="s">
        <v>1252</v>
      </c>
      <c r="B1383" s="1" t="s">
        <v>1253</v>
      </c>
      <c r="C1383" s="1" t="s">
        <v>1254</v>
      </c>
      <c r="D1383" s="1">
        <v>2023</v>
      </c>
      <c r="E1383" s="1" t="s">
        <v>31</v>
      </c>
      <c r="F1383" s="1">
        <v>4</v>
      </c>
      <c r="G1383" s="1" t="s">
        <v>32</v>
      </c>
      <c r="H1383" s="1" t="s">
        <v>90</v>
      </c>
      <c r="I1383" s="1">
        <v>169000</v>
      </c>
      <c r="J1383" s="1">
        <v>154000</v>
      </c>
      <c r="K1383" s="1">
        <v>15000</v>
      </c>
      <c r="L1383" s="1">
        <v>0</v>
      </c>
      <c r="M1383" s="1" t="s">
        <v>34</v>
      </c>
      <c r="N1383" s="1" t="s">
        <v>63</v>
      </c>
      <c r="O1383" s="1" t="s">
        <v>188</v>
      </c>
      <c r="P1383" s="1" t="s">
        <v>189</v>
      </c>
      <c r="Q1383" s="1" t="s">
        <v>38</v>
      </c>
      <c r="R1383" s="1" t="s">
        <v>1255</v>
      </c>
      <c r="S1383" s="3">
        <v>917718000000</v>
      </c>
      <c r="T1383" s="1" t="s">
        <v>86</v>
      </c>
      <c r="U1383" s="1">
        <v>85</v>
      </c>
      <c r="V1383" s="1">
        <v>80</v>
      </c>
      <c r="W1383" s="1" t="s">
        <v>41</v>
      </c>
      <c r="X1383" s="1">
        <v>209775</v>
      </c>
      <c r="Y1383" s="2">
        <v>38345</v>
      </c>
      <c r="Z1383" s="1">
        <v>10.1789737171464</v>
      </c>
      <c r="AA1383" s="1">
        <v>19</v>
      </c>
      <c r="AB1383" s="1">
        <v>676000</v>
      </c>
      <c r="AC1383" s="1">
        <f t="shared" si="21"/>
        <v>736000</v>
      </c>
    </row>
    <row r="1384" spans="1:29" x14ac:dyDescent="0.25">
      <c r="A1384" s="1" t="s">
        <v>1274</v>
      </c>
      <c r="B1384" s="1" t="s">
        <v>1275</v>
      </c>
      <c r="C1384" s="1" t="s">
        <v>1276</v>
      </c>
      <c r="D1384" s="1">
        <v>2023</v>
      </c>
      <c r="E1384" s="1" t="s">
        <v>31</v>
      </c>
      <c r="F1384" s="1">
        <v>4</v>
      </c>
      <c r="G1384" s="1" t="s">
        <v>32</v>
      </c>
      <c r="H1384" s="1" t="s">
        <v>90</v>
      </c>
      <c r="I1384" s="1">
        <v>169000</v>
      </c>
      <c r="J1384" s="1">
        <v>154000</v>
      </c>
      <c r="K1384" s="1">
        <v>15000</v>
      </c>
      <c r="L1384" s="1">
        <v>0</v>
      </c>
      <c r="M1384" s="1" t="s">
        <v>34</v>
      </c>
      <c r="N1384" s="1" t="s">
        <v>35</v>
      </c>
      <c r="O1384" s="1" t="s">
        <v>91</v>
      </c>
      <c r="P1384" s="1" t="s">
        <v>92</v>
      </c>
      <c r="Q1384" s="1" t="s">
        <v>38</v>
      </c>
      <c r="R1384" s="1" t="s">
        <v>1277</v>
      </c>
      <c r="S1384" s="3">
        <v>919394000000</v>
      </c>
      <c r="T1384" s="1" t="s">
        <v>86</v>
      </c>
      <c r="U1384" s="1">
        <v>85</v>
      </c>
      <c r="V1384" s="1">
        <v>86</v>
      </c>
      <c r="W1384" s="1" t="s">
        <v>41</v>
      </c>
      <c r="X1384" s="1">
        <v>754197</v>
      </c>
      <c r="Y1384" s="2">
        <v>38087</v>
      </c>
      <c r="Z1384" s="1">
        <v>10.1789737171464</v>
      </c>
      <c r="AA1384" s="1">
        <v>20</v>
      </c>
      <c r="AB1384" s="1">
        <v>676000</v>
      </c>
      <c r="AC1384" s="1">
        <f t="shared" si="21"/>
        <v>736000</v>
      </c>
    </row>
    <row r="1385" spans="1:29" x14ac:dyDescent="0.25">
      <c r="A1385" s="1" t="s">
        <v>1296</v>
      </c>
      <c r="B1385" s="1" t="s">
        <v>1297</v>
      </c>
      <c r="C1385" s="1" t="s">
        <v>1298</v>
      </c>
      <c r="D1385" s="1">
        <v>2023</v>
      </c>
      <c r="E1385" s="1" t="s">
        <v>45</v>
      </c>
      <c r="F1385" s="1">
        <v>2</v>
      </c>
      <c r="G1385" s="1" t="s">
        <v>46</v>
      </c>
      <c r="H1385" s="1" t="s">
        <v>47</v>
      </c>
      <c r="I1385" s="1">
        <v>92000</v>
      </c>
      <c r="J1385" s="1">
        <v>77000</v>
      </c>
      <c r="K1385" s="1">
        <v>15000</v>
      </c>
      <c r="L1385" s="1">
        <v>0</v>
      </c>
      <c r="M1385" s="1" t="s">
        <v>34</v>
      </c>
      <c r="N1385" s="1" t="s">
        <v>35</v>
      </c>
      <c r="O1385" s="1" t="s">
        <v>91</v>
      </c>
      <c r="P1385" s="1" t="s">
        <v>92</v>
      </c>
      <c r="Q1385" s="1" t="s">
        <v>38</v>
      </c>
      <c r="R1385" s="1" t="s">
        <v>1299</v>
      </c>
      <c r="S1385" s="3">
        <v>919370000000</v>
      </c>
      <c r="T1385" s="1" t="s">
        <v>74</v>
      </c>
      <c r="U1385" s="1">
        <v>84</v>
      </c>
      <c r="V1385" s="1">
        <v>62</v>
      </c>
      <c r="W1385" s="1" t="s">
        <v>52</v>
      </c>
      <c r="X1385" s="1">
        <v>458746</v>
      </c>
      <c r="Y1385" s="2">
        <v>36147</v>
      </c>
      <c r="Z1385" s="1">
        <v>9.1789737171464303</v>
      </c>
      <c r="AA1385" s="1">
        <v>25</v>
      </c>
      <c r="AB1385" s="1">
        <v>184000</v>
      </c>
      <c r="AC1385" s="1">
        <f t="shared" si="21"/>
        <v>214000</v>
      </c>
    </row>
    <row r="1386" spans="1:29" x14ac:dyDescent="0.25">
      <c r="A1386" s="1" t="s">
        <v>1304</v>
      </c>
      <c r="B1386" s="1" t="s">
        <v>1305</v>
      </c>
      <c r="C1386" s="1" t="s">
        <v>1306</v>
      </c>
      <c r="D1386" s="1">
        <v>2023</v>
      </c>
      <c r="E1386" s="1" t="s">
        <v>31</v>
      </c>
      <c r="F1386" s="1">
        <v>4</v>
      </c>
      <c r="G1386" s="1" t="s">
        <v>32</v>
      </c>
      <c r="H1386" s="1" t="s">
        <v>62</v>
      </c>
      <c r="I1386" s="1">
        <v>169000</v>
      </c>
      <c r="J1386" s="1">
        <v>154000</v>
      </c>
      <c r="K1386" s="1">
        <v>15000</v>
      </c>
      <c r="L1386" s="1">
        <v>0</v>
      </c>
      <c r="M1386" s="1" t="s">
        <v>34</v>
      </c>
      <c r="N1386" s="1" t="s">
        <v>35</v>
      </c>
      <c r="O1386" s="1" t="s">
        <v>78</v>
      </c>
      <c r="P1386" s="1" t="s">
        <v>79</v>
      </c>
      <c r="Q1386" s="1" t="s">
        <v>38</v>
      </c>
      <c r="R1386" s="1" t="s">
        <v>1307</v>
      </c>
      <c r="S1386" s="3">
        <v>918123000000</v>
      </c>
      <c r="T1386" s="1" t="s">
        <v>74</v>
      </c>
      <c r="U1386" s="1">
        <v>84</v>
      </c>
      <c r="V1386" s="1">
        <v>80</v>
      </c>
      <c r="W1386" s="1" t="s">
        <v>52</v>
      </c>
      <c r="X1386" s="1">
        <v>391720</v>
      </c>
      <c r="Y1386" s="2">
        <v>38421</v>
      </c>
      <c r="Z1386" s="1">
        <v>9.1789737171464303</v>
      </c>
      <c r="AA1386" s="1">
        <v>19</v>
      </c>
      <c r="AB1386" s="1">
        <v>676000</v>
      </c>
      <c r="AC1386" s="1">
        <f t="shared" si="21"/>
        <v>736000</v>
      </c>
    </row>
    <row r="1387" spans="1:29" x14ac:dyDescent="0.25">
      <c r="A1387" s="1" t="s">
        <v>1386</v>
      </c>
      <c r="B1387" s="1" t="s">
        <v>1387</v>
      </c>
      <c r="C1387" s="1" t="s">
        <v>1388</v>
      </c>
      <c r="D1387" s="1">
        <v>2023</v>
      </c>
      <c r="E1387" s="1" t="s">
        <v>45</v>
      </c>
      <c r="F1387" s="1">
        <v>2</v>
      </c>
      <c r="G1387" s="1" t="s">
        <v>46</v>
      </c>
      <c r="H1387" s="1" t="s">
        <v>113</v>
      </c>
      <c r="I1387" s="1">
        <v>92000</v>
      </c>
      <c r="J1387" s="1">
        <v>77000</v>
      </c>
      <c r="K1387" s="1">
        <v>15000</v>
      </c>
      <c r="L1387" s="1">
        <v>0</v>
      </c>
      <c r="M1387" s="1" t="s">
        <v>34</v>
      </c>
      <c r="N1387" s="1" t="s">
        <v>35</v>
      </c>
      <c r="O1387" s="1" t="s">
        <v>78</v>
      </c>
      <c r="P1387" s="1" t="s">
        <v>79</v>
      </c>
      <c r="Q1387" s="1" t="s">
        <v>38</v>
      </c>
      <c r="R1387" s="1" t="s">
        <v>1389</v>
      </c>
      <c r="S1387" s="3">
        <v>919663000000</v>
      </c>
      <c r="T1387" s="1" t="s">
        <v>40</v>
      </c>
      <c r="U1387" s="1">
        <v>84</v>
      </c>
      <c r="V1387" s="1">
        <v>92</v>
      </c>
      <c r="W1387" s="1" t="s">
        <v>41</v>
      </c>
      <c r="X1387" s="1">
        <v>197206</v>
      </c>
      <c r="Y1387" s="2">
        <v>35916</v>
      </c>
      <c r="Z1387" s="1">
        <v>9.1789737171464303</v>
      </c>
      <c r="AA1387" s="1">
        <v>26</v>
      </c>
      <c r="AB1387" s="1">
        <v>184000</v>
      </c>
      <c r="AC1387" s="1">
        <f t="shared" si="21"/>
        <v>214000</v>
      </c>
    </row>
    <row r="1388" spans="1:29" x14ac:dyDescent="0.25">
      <c r="A1388" s="1" t="s">
        <v>1390</v>
      </c>
      <c r="B1388" s="1" t="s">
        <v>1391</v>
      </c>
      <c r="C1388" s="1" t="s">
        <v>1392</v>
      </c>
      <c r="D1388" s="1">
        <v>2023</v>
      </c>
      <c r="E1388" s="1" t="s">
        <v>31</v>
      </c>
      <c r="F1388" s="1">
        <v>4</v>
      </c>
      <c r="G1388" s="1" t="s">
        <v>32</v>
      </c>
      <c r="H1388" s="1" t="s">
        <v>102</v>
      </c>
      <c r="I1388" s="1">
        <v>169000</v>
      </c>
      <c r="J1388" s="1">
        <v>154000</v>
      </c>
      <c r="K1388" s="1">
        <v>15000</v>
      </c>
      <c r="L1388" s="1">
        <v>0</v>
      </c>
      <c r="M1388" s="1" t="s">
        <v>34</v>
      </c>
      <c r="N1388" s="1" t="s">
        <v>63</v>
      </c>
      <c r="O1388" s="1" t="s">
        <v>48</v>
      </c>
      <c r="P1388" s="1" t="s">
        <v>49</v>
      </c>
      <c r="Q1388" s="1" t="s">
        <v>38</v>
      </c>
      <c r="R1388" s="1" t="s">
        <v>1393</v>
      </c>
      <c r="S1388" s="3">
        <v>918537000000</v>
      </c>
      <c r="T1388" s="1" t="s">
        <v>51</v>
      </c>
      <c r="U1388" s="1">
        <v>84</v>
      </c>
      <c r="V1388" s="1">
        <v>73</v>
      </c>
      <c r="W1388" s="1" t="s">
        <v>52</v>
      </c>
      <c r="X1388" s="1">
        <v>316672</v>
      </c>
      <c r="Y1388" s="2">
        <v>38067</v>
      </c>
      <c r="Z1388" s="1">
        <v>9.1789737171464303</v>
      </c>
      <c r="AA1388" s="1">
        <v>20</v>
      </c>
      <c r="AB1388" s="1">
        <v>676000</v>
      </c>
      <c r="AC1388" s="1">
        <f t="shared" si="21"/>
        <v>736000</v>
      </c>
    </row>
    <row r="1389" spans="1:29" x14ac:dyDescent="0.25">
      <c r="A1389" s="1" t="s">
        <v>1434</v>
      </c>
      <c r="B1389" s="1" t="s">
        <v>1423</v>
      </c>
      <c r="C1389" s="1" t="s">
        <v>1424</v>
      </c>
      <c r="D1389" s="1">
        <v>2023</v>
      </c>
      <c r="E1389" s="1" t="s">
        <v>45</v>
      </c>
      <c r="F1389" s="1">
        <v>2</v>
      </c>
      <c r="G1389" s="1" t="s">
        <v>46</v>
      </c>
      <c r="H1389" s="1" t="s">
        <v>90</v>
      </c>
      <c r="I1389" s="1">
        <v>92000</v>
      </c>
      <c r="J1389" s="1">
        <v>77000</v>
      </c>
      <c r="K1389" s="1">
        <v>15000</v>
      </c>
      <c r="L1389" s="1">
        <v>0</v>
      </c>
      <c r="M1389" s="1" t="s">
        <v>34</v>
      </c>
      <c r="N1389" s="1" t="s">
        <v>70</v>
      </c>
      <c r="O1389" s="1" t="s">
        <v>188</v>
      </c>
      <c r="P1389" s="1" t="s">
        <v>189</v>
      </c>
      <c r="Q1389" s="1" t="s">
        <v>38</v>
      </c>
      <c r="R1389" s="1" t="s">
        <v>1435</v>
      </c>
      <c r="S1389" s="3">
        <v>919302000000</v>
      </c>
      <c r="T1389" s="1" t="s">
        <v>51</v>
      </c>
      <c r="U1389" s="1">
        <v>83</v>
      </c>
      <c r="V1389" s="1">
        <v>88</v>
      </c>
      <c r="W1389" s="1" t="s">
        <v>41</v>
      </c>
      <c r="X1389" s="1">
        <v>484050</v>
      </c>
      <c r="Y1389" s="2">
        <v>35460</v>
      </c>
      <c r="Z1389" s="1">
        <v>8.1789737171464303</v>
      </c>
      <c r="AA1389" s="1">
        <v>27</v>
      </c>
      <c r="AB1389" s="1">
        <v>184000</v>
      </c>
      <c r="AC1389" s="1">
        <f t="shared" si="21"/>
        <v>214000</v>
      </c>
    </row>
    <row r="1390" spans="1:29" x14ac:dyDescent="0.25">
      <c r="A1390" s="1" t="s">
        <v>1466</v>
      </c>
      <c r="B1390" s="1" t="s">
        <v>1467</v>
      </c>
      <c r="C1390" s="1" t="s">
        <v>1468</v>
      </c>
      <c r="D1390" s="1">
        <v>2023</v>
      </c>
      <c r="E1390" s="1" t="s">
        <v>31</v>
      </c>
      <c r="F1390" s="1">
        <v>4</v>
      </c>
      <c r="G1390" s="1" t="s">
        <v>32</v>
      </c>
      <c r="H1390" s="1" t="s">
        <v>113</v>
      </c>
      <c r="I1390" s="1">
        <v>169000</v>
      </c>
      <c r="J1390" s="1">
        <v>154000</v>
      </c>
      <c r="K1390" s="1">
        <v>15000</v>
      </c>
      <c r="L1390" s="1">
        <v>0</v>
      </c>
      <c r="M1390" s="1" t="s">
        <v>34</v>
      </c>
      <c r="N1390" s="1" t="s">
        <v>70</v>
      </c>
      <c r="O1390" s="1" t="s">
        <v>78</v>
      </c>
      <c r="P1390" s="1" t="s">
        <v>79</v>
      </c>
      <c r="Q1390" s="1" t="s">
        <v>38</v>
      </c>
      <c r="R1390" s="1" t="s">
        <v>1469</v>
      </c>
      <c r="S1390" s="3">
        <v>919360000000</v>
      </c>
      <c r="T1390" s="1" t="s">
        <v>74</v>
      </c>
      <c r="U1390" s="1">
        <v>83</v>
      </c>
      <c r="V1390" s="1">
        <v>70</v>
      </c>
      <c r="W1390" s="1" t="s">
        <v>41</v>
      </c>
      <c r="X1390" s="1">
        <v>229327</v>
      </c>
      <c r="Y1390" s="2">
        <v>38141</v>
      </c>
      <c r="Z1390" s="1">
        <v>8.1789737171464303</v>
      </c>
      <c r="AA1390" s="1">
        <v>20</v>
      </c>
      <c r="AB1390" s="1">
        <v>676000</v>
      </c>
      <c r="AC1390" s="1">
        <f t="shared" si="21"/>
        <v>736000</v>
      </c>
    </row>
    <row r="1391" spans="1:29" x14ac:dyDescent="0.25">
      <c r="A1391" s="1" t="s">
        <v>1486</v>
      </c>
      <c r="B1391" s="1" t="s">
        <v>1487</v>
      </c>
      <c r="C1391" s="1" t="s">
        <v>1488</v>
      </c>
      <c r="D1391" s="1">
        <v>2023</v>
      </c>
      <c r="E1391" s="1" t="s">
        <v>45</v>
      </c>
      <c r="F1391" s="1">
        <v>2</v>
      </c>
      <c r="G1391" s="1" t="s">
        <v>46</v>
      </c>
      <c r="H1391" s="1" t="s">
        <v>47</v>
      </c>
      <c r="I1391" s="1">
        <v>92000</v>
      </c>
      <c r="J1391" s="1">
        <v>77000</v>
      </c>
      <c r="K1391" s="1">
        <v>15000</v>
      </c>
      <c r="L1391" s="1">
        <v>0</v>
      </c>
      <c r="M1391" s="1" t="s">
        <v>34</v>
      </c>
      <c r="N1391" s="1" t="s">
        <v>35</v>
      </c>
      <c r="O1391" s="1" t="s">
        <v>103</v>
      </c>
      <c r="P1391" s="1" t="s">
        <v>104</v>
      </c>
      <c r="Q1391" s="1" t="s">
        <v>38</v>
      </c>
      <c r="R1391" s="1" t="s">
        <v>1489</v>
      </c>
      <c r="S1391" s="3">
        <v>917666000000</v>
      </c>
      <c r="T1391" s="1" t="s">
        <v>74</v>
      </c>
      <c r="U1391" s="1">
        <v>83</v>
      </c>
      <c r="V1391" s="1">
        <v>62</v>
      </c>
      <c r="W1391" s="1" t="s">
        <v>52</v>
      </c>
      <c r="X1391" s="1">
        <v>321111</v>
      </c>
      <c r="Y1391" s="2">
        <v>35299</v>
      </c>
      <c r="Z1391" s="1">
        <v>8.1789737171464303</v>
      </c>
      <c r="AA1391" s="1">
        <v>27</v>
      </c>
      <c r="AB1391" s="1">
        <v>184000</v>
      </c>
      <c r="AC1391" s="1">
        <f t="shared" si="21"/>
        <v>214000</v>
      </c>
    </row>
    <row r="1392" spans="1:29" x14ac:dyDescent="0.25">
      <c r="A1392" s="1" t="s">
        <v>1490</v>
      </c>
      <c r="B1392" s="1" t="s">
        <v>1491</v>
      </c>
      <c r="C1392" s="1" t="s">
        <v>1492</v>
      </c>
      <c r="D1392" s="1">
        <v>2023</v>
      </c>
      <c r="E1392" s="1" t="s">
        <v>45</v>
      </c>
      <c r="F1392" s="1">
        <v>2</v>
      </c>
      <c r="G1392" s="1" t="s">
        <v>46</v>
      </c>
      <c r="H1392" s="1" t="s">
        <v>47</v>
      </c>
      <c r="I1392" s="1">
        <v>92000</v>
      </c>
      <c r="J1392" s="1">
        <v>77000</v>
      </c>
      <c r="K1392" s="1">
        <v>15000</v>
      </c>
      <c r="L1392" s="1">
        <v>0</v>
      </c>
      <c r="M1392" s="1" t="s">
        <v>34</v>
      </c>
      <c r="N1392" s="1" t="s">
        <v>70</v>
      </c>
      <c r="O1392" s="1" t="s">
        <v>78</v>
      </c>
      <c r="P1392" s="1" t="s">
        <v>79</v>
      </c>
      <c r="Q1392" s="1" t="s">
        <v>38</v>
      </c>
      <c r="R1392" s="1" t="s">
        <v>1493</v>
      </c>
      <c r="S1392" s="3">
        <v>918041000000</v>
      </c>
      <c r="T1392" s="1" t="s">
        <v>40</v>
      </c>
      <c r="U1392" s="1">
        <v>83</v>
      </c>
      <c r="V1392" s="1">
        <v>90</v>
      </c>
      <c r="W1392" s="1" t="s">
        <v>41</v>
      </c>
      <c r="X1392" s="1">
        <v>679683</v>
      </c>
      <c r="Y1392" s="2">
        <v>35636</v>
      </c>
      <c r="Z1392" s="1">
        <v>8.1789737171464303</v>
      </c>
      <c r="AA1392" s="1">
        <v>26</v>
      </c>
      <c r="AB1392" s="1">
        <v>184000</v>
      </c>
      <c r="AC1392" s="1">
        <f t="shared" si="21"/>
        <v>214000</v>
      </c>
    </row>
    <row r="1393" spans="1:29" x14ac:dyDescent="0.25">
      <c r="A1393" s="1" t="s">
        <v>1516</v>
      </c>
      <c r="B1393" s="1" t="s">
        <v>1517</v>
      </c>
      <c r="C1393" s="1" t="s">
        <v>1518</v>
      </c>
      <c r="D1393" s="1">
        <v>2023</v>
      </c>
      <c r="E1393" s="1" t="s">
        <v>31</v>
      </c>
      <c r="F1393" s="1">
        <v>4</v>
      </c>
      <c r="G1393" s="1" t="s">
        <v>32</v>
      </c>
      <c r="H1393" s="1" t="s">
        <v>102</v>
      </c>
      <c r="I1393" s="1">
        <v>169000</v>
      </c>
      <c r="J1393" s="1">
        <v>154000</v>
      </c>
      <c r="K1393" s="1">
        <v>15000</v>
      </c>
      <c r="L1393" s="1">
        <v>0</v>
      </c>
      <c r="M1393" s="1" t="s">
        <v>5649</v>
      </c>
      <c r="N1393" s="1" t="s">
        <v>70</v>
      </c>
      <c r="O1393" s="1" t="s">
        <v>71</v>
      </c>
      <c r="P1393" s="1" t="s">
        <v>72</v>
      </c>
      <c r="Q1393" s="1" t="s">
        <v>38</v>
      </c>
      <c r="R1393" s="1" t="s">
        <v>1519</v>
      </c>
      <c r="S1393" s="3">
        <v>917640000000</v>
      </c>
      <c r="T1393" s="1" t="s">
        <v>74</v>
      </c>
      <c r="U1393" s="1">
        <v>83</v>
      </c>
      <c r="V1393" s="1">
        <v>80</v>
      </c>
      <c r="W1393" s="1" t="s">
        <v>52</v>
      </c>
      <c r="X1393" s="1">
        <v>454675</v>
      </c>
      <c r="Y1393" s="2">
        <v>37409</v>
      </c>
      <c r="Z1393" s="1">
        <v>8.1789737171464303</v>
      </c>
      <c r="AA1393" s="1">
        <v>22</v>
      </c>
      <c r="AB1393" s="1">
        <v>676000</v>
      </c>
      <c r="AC1393" s="1">
        <f t="shared" si="21"/>
        <v>736000</v>
      </c>
    </row>
    <row r="1394" spans="1:29" x14ac:dyDescent="0.25">
      <c r="A1394" s="1" t="s">
        <v>1532</v>
      </c>
      <c r="B1394" s="1" t="s">
        <v>705</v>
      </c>
      <c r="C1394" s="1" t="s">
        <v>706</v>
      </c>
      <c r="D1394" s="1">
        <v>2023</v>
      </c>
      <c r="E1394" s="1" t="s">
        <v>45</v>
      </c>
      <c r="F1394" s="1">
        <v>2</v>
      </c>
      <c r="G1394" s="1" t="s">
        <v>46</v>
      </c>
      <c r="H1394" s="1" t="s">
        <v>33</v>
      </c>
      <c r="I1394" s="1">
        <v>92000</v>
      </c>
      <c r="J1394" s="1">
        <v>77000</v>
      </c>
      <c r="K1394" s="1">
        <v>15000</v>
      </c>
      <c r="L1394" s="1">
        <v>0</v>
      </c>
      <c r="M1394" s="1" t="s">
        <v>5649</v>
      </c>
      <c r="N1394" s="1" t="s">
        <v>70</v>
      </c>
      <c r="O1394" s="1" t="s">
        <v>71</v>
      </c>
      <c r="P1394" s="1" t="s">
        <v>72</v>
      </c>
      <c r="Q1394" s="1" t="s">
        <v>38</v>
      </c>
      <c r="R1394" s="1" t="s">
        <v>1533</v>
      </c>
      <c r="S1394" s="3">
        <v>919087000000</v>
      </c>
      <c r="T1394" s="1" t="s">
        <v>74</v>
      </c>
      <c r="U1394" s="1">
        <v>83</v>
      </c>
      <c r="V1394" s="1">
        <v>71</v>
      </c>
      <c r="W1394" s="1" t="s">
        <v>52</v>
      </c>
      <c r="X1394" s="1">
        <v>658354</v>
      </c>
      <c r="Y1394" s="2">
        <v>36409</v>
      </c>
      <c r="Z1394" s="1">
        <v>8.1789737171464303</v>
      </c>
      <c r="AA1394" s="1">
        <v>24</v>
      </c>
      <c r="AB1394" s="1">
        <v>184000</v>
      </c>
      <c r="AC1394" s="1">
        <f t="shared" si="21"/>
        <v>214000</v>
      </c>
    </row>
    <row r="1395" spans="1:29" x14ac:dyDescent="0.25">
      <c r="A1395" s="1" t="s">
        <v>1564</v>
      </c>
      <c r="B1395" s="1" t="s">
        <v>831</v>
      </c>
      <c r="C1395" s="1" t="s">
        <v>832</v>
      </c>
      <c r="D1395" s="1">
        <v>2023</v>
      </c>
      <c r="E1395" s="1" t="s">
        <v>31</v>
      </c>
      <c r="F1395" s="1">
        <v>4</v>
      </c>
      <c r="G1395" s="1" t="s">
        <v>32</v>
      </c>
      <c r="H1395" s="1" t="s">
        <v>62</v>
      </c>
      <c r="I1395" s="1">
        <v>169000</v>
      </c>
      <c r="J1395" s="1">
        <v>154000</v>
      </c>
      <c r="K1395" s="1">
        <v>15000</v>
      </c>
      <c r="L1395" s="1">
        <v>0</v>
      </c>
      <c r="M1395" s="1" t="s">
        <v>34</v>
      </c>
      <c r="N1395" s="1" t="s">
        <v>35</v>
      </c>
      <c r="O1395" s="1" t="s">
        <v>57</v>
      </c>
      <c r="P1395" s="1" t="s">
        <v>57</v>
      </c>
      <c r="Q1395" s="1" t="s">
        <v>38</v>
      </c>
      <c r="R1395" s="1" t="s">
        <v>1565</v>
      </c>
      <c r="S1395" s="3">
        <v>918185000000</v>
      </c>
      <c r="T1395" s="1" t="s">
        <v>51</v>
      </c>
      <c r="U1395" s="1">
        <v>83</v>
      </c>
      <c r="V1395" s="1">
        <v>74</v>
      </c>
      <c r="W1395" s="1" t="s">
        <v>52</v>
      </c>
      <c r="X1395" s="1">
        <v>740813</v>
      </c>
      <c r="Y1395" s="2">
        <v>38286</v>
      </c>
      <c r="Z1395" s="1">
        <v>8.1789737171464303</v>
      </c>
      <c r="AA1395" s="1">
        <v>19</v>
      </c>
      <c r="AB1395" s="1">
        <v>676000</v>
      </c>
      <c r="AC1395" s="1">
        <f t="shared" si="21"/>
        <v>736000</v>
      </c>
    </row>
    <row r="1396" spans="1:29" x14ac:dyDescent="0.25">
      <c r="A1396" s="1" t="s">
        <v>1584</v>
      </c>
      <c r="B1396" s="1" t="s">
        <v>1585</v>
      </c>
      <c r="C1396" s="1" t="s">
        <v>1586</v>
      </c>
      <c r="D1396" s="1">
        <v>2023</v>
      </c>
      <c r="E1396" s="1" t="s">
        <v>31</v>
      </c>
      <c r="F1396" s="1">
        <v>4</v>
      </c>
      <c r="G1396" s="1" t="s">
        <v>32</v>
      </c>
      <c r="H1396" s="1" t="s">
        <v>56</v>
      </c>
      <c r="I1396" s="1">
        <v>169000</v>
      </c>
      <c r="J1396" s="1">
        <v>154000</v>
      </c>
      <c r="K1396" s="1">
        <v>15000</v>
      </c>
      <c r="L1396" s="1">
        <v>0</v>
      </c>
      <c r="M1396" s="1" t="s">
        <v>34</v>
      </c>
      <c r="N1396" s="1" t="s">
        <v>63</v>
      </c>
      <c r="O1396" s="1" t="s">
        <v>64</v>
      </c>
      <c r="P1396" s="1" t="s">
        <v>65</v>
      </c>
      <c r="Q1396" s="1" t="s">
        <v>38</v>
      </c>
      <c r="R1396" s="1" t="s">
        <v>1587</v>
      </c>
      <c r="S1396" s="3">
        <v>918445000000</v>
      </c>
      <c r="T1396" s="1" t="s">
        <v>74</v>
      </c>
      <c r="U1396" s="1">
        <v>83</v>
      </c>
      <c r="V1396" s="1">
        <v>92</v>
      </c>
      <c r="W1396" s="1" t="s">
        <v>52</v>
      </c>
      <c r="X1396" s="1">
        <v>277861</v>
      </c>
      <c r="Y1396" s="2">
        <v>37427</v>
      </c>
      <c r="Z1396" s="1">
        <v>8.1789737171464303</v>
      </c>
      <c r="AA1396" s="1">
        <v>22</v>
      </c>
      <c r="AB1396" s="1">
        <v>676000</v>
      </c>
      <c r="AC1396" s="1">
        <f t="shared" si="21"/>
        <v>736000</v>
      </c>
    </row>
    <row r="1397" spans="1:29" x14ac:dyDescent="0.25">
      <c r="A1397" s="1" t="s">
        <v>1604</v>
      </c>
      <c r="B1397" s="1" t="s">
        <v>1605</v>
      </c>
      <c r="C1397" s="1" t="s">
        <v>1606</v>
      </c>
      <c r="D1397" s="1">
        <v>2023</v>
      </c>
      <c r="E1397" s="1" t="s">
        <v>31</v>
      </c>
      <c r="F1397" s="1">
        <v>4</v>
      </c>
      <c r="G1397" s="1" t="s">
        <v>32</v>
      </c>
      <c r="H1397" s="1" t="s">
        <v>33</v>
      </c>
      <c r="I1397" s="1">
        <v>169000</v>
      </c>
      <c r="J1397" s="1">
        <v>154000</v>
      </c>
      <c r="K1397" s="1">
        <v>15000</v>
      </c>
      <c r="L1397" s="1">
        <v>0</v>
      </c>
      <c r="M1397" s="1" t="s">
        <v>34</v>
      </c>
      <c r="N1397" s="1" t="s">
        <v>35</v>
      </c>
      <c r="O1397" s="1" t="s">
        <v>64</v>
      </c>
      <c r="P1397" s="1" t="s">
        <v>65</v>
      </c>
      <c r="Q1397" s="1" t="s">
        <v>38</v>
      </c>
      <c r="R1397" s="1" t="s">
        <v>1607</v>
      </c>
      <c r="S1397" s="3">
        <v>918760000000</v>
      </c>
      <c r="T1397" s="1" t="s">
        <v>40</v>
      </c>
      <c r="U1397" s="1">
        <v>83</v>
      </c>
      <c r="V1397" s="1">
        <v>69</v>
      </c>
      <c r="W1397" s="1" t="s">
        <v>41</v>
      </c>
      <c r="X1397" s="1">
        <v>720845</v>
      </c>
      <c r="Y1397" s="2">
        <v>38599</v>
      </c>
      <c r="Z1397" s="1">
        <v>8.1789737171464303</v>
      </c>
      <c r="AA1397" s="1">
        <v>18</v>
      </c>
      <c r="AB1397" s="1">
        <v>676000</v>
      </c>
      <c r="AC1397" s="1">
        <f t="shared" si="21"/>
        <v>736000</v>
      </c>
    </row>
    <row r="1398" spans="1:29" x14ac:dyDescent="0.25">
      <c r="A1398" s="1" t="s">
        <v>1620</v>
      </c>
      <c r="B1398" s="1" t="s">
        <v>1621</v>
      </c>
      <c r="C1398" s="1" t="s">
        <v>1622</v>
      </c>
      <c r="D1398" s="1">
        <v>2023</v>
      </c>
      <c r="E1398" s="1" t="s">
        <v>31</v>
      </c>
      <c r="F1398" s="1">
        <v>4</v>
      </c>
      <c r="G1398" s="1" t="s">
        <v>32</v>
      </c>
      <c r="H1398" s="1" t="s">
        <v>113</v>
      </c>
      <c r="I1398" s="1">
        <v>169000</v>
      </c>
      <c r="J1398" s="1">
        <v>154000</v>
      </c>
      <c r="K1398" s="1">
        <v>15000</v>
      </c>
      <c r="L1398" s="1">
        <v>0</v>
      </c>
      <c r="M1398" s="1" t="s">
        <v>34</v>
      </c>
      <c r="N1398" s="1" t="s">
        <v>63</v>
      </c>
      <c r="O1398" s="1" t="s">
        <v>103</v>
      </c>
      <c r="P1398" s="1" t="s">
        <v>104</v>
      </c>
      <c r="Q1398" s="1" t="s">
        <v>38</v>
      </c>
      <c r="R1398" s="1" t="s">
        <v>1623</v>
      </c>
      <c r="S1398" s="3">
        <v>917870000000</v>
      </c>
      <c r="T1398" s="1" t="s">
        <v>86</v>
      </c>
      <c r="U1398" s="1">
        <v>82</v>
      </c>
      <c r="V1398" s="1">
        <v>83</v>
      </c>
      <c r="W1398" s="1" t="s">
        <v>41</v>
      </c>
      <c r="X1398" s="1">
        <v>615904</v>
      </c>
      <c r="Y1398" s="2">
        <v>38838</v>
      </c>
      <c r="Z1398" s="1">
        <v>7.1789737171464303</v>
      </c>
      <c r="AA1398" s="1">
        <v>18</v>
      </c>
      <c r="AB1398" s="1">
        <v>676000</v>
      </c>
      <c r="AC1398" s="1">
        <f t="shared" si="21"/>
        <v>736000</v>
      </c>
    </row>
    <row r="1399" spans="1:29" x14ac:dyDescent="0.25">
      <c r="A1399" s="1" t="s">
        <v>1624</v>
      </c>
      <c r="B1399" s="1" t="s">
        <v>1625</v>
      </c>
      <c r="C1399" s="1" t="s">
        <v>1626</v>
      </c>
      <c r="D1399" s="1">
        <v>2023</v>
      </c>
      <c r="E1399" s="1" t="s">
        <v>45</v>
      </c>
      <c r="F1399" s="1">
        <v>2</v>
      </c>
      <c r="G1399" s="1" t="s">
        <v>46</v>
      </c>
      <c r="H1399" s="1" t="s">
        <v>102</v>
      </c>
      <c r="I1399" s="1">
        <v>92000</v>
      </c>
      <c r="J1399" s="1">
        <v>77000</v>
      </c>
      <c r="K1399" s="1">
        <v>15000</v>
      </c>
      <c r="L1399" s="1">
        <v>0</v>
      </c>
      <c r="M1399" s="1" t="s">
        <v>34</v>
      </c>
      <c r="N1399" s="1" t="s">
        <v>35</v>
      </c>
      <c r="O1399" s="1" t="s">
        <v>103</v>
      </c>
      <c r="P1399" s="1" t="s">
        <v>104</v>
      </c>
      <c r="Q1399" s="1" t="s">
        <v>38</v>
      </c>
      <c r="R1399" s="1" t="s">
        <v>1627</v>
      </c>
      <c r="S1399" s="3">
        <v>918636000000</v>
      </c>
      <c r="T1399" s="1" t="s">
        <v>98</v>
      </c>
      <c r="U1399" s="1">
        <v>82</v>
      </c>
      <c r="V1399" s="1">
        <v>77</v>
      </c>
      <c r="W1399" s="1" t="s">
        <v>41</v>
      </c>
      <c r="X1399" s="1">
        <v>102350</v>
      </c>
      <c r="Y1399" s="2">
        <v>37265</v>
      </c>
      <c r="Z1399" s="1">
        <v>7.1789737171464303</v>
      </c>
      <c r="AA1399" s="1">
        <v>22</v>
      </c>
      <c r="AB1399" s="1">
        <v>184000</v>
      </c>
      <c r="AC1399" s="1">
        <f t="shared" si="21"/>
        <v>214000</v>
      </c>
    </row>
    <row r="1400" spans="1:29" x14ac:dyDescent="0.25">
      <c r="A1400" s="1" t="s">
        <v>1704</v>
      </c>
      <c r="B1400" s="1" t="s">
        <v>1705</v>
      </c>
      <c r="C1400" s="1" t="s">
        <v>1706</v>
      </c>
      <c r="D1400" s="1">
        <v>2023</v>
      </c>
      <c r="E1400" s="1" t="s">
        <v>31</v>
      </c>
      <c r="F1400" s="1">
        <v>4</v>
      </c>
      <c r="G1400" s="1" t="s">
        <v>32</v>
      </c>
      <c r="H1400" s="1" t="s">
        <v>210</v>
      </c>
      <c r="I1400" s="1">
        <v>169000</v>
      </c>
      <c r="J1400" s="1">
        <v>154000</v>
      </c>
      <c r="K1400" s="1">
        <v>15000</v>
      </c>
      <c r="L1400" s="1">
        <v>0</v>
      </c>
      <c r="M1400" s="1" t="s">
        <v>34</v>
      </c>
      <c r="N1400" s="1" t="s">
        <v>35</v>
      </c>
      <c r="O1400" s="1" t="s">
        <v>71</v>
      </c>
      <c r="P1400" s="1" t="s">
        <v>72</v>
      </c>
      <c r="Q1400" s="1" t="s">
        <v>38</v>
      </c>
      <c r="R1400" s="1" t="s">
        <v>1707</v>
      </c>
      <c r="S1400" s="3">
        <v>919778000000</v>
      </c>
      <c r="T1400" s="1" t="s">
        <v>98</v>
      </c>
      <c r="U1400" s="1">
        <v>82</v>
      </c>
      <c r="V1400" s="1">
        <v>83</v>
      </c>
      <c r="W1400" s="1" t="s">
        <v>41</v>
      </c>
      <c r="X1400" s="1">
        <v>506510</v>
      </c>
      <c r="Y1400" s="2">
        <v>37791</v>
      </c>
      <c r="Z1400" s="1">
        <v>7.1789737171464303</v>
      </c>
      <c r="AA1400" s="1">
        <v>21</v>
      </c>
      <c r="AB1400" s="1">
        <v>676000</v>
      </c>
      <c r="AC1400" s="1">
        <f t="shared" si="21"/>
        <v>736000</v>
      </c>
    </row>
    <row r="1401" spans="1:29" x14ac:dyDescent="0.25">
      <c r="A1401" s="1" t="s">
        <v>1728</v>
      </c>
      <c r="B1401" s="1" t="s">
        <v>1729</v>
      </c>
      <c r="C1401" s="1" t="s">
        <v>1730</v>
      </c>
      <c r="D1401" s="1">
        <v>2023</v>
      </c>
      <c r="E1401" s="1" t="s">
        <v>45</v>
      </c>
      <c r="F1401" s="1">
        <v>2</v>
      </c>
      <c r="G1401" s="1" t="s">
        <v>46</v>
      </c>
      <c r="H1401" s="1" t="s">
        <v>113</v>
      </c>
      <c r="I1401" s="1">
        <v>92000</v>
      </c>
      <c r="J1401" s="1">
        <v>77000</v>
      </c>
      <c r="K1401" s="1">
        <v>15000</v>
      </c>
      <c r="L1401" s="1">
        <v>0</v>
      </c>
      <c r="M1401" s="1" t="s">
        <v>34</v>
      </c>
      <c r="N1401" s="1" t="s">
        <v>70</v>
      </c>
      <c r="O1401" s="1" t="s">
        <v>71</v>
      </c>
      <c r="P1401" s="1" t="s">
        <v>72</v>
      </c>
      <c r="Q1401" s="1" t="s">
        <v>38</v>
      </c>
      <c r="R1401" s="1" t="s">
        <v>1731</v>
      </c>
      <c r="S1401" s="3">
        <v>919514000000</v>
      </c>
      <c r="T1401" s="1" t="s">
        <v>98</v>
      </c>
      <c r="U1401" s="1">
        <v>82</v>
      </c>
      <c r="V1401" s="1">
        <v>87</v>
      </c>
      <c r="W1401" s="1" t="s">
        <v>41</v>
      </c>
      <c r="X1401" s="1">
        <v>170566</v>
      </c>
      <c r="Y1401" s="2">
        <v>37327</v>
      </c>
      <c r="Z1401" s="1">
        <v>7.1789737171464303</v>
      </c>
      <c r="AA1401" s="1">
        <v>22</v>
      </c>
      <c r="AB1401" s="1">
        <v>184000</v>
      </c>
      <c r="AC1401" s="1">
        <f t="shared" si="21"/>
        <v>214000</v>
      </c>
    </row>
    <row r="1402" spans="1:29" x14ac:dyDescent="0.25">
      <c r="A1402" s="1" t="s">
        <v>1758</v>
      </c>
      <c r="B1402" s="1" t="s">
        <v>1759</v>
      </c>
      <c r="C1402" s="1" t="s">
        <v>1760</v>
      </c>
      <c r="D1402" s="1">
        <v>2023</v>
      </c>
      <c r="E1402" s="1" t="s">
        <v>31</v>
      </c>
      <c r="F1402" s="1">
        <v>4</v>
      </c>
      <c r="G1402" s="1" t="s">
        <v>32</v>
      </c>
      <c r="H1402" s="1" t="s">
        <v>210</v>
      </c>
      <c r="I1402" s="1">
        <v>169000</v>
      </c>
      <c r="J1402" s="1">
        <v>154000</v>
      </c>
      <c r="K1402" s="1">
        <v>15000</v>
      </c>
      <c r="L1402" s="1">
        <v>0</v>
      </c>
      <c r="M1402" s="1" t="s">
        <v>34</v>
      </c>
      <c r="N1402" s="1" t="s">
        <v>63</v>
      </c>
      <c r="O1402" s="1" t="s">
        <v>188</v>
      </c>
      <c r="P1402" s="1" t="s">
        <v>189</v>
      </c>
      <c r="Q1402" s="1" t="s">
        <v>38</v>
      </c>
      <c r="R1402" s="1" t="s">
        <v>1761</v>
      </c>
      <c r="S1402" s="3">
        <v>919909000000</v>
      </c>
      <c r="T1402" s="1" t="s">
        <v>86</v>
      </c>
      <c r="U1402" s="1">
        <v>82</v>
      </c>
      <c r="V1402" s="1">
        <v>71</v>
      </c>
      <c r="W1402" s="1" t="s">
        <v>52</v>
      </c>
      <c r="X1402" s="1">
        <v>773658</v>
      </c>
      <c r="Y1402" s="2">
        <v>37358</v>
      </c>
      <c r="Z1402" s="1">
        <v>7.1789737171464303</v>
      </c>
      <c r="AA1402" s="1">
        <v>22</v>
      </c>
      <c r="AB1402" s="1">
        <v>676000</v>
      </c>
      <c r="AC1402" s="1">
        <f t="shared" si="21"/>
        <v>736000</v>
      </c>
    </row>
    <row r="1403" spans="1:29" x14ac:dyDescent="0.25">
      <c r="A1403" s="1" t="s">
        <v>1790</v>
      </c>
      <c r="B1403" s="1" t="s">
        <v>1791</v>
      </c>
      <c r="C1403" s="1" t="s">
        <v>1792</v>
      </c>
      <c r="D1403" s="1">
        <v>2023</v>
      </c>
      <c r="E1403" s="1" t="s">
        <v>31</v>
      </c>
      <c r="F1403" s="1">
        <v>4</v>
      </c>
      <c r="G1403" s="1" t="s">
        <v>32</v>
      </c>
      <c r="H1403" s="1" t="s">
        <v>151</v>
      </c>
      <c r="I1403" s="1">
        <v>169000</v>
      </c>
      <c r="J1403" s="1">
        <v>154000</v>
      </c>
      <c r="K1403" s="1">
        <v>15000</v>
      </c>
      <c r="L1403" s="1">
        <v>0</v>
      </c>
      <c r="M1403" s="1" t="s">
        <v>34</v>
      </c>
      <c r="N1403" s="1" t="s">
        <v>70</v>
      </c>
      <c r="O1403" s="1" t="s">
        <v>103</v>
      </c>
      <c r="P1403" s="1" t="s">
        <v>104</v>
      </c>
      <c r="Q1403" s="1" t="s">
        <v>38</v>
      </c>
      <c r="R1403" s="1" t="s">
        <v>1793</v>
      </c>
      <c r="S1403" s="3">
        <v>918884000000</v>
      </c>
      <c r="T1403" s="1" t="s">
        <v>40</v>
      </c>
      <c r="U1403" s="1">
        <v>81</v>
      </c>
      <c r="V1403" s="1">
        <v>92</v>
      </c>
      <c r="W1403" s="1" t="s">
        <v>52</v>
      </c>
      <c r="X1403" s="1">
        <v>572034</v>
      </c>
      <c r="Y1403" s="2">
        <v>38236</v>
      </c>
      <c r="Z1403" s="1">
        <v>6.1789737171464303</v>
      </c>
      <c r="AA1403" s="1">
        <v>19</v>
      </c>
      <c r="AB1403" s="1">
        <v>676000</v>
      </c>
      <c r="AC1403" s="1">
        <f t="shared" si="21"/>
        <v>736000</v>
      </c>
    </row>
    <row r="1404" spans="1:29" x14ac:dyDescent="0.25">
      <c r="A1404" s="1" t="s">
        <v>1815</v>
      </c>
      <c r="B1404" s="1" t="s">
        <v>1816</v>
      </c>
      <c r="C1404" s="1" t="s">
        <v>1817</v>
      </c>
      <c r="D1404" s="1">
        <v>2023</v>
      </c>
      <c r="E1404" s="1" t="s">
        <v>31</v>
      </c>
      <c r="F1404" s="1">
        <v>4</v>
      </c>
      <c r="G1404" s="1" t="s">
        <v>32</v>
      </c>
      <c r="H1404" s="1" t="s">
        <v>33</v>
      </c>
      <c r="I1404" s="1">
        <v>169000</v>
      </c>
      <c r="J1404" s="1">
        <v>154000</v>
      </c>
      <c r="K1404" s="1">
        <v>15000</v>
      </c>
      <c r="L1404" s="1">
        <v>0</v>
      </c>
      <c r="M1404" s="1" t="s">
        <v>34</v>
      </c>
      <c r="N1404" s="1" t="s">
        <v>35</v>
      </c>
      <c r="O1404" s="1" t="s">
        <v>103</v>
      </c>
      <c r="P1404" s="1" t="s">
        <v>104</v>
      </c>
      <c r="Q1404" s="1" t="s">
        <v>38</v>
      </c>
      <c r="R1404" s="1" t="s">
        <v>1818</v>
      </c>
      <c r="S1404" s="3">
        <v>918890000000</v>
      </c>
      <c r="T1404" s="1" t="s">
        <v>51</v>
      </c>
      <c r="U1404" s="1">
        <v>81</v>
      </c>
      <c r="V1404" s="1">
        <v>70</v>
      </c>
      <c r="W1404" s="1" t="s">
        <v>41</v>
      </c>
      <c r="X1404" s="1">
        <v>214457</v>
      </c>
      <c r="Y1404" s="2">
        <v>37126</v>
      </c>
      <c r="Z1404" s="1">
        <v>6.1789737171464303</v>
      </c>
      <c r="AA1404" s="1">
        <v>22</v>
      </c>
      <c r="AB1404" s="1">
        <v>676000</v>
      </c>
      <c r="AC1404" s="1">
        <f t="shared" si="21"/>
        <v>736000</v>
      </c>
    </row>
    <row r="1405" spans="1:29" x14ac:dyDescent="0.25">
      <c r="A1405" s="1" t="s">
        <v>1819</v>
      </c>
      <c r="B1405" s="1" t="s">
        <v>1820</v>
      </c>
      <c r="C1405" s="1" t="s">
        <v>1821</v>
      </c>
      <c r="D1405" s="1">
        <v>2023</v>
      </c>
      <c r="E1405" s="1" t="s">
        <v>31</v>
      </c>
      <c r="F1405" s="1">
        <v>4</v>
      </c>
      <c r="G1405" s="1" t="s">
        <v>32</v>
      </c>
      <c r="H1405" s="1" t="s">
        <v>47</v>
      </c>
      <c r="I1405" s="1">
        <v>169000</v>
      </c>
      <c r="J1405" s="1">
        <v>154000</v>
      </c>
      <c r="K1405" s="1">
        <v>15000</v>
      </c>
      <c r="L1405" s="1">
        <v>0</v>
      </c>
      <c r="M1405" s="1" t="s">
        <v>34</v>
      </c>
      <c r="N1405" s="1" t="s">
        <v>35</v>
      </c>
      <c r="O1405" s="1" t="s">
        <v>91</v>
      </c>
      <c r="P1405" s="1" t="s">
        <v>92</v>
      </c>
      <c r="Q1405" s="1" t="s">
        <v>38</v>
      </c>
      <c r="R1405" s="1" t="s">
        <v>1822</v>
      </c>
      <c r="S1405" s="3">
        <v>917867000000</v>
      </c>
      <c r="T1405" s="1" t="s">
        <v>74</v>
      </c>
      <c r="U1405" s="1">
        <v>81</v>
      </c>
      <c r="V1405" s="1">
        <v>72</v>
      </c>
      <c r="W1405" s="1" t="s">
        <v>52</v>
      </c>
      <c r="X1405" s="1">
        <v>417633</v>
      </c>
      <c r="Y1405" s="2">
        <v>36865</v>
      </c>
      <c r="Z1405" s="1">
        <v>6.1789737171464303</v>
      </c>
      <c r="AA1405" s="1">
        <v>23</v>
      </c>
      <c r="AB1405" s="1">
        <v>676000</v>
      </c>
      <c r="AC1405" s="1">
        <f t="shared" si="21"/>
        <v>736000</v>
      </c>
    </row>
    <row r="1406" spans="1:29" x14ac:dyDescent="0.25">
      <c r="A1406" s="1" t="s">
        <v>1823</v>
      </c>
      <c r="B1406" s="1" t="s">
        <v>1824</v>
      </c>
      <c r="C1406" s="1" t="s">
        <v>1825</v>
      </c>
      <c r="D1406" s="1">
        <v>2023</v>
      </c>
      <c r="E1406" s="1" t="s">
        <v>31</v>
      </c>
      <c r="F1406" s="1">
        <v>4</v>
      </c>
      <c r="G1406" s="1" t="s">
        <v>32</v>
      </c>
      <c r="H1406" s="1" t="s">
        <v>210</v>
      </c>
      <c r="I1406" s="1">
        <v>169000</v>
      </c>
      <c r="J1406" s="1">
        <v>154000</v>
      </c>
      <c r="K1406" s="1">
        <v>15000</v>
      </c>
      <c r="L1406" s="1">
        <v>0</v>
      </c>
      <c r="M1406" s="1" t="s">
        <v>34</v>
      </c>
      <c r="N1406" s="1" t="s">
        <v>35</v>
      </c>
      <c r="O1406" s="1" t="s">
        <v>103</v>
      </c>
      <c r="P1406" s="1" t="s">
        <v>104</v>
      </c>
      <c r="Q1406" s="1" t="s">
        <v>38</v>
      </c>
      <c r="R1406" s="1" t="s">
        <v>1826</v>
      </c>
      <c r="S1406" s="3">
        <v>919493000000</v>
      </c>
      <c r="T1406" s="1" t="s">
        <v>86</v>
      </c>
      <c r="U1406" s="1">
        <v>81</v>
      </c>
      <c r="V1406" s="1">
        <v>91</v>
      </c>
      <c r="W1406" s="1" t="s">
        <v>52</v>
      </c>
      <c r="X1406" s="1">
        <v>162253</v>
      </c>
      <c r="Y1406" s="2">
        <v>37365</v>
      </c>
      <c r="Z1406" s="1">
        <v>6.1789737171464303</v>
      </c>
      <c r="AA1406" s="1">
        <v>22</v>
      </c>
      <c r="AB1406" s="1">
        <v>676000</v>
      </c>
      <c r="AC1406" s="1">
        <f t="shared" si="21"/>
        <v>736000</v>
      </c>
    </row>
    <row r="1407" spans="1:29" x14ac:dyDescent="0.25">
      <c r="A1407" s="1" t="s">
        <v>1843</v>
      </c>
      <c r="B1407" s="1" t="s">
        <v>1844</v>
      </c>
      <c r="C1407" s="1" t="s">
        <v>1845</v>
      </c>
      <c r="D1407" s="1">
        <v>2023</v>
      </c>
      <c r="E1407" s="1" t="s">
        <v>31</v>
      </c>
      <c r="F1407" s="1">
        <v>4</v>
      </c>
      <c r="G1407" s="1" t="s">
        <v>32</v>
      </c>
      <c r="H1407" s="1" t="s">
        <v>210</v>
      </c>
      <c r="I1407" s="1">
        <v>169000</v>
      </c>
      <c r="J1407" s="1">
        <v>154000</v>
      </c>
      <c r="K1407" s="1">
        <v>15000</v>
      </c>
      <c r="L1407" s="1">
        <v>0</v>
      </c>
      <c r="M1407" s="1" t="s">
        <v>34</v>
      </c>
      <c r="N1407" s="1" t="s">
        <v>70</v>
      </c>
      <c r="O1407" s="1" t="s">
        <v>84</v>
      </c>
      <c r="P1407" s="1" t="s">
        <v>65</v>
      </c>
      <c r="Q1407" s="1" t="s">
        <v>38</v>
      </c>
      <c r="R1407" s="1" t="s">
        <v>1846</v>
      </c>
      <c r="S1407" s="3">
        <v>917297000000</v>
      </c>
      <c r="T1407" s="1" t="s">
        <v>86</v>
      </c>
      <c r="U1407" s="1">
        <v>81</v>
      </c>
      <c r="V1407" s="1">
        <v>76</v>
      </c>
      <c r="W1407" s="1" t="s">
        <v>41</v>
      </c>
      <c r="X1407" s="1">
        <v>364981</v>
      </c>
      <c r="Y1407" s="2">
        <v>37808</v>
      </c>
      <c r="Z1407" s="1">
        <v>6.1789737171464303</v>
      </c>
      <c r="AA1407" s="1">
        <v>21</v>
      </c>
      <c r="AB1407" s="1">
        <v>676000</v>
      </c>
      <c r="AC1407" s="1">
        <f t="shared" si="21"/>
        <v>736000</v>
      </c>
    </row>
    <row r="1408" spans="1:29" x14ac:dyDescent="0.25">
      <c r="A1408" s="1" t="s">
        <v>1855</v>
      </c>
      <c r="B1408" s="1" t="s">
        <v>1575</v>
      </c>
      <c r="C1408" s="1" t="s">
        <v>1576</v>
      </c>
      <c r="D1408" s="1">
        <v>2023</v>
      </c>
      <c r="E1408" s="1" t="s">
        <v>31</v>
      </c>
      <c r="F1408" s="1">
        <v>4</v>
      </c>
      <c r="G1408" s="1" t="s">
        <v>32</v>
      </c>
      <c r="H1408" s="1" t="s">
        <v>33</v>
      </c>
      <c r="I1408" s="1">
        <v>169000</v>
      </c>
      <c r="J1408" s="1">
        <v>154000</v>
      </c>
      <c r="K1408" s="1">
        <v>15000</v>
      </c>
      <c r="L1408" s="1">
        <v>0</v>
      </c>
      <c r="M1408" s="1" t="s">
        <v>34</v>
      </c>
      <c r="N1408" s="1" t="s">
        <v>63</v>
      </c>
      <c r="O1408" s="1" t="s">
        <v>91</v>
      </c>
      <c r="P1408" s="1" t="s">
        <v>92</v>
      </c>
      <c r="Q1408" s="1" t="s">
        <v>38</v>
      </c>
      <c r="R1408" s="1" t="s">
        <v>1856</v>
      </c>
      <c r="S1408" s="3">
        <v>919530000000</v>
      </c>
      <c r="T1408" s="1" t="s">
        <v>74</v>
      </c>
      <c r="U1408" s="1">
        <v>81</v>
      </c>
      <c r="V1408" s="1">
        <v>79</v>
      </c>
      <c r="W1408" s="1" t="s">
        <v>41</v>
      </c>
      <c r="X1408" s="1">
        <v>610874</v>
      </c>
      <c r="Y1408" s="2">
        <v>37321</v>
      </c>
      <c r="Z1408" s="1">
        <v>6.1789737171464303</v>
      </c>
      <c r="AA1408" s="1">
        <v>22</v>
      </c>
      <c r="AB1408" s="1">
        <v>676000</v>
      </c>
      <c r="AC1408" s="1">
        <f t="shared" si="21"/>
        <v>736000</v>
      </c>
    </row>
    <row r="1409" spans="1:29" x14ac:dyDescent="0.25">
      <c r="A1409" s="1" t="s">
        <v>1925</v>
      </c>
      <c r="B1409" s="1" t="s">
        <v>1880</v>
      </c>
      <c r="C1409" s="1" t="s">
        <v>1881</v>
      </c>
      <c r="D1409" s="1">
        <v>2023</v>
      </c>
      <c r="E1409" s="1" t="s">
        <v>31</v>
      </c>
      <c r="F1409" s="1">
        <v>4</v>
      </c>
      <c r="G1409" s="1" t="s">
        <v>32</v>
      </c>
      <c r="H1409" s="1" t="s">
        <v>33</v>
      </c>
      <c r="I1409" s="1">
        <v>169000</v>
      </c>
      <c r="J1409" s="1">
        <v>154000</v>
      </c>
      <c r="K1409" s="1">
        <v>15000</v>
      </c>
      <c r="L1409" s="1">
        <v>0</v>
      </c>
      <c r="M1409" s="1" t="s">
        <v>34</v>
      </c>
      <c r="N1409" s="1" t="s">
        <v>35</v>
      </c>
      <c r="O1409" s="1" t="s">
        <v>103</v>
      </c>
      <c r="P1409" s="1" t="s">
        <v>104</v>
      </c>
      <c r="Q1409" s="1" t="s">
        <v>38</v>
      </c>
      <c r="R1409" s="1" t="s">
        <v>1926</v>
      </c>
      <c r="S1409" s="3">
        <v>917786000000</v>
      </c>
      <c r="T1409" s="1" t="s">
        <v>74</v>
      </c>
      <c r="U1409" s="1">
        <v>81</v>
      </c>
      <c r="V1409" s="1">
        <v>83</v>
      </c>
      <c r="W1409" s="1" t="s">
        <v>52</v>
      </c>
      <c r="X1409" s="1">
        <v>158677</v>
      </c>
      <c r="Y1409" s="2">
        <v>36938</v>
      </c>
      <c r="Z1409" s="1">
        <v>6.1789737171464303</v>
      </c>
      <c r="AA1409" s="1">
        <v>23</v>
      </c>
      <c r="AB1409" s="1">
        <v>676000</v>
      </c>
      <c r="AC1409" s="1">
        <f t="shared" si="21"/>
        <v>736000</v>
      </c>
    </row>
    <row r="1410" spans="1:29" x14ac:dyDescent="0.25">
      <c r="A1410" s="1" t="s">
        <v>1937</v>
      </c>
      <c r="B1410" s="1" t="s">
        <v>1938</v>
      </c>
      <c r="C1410" s="1" t="s">
        <v>1939</v>
      </c>
      <c r="D1410" s="1">
        <v>2023</v>
      </c>
      <c r="E1410" s="1" t="s">
        <v>31</v>
      </c>
      <c r="F1410" s="1">
        <v>4</v>
      </c>
      <c r="G1410" s="1" t="s">
        <v>32</v>
      </c>
      <c r="H1410" s="1" t="s">
        <v>102</v>
      </c>
      <c r="I1410" s="1">
        <v>169000</v>
      </c>
      <c r="J1410" s="1">
        <v>154000</v>
      </c>
      <c r="K1410" s="1">
        <v>15000</v>
      </c>
      <c r="L1410" s="1">
        <v>0</v>
      </c>
      <c r="M1410" s="1" t="s">
        <v>34</v>
      </c>
      <c r="N1410" s="1" t="s">
        <v>63</v>
      </c>
      <c r="O1410" s="1" t="s">
        <v>48</v>
      </c>
      <c r="P1410" s="1" t="s">
        <v>49</v>
      </c>
      <c r="Q1410" s="1" t="s">
        <v>38</v>
      </c>
      <c r="R1410" s="1" t="s">
        <v>1940</v>
      </c>
      <c r="S1410" s="3">
        <v>919720000000</v>
      </c>
      <c r="T1410" s="1" t="s">
        <v>40</v>
      </c>
      <c r="U1410" s="1">
        <v>81</v>
      </c>
      <c r="V1410" s="1">
        <v>64</v>
      </c>
      <c r="W1410" s="1" t="s">
        <v>52</v>
      </c>
      <c r="X1410" s="1">
        <v>259354</v>
      </c>
      <c r="Y1410" s="2">
        <v>38028</v>
      </c>
      <c r="Z1410" s="1">
        <v>6.1789737171464303</v>
      </c>
      <c r="AA1410" s="1">
        <v>20</v>
      </c>
      <c r="AB1410" s="1">
        <v>676000</v>
      </c>
      <c r="AC1410" s="1">
        <f t="shared" si="21"/>
        <v>736000</v>
      </c>
    </row>
    <row r="1411" spans="1:29" x14ac:dyDescent="0.25">
      <c r="A1411" s="1" t="s">
        <v>1951</v>
      </c>
      <c r="B1411" s="1" t="s">
        <v>1952</v>
      </c>
      <c r="C1411" s="1" t="s">
        <v>1953</v>
      </c>
      <c r="D1411" s="1">
        <v>2023</v>
      </c>
      <c r="E1411" s="1" t="s">
        <v>31</v>
      </c>
      <c r="F1411" s="1">
        <v>4</v>
      </c>
      <c r="G1411" s="1" t="s">
        <v>32</v>
      </c>
      <c r="H1411" s="1" t="s">
        <v>102</v>
      </c>
      <c r="I1411" s="1">
        <v>169000</v>
      </c>
      <c r="J1411" s="1">
        <v>154000</v>
      </c>
      <c r="K1411" s="1">
        <v>15000</v>
      </c>
      <c r="L1411" s="1">
        <v>0</v>
      </c>
      <c r="M1411" s="1" t="s">
        <v>34</v>
      </c>
      <c r="N1411" s="1" t="s">
        <v>63</v>
      </c>
      <c r="O1411" s="1" t="s">
        <v>71</v>
      </c>
      <c r="P1411" s="1" t="s">
        <v>72</v>
      </c>
      <c r="Q1411" s="1" t="s">
        <v>38</v>
      </c>
      <c r="R1411" s="1" t="s">
        <v>1954</v>
      </c>
      <c r="S1411" s="3">
        <v>918925000000</v>
      </c>
      <c r="T1411" s="1" t="s">
        <v>40</v>
      </c>
      <c r="U1411" s="1">
        <v>81</v>
      </c>
      <c r="V1411" s="1">
        <v>60</v>
      </c>
      <c r="W1411" s="1" t="s">
        <v>52</v>
      </c>
      <c r="X1411" s="1">
        <v>689583</v>
      </c>
      <c r="Y1411" s="2">
        <v>37906</v>
      </c>
      <c r="Z1411" s="1">
        <v>6.1789737171464303</v>
      </c>
      <c r="AA1411" s="1">
        <v>20</v>
      </c>
      <c r="AB1411" s="1">
        <v>676000</v>
      </c>
      <c r="AC1411" s="1">
        <f t="shared" si="21"/>
        <v>736000</v>
      </c>
    </row>
    <row r="1412" spans="1:29" x14ac:dyDescent="0.25">
      <c r="A1412" s="1" t="s">
        <v>1977</v>
      </c>
      <c r="B1412" s="1" t="s">
        <v>927</v>
      </c>
      <c r="C1412" s="1" t="s">
        <v>928</v>
      </c>
      <c r="D1412" s="1">
        <v>2023</v>
      </c>
      <c r="E1412" s="1" t="s">
        <v>45</v>
      </c>
      <c r="F1412" s="1">
        <v>2</v>
      </c>
      <c r="G1412" s="1" t="s">
        <v>46</v>
      </c>
      <c r="H1412" s="1" t="s">
        <v>90</v>
      </c>
      <c r="I1412" s="1">
        <v>92000</v>
      </c>
      <c r="J1412" s="1">
        <v>77000</v>
      </c>
      <c r="K1412" s="1">
        <v>15000</v>
      </c>
      <c r="L1412" s="1">
        <v>0</v>
      </c>
      <c r="M1412" s="1" t="s">
        <v>34</v>
      </c>
      <c r="N1412" s="1" t="s">
        <v>70</v>
      </c>
      <c r="O1412" s="1" t="s">
        <v>71</v>
      </c>
      <c r="P1412" s="1" t="s">
        <v>72</v>
      </c>
      <c r="Q1412" s="1" t="s">
        <v>38</v>
      </c>
      <c r="R1412" s="1" t="s">
        <v>1978</v>
      </c>
      <c r="S1412" s="3">
        <v>918613000000</v>
      </c>
      <c r="T1412" s="1" t="s">
        <v>98</v>
      </c>
      <c r="U1412" s="1">
        <v>80</v>
      </c>
      <c r="V1412" s="1">
        <v>71</v>
      </c>
      <c r="W1412" s="1" t="s">
        <v>41</v>
      </c>
      <c r="X1412" s="1">
        <v>205634</v>
      </c>
      <c r="Y1412" s="2">
        <v>35579</v>
      </c>
      <c r="Z1412" s="1">
        <v>5.1789737171464303</v>
      </c>
      <c r="AA1412" s="1">
        <v>27</v>
      </c>
      <c r="AB1412" s="1">
        <v>184000</v>
      </c>
      <c r="AC1412" s="1">
        <f t="shared" si="21"/>
        <v>214000</v>
      </c>
    </row>
    <row r="1413" spans="1:29" x14ac:dyDescent="0.25">
      <c r="A1413" s="1" t="s">
        <v>1983</v>
      </c>
      <c r="B1413" s="1" t="s">
        <v>1984</v>
      </c>
      <c r="C1413" s="1" t="s">
        <v>1985</v>
      </c>
      <c r="D1413" s="1">
        <v>2023</v>
      </c>
      <c r="E1413" s="1" t="s">
        <v>31</v>
      </c>
      <c r="F1413" s="1">
        <v>4</v>
      </c>
      <c r="G1413" s="1" t="s">
        <v>32</v>
      </c>
      <c r="H1413" s="1" t="s">
        <v>210</v>
      </c>
      <c r="I1413" s="1">
        <v>169000</v>
      </c>
      <c r="J1413" s="1">
        <v>154000</v>
      </c>
      <c r="K1413" s="1">
        <v>15000</v>
      </c>
      <c r="L1413" s="1">
        <v>0</v>
      </c>
      <c r="M1413" s="1" t="s">
        <v>34</v>
      </c>
      <c r="N1413" s="1" t="s">
        <v>70</v>
      </c>
      <c r="O1413" s="1" t="s">
        <v>71</v>
      </c>
      <c r="P1413" s="1" t="s">
        <v>72</v>
      </c>
      <c r="Q1413" s="1" t="s">
        <v>38</v>
      </c>
      <c r="R1413" s="1" t="s">
        <v>1986</v>
      </c>
      <c r="S1413" s="3">
        <v>919343000000</v>
      </c>
      <c r="T1413" s="1" t="s">
        <v>74</v>
      </c>
      <c r="U1413" s="1">
        <v>80</v>
      </c>
      <c r="V1413" s="1">
        <v>79</v>
      </c>
      <c r="W1413" s="1" t="s">
        <v>41</v>
      </c>
      <c r="X1413" s="1">
        <v>590917</v>
      </c>
      <c r="Y1413" s="2">
        <v>38771</v>
      </c>
      <c r="Z1413" s="1">
        <v>5.1789737171464303</v>
      </c>
      <c r="AA1413" s="1">
        <v>18</v>
      </c>
      <c r="AB1413" s="1">
        <v>676000</v>
      </c>
      <c r="AC1413" s="1">
        <f t="shared" si="21"/>
        <v>736000</v>
      </c>
    </row>
    <row r="1414" spans="1:29" x14ac:dyDescent="0.25">
      <c r="A1414" s="1" t="s">
        <v>2011</v>
      </c>
      <c r="B1414" s="1" t="s">
        <v>779</v>
      </c>
      <c r="C1414" s="1" t="s">
        <v>780</v>
      </c>
      <c r="D1414" s="1">
        <v>2023</v>
      </c>
      <c r="E1414" s="1" t="s">
        <v>31</v>
      </c>
      <c r="F1414" s="1">
        <v>4</v>
      </c>
      <c r="G1414" s="1" t="s">
        <v>32</v>
      </c>
      <c r="H1414" s="1" t="s">
        <v>151</v>
      </c>
      <c r="I1414" s="1">
        <v>169000</v>
      </c>
      <c r="J1414" s="1">
        <v>154000</v>
      </c>
      <c r="K1414" s="1">
        <v>15000</v>
      </c>
      <c r="L1414" s="1">
        <v>0</v>
      </c>
      <c r="M1414" s="1" t="s">
        <v>34</v>
      </c>
      <c r="N1414" s="1" t="s">
        <v>35</v>
      </c>
      <c r="O1414" s="1" t="s">
        <v>64</v>
      </c>
      <c r="P1414" s="1" t="s">
        <v>65</v>
      </c>
      <c r="Q1414" s="1" t="s">
        <v>38</v>
      </c>
      <c r="R1414" s="1" t="s">
        <v>2012</v>
      </c>
      <c r="S1414" s="3">
        <v>917150000000</v>
      </c>
      <c r="T1414" s="1" t="s">
        <v>40</v>
      </c>
      <c r="U1414" s="1">
        <v>80</v>
      </c>
      <c r="V1414" s="1">
        <v>87</v>
      </c>
      <c r="W1414" s="1" t="s">
        <v>41</v>
      </c>
      <c r="X1414" s="1">
        <v>231905</v>
      </c>
      <c r="Y1414" s="2">
        <v>37826</v>
      </c>
      <c r="Z1414" s="1">
        <v>5.1789737171464303</v>
      </c>
      <c r="AA1414" s="1">
        <v>20</v>
      </c>
      <c r="AB1414" s="1">
        <v>676000</v>
      </c>
      <c r="AC1414" s="1">
        <f t="shared" ref="AC1414:AC1477" si="22">IF(F1414 = 2, AB1414+30000,AB1414+60000)</f>
        <v>736000</v>
      </c>
    </row>
    <row r="1415" spans="1:29" x14ac:dyDescent="0.25">
      <c r="A1415" s="1" t="s">
        <v>2021</v>
      </c>
      <c r="B1415" s="1" t="s">
        <v>2022</v>
      </c>
      <c r="C1415" s="1" t="s">
        <v>2023</v>
      </c>
      <c r="D1415" s="1">
        <v>2023</v>
      </c>
      <c r="E1415" s="1" t="s">
        <v>31</v>
      </c>
      <c r="F1415" s="1">
        <v>4</v>
      </c>
      <c r="G1415" s="1" t="s">
        <v>32</v>
      </c>
      <c r="H1415" s="1" t="s">
        <v>33</v>
      </c>
      <c r="I1415" s="1">
        <v>169000</v>
      </c>
      <c r="J1415" s="1">
        <v>154000</v>
      </c>
      <c r="K1415" s="1">
        <v>15000</v>
      </c>
      <c r="L1415" s="1">
        <v>0</v>
      </c>
      <c r="M1415" s="1" t="s">
        <v>34</v>
      </c>
      <c r="N1415" s="1" t="s">
        <v>35</v>
      </c>
      <c r="O1415" s="1" t="s">
        <v>57</v>
      </c>
      <c r="P1415" s="1" t="s">
        <v>57</v>
      </c>
      <c r="Q1415" s="1" t="s">
        <v>38</v>
      </c>
      <c r="R1415" s="1" t="s">
        <v>2024</v>
      </c>
      <c r="S1415" s="3">
        <v>919370000000</v>
      </c>
      <c r="T1415" s="1" t="s">
        <v>51</v>
      </c>
      <c r="U1415" s="1">
        <v>80</v>
      </c>
      <c r="V1415" s="1">
        <v>92</v>
      </c>
      <c r="W1415" s="1" t="s">
        <v>41</v>
      </c>
      <c r="X1415" s="1">
        <v>711218</v>
      </c>
      <c r="Y1415" s="2">
        <v>37707</v>
      </c>
      <c r="Z1415" s="1">
        <v>5.1789737171464303</v>
      </c>
      <c r="AA1415" s="1">
        <v>21</v>
      </c>
      <c r="AB1415" s="1">
        <v>676000</v>
      </c>
      <c r="AC1415" s="1">
        <f t="shared" si="22"/>
        <v>736000</v>
      </c>
    </row>
    <row r="1416" spans="1:29" x14ac:dyDescent="0.25">
      <c r="A1416" s="1" t="s">
        <v>2035</v>
      </c>
      <c r="B1416" s="1" t="s">
        <v>2036</v>
      </c>
      <c r="C1416" s="1" t="s">
        <v>2037</v>
      </c>
      <c r="D1416" s="1">
        <v>2023</v>
      </c>
      <c r="E1416" s="1" t="s">
        <v>31</v>
      </c>
      <c r="F1416" s="1">
        <v>4</v>
      </c>
      <c r="G1416" s="1" t="s">
        <v>32</v>
      </c>
      <c r="H1416" s="1" t="s">
        <v>62</v>
      </c>
      <c r="I1416" s="1">
        <v>169000</v>
      </c>
      <c r="J1416" s="1">
        <v>154000</v>
      </c>
      <c r="K1416" s="1">
        <v>15000</v>
      </c>
      <c r="L1416" s="1">
        <v>0</v>
      </c>
      <c r="M1416" s="1" t="s">
        <v>34</v>
      </c>
      <c r="N1416" s="1" t="s">
        <v>63</v>
      </c>
      <c r="O1416" s="1" t="s">
        <v>57</v>
      </c>
      <c r="P1416" s="1" t="s">
        <v>57</v>
      </c>
      <c r="Q1416" s="1" t="s">
        <v>38</v>
      </c>
      <c r="R1416" s="1" t="s">
        <v>2038</v>
      </c>
      <c r="S1416" s="3">
        <v>917051000000</v>
      </c>
      <c r="T1416" s="1" t="s">
        <v>51</v>
      </c>
      <c r="U1416" s="1">
        <v>80</v>
      </c>
      <c r="V1416" s="1">
        <v>92</v>
      </c>
      <c r="W1416" s="1" t="s">
        <v>52</v>
      </c>
      <c r="X1416" s="1">
        <v>128350</v>
      </c>
      <c r="Y1416" s="2">
        <v>37210</v>
      </c>
      <c r="Z1416" s="1">
        <v>5.1789737171464303</v>
      </c>
      <c r="AA1416" s="1">
        <v>22</v>
      </c>
      <c r="AB1416" s="1">
        <v>676000</v>
      </c>
      <c r="AC1416" s="1">
        <f t="shared" si="22"/>
        <v>736000</v>
      </c>
    </row>
    <row r="1417" spans="1:29" x14ac:dyDescent="0.25">
      <c r="A1417" s="1" t="s">
        <v>2049</v>
      </c>
      <c r="B1417" s="1" t="s">
        <v>2050</v>
      </c>
      <c r="C1417" s="1" t="s">
        <v>2051</v>
      </c>
      <c r="D1417" s="1">
        <v>2023</v>
      </c>
      <c r="E1417" s="1" t="s">
        <v>31</v>
      </c>
      <c r="F1417" s="1">
        <v>4</v>
      </c>
      <c r="G1417" s="1" t="s">
        <v>32</v>
      </c>
      <c r="H1417" s="1" t="s">
        <v>47</v>
      </c>
      <c r="I1417" s="1">
        <v>169000</v>
      </c>
      <c r="J1417" s="1">
        <v>154000</v>
      </c>
      <c r="K1417" s="1">
        <v>15000</v>
      </c>
      <c r="L1417" s="1">
        <v>0</v>
      </c>
      <c r="M1417" s="1" t="s">
        <v>34</v>
      </c>
      <c r="N1417" s="1" t="s">
        <v>70</v>
      </c>
      <c r="O1417" s="1" t="s">
        <v>36</v>
      </c>
      <c r="P1417" s="1" t="s">
        <v>37</v>
      </c>
      <c r="Q1417" s="1" t="s">
        <v>38</v>
      </c>
      <c r="R1417" s="1" t="s">
        <v>2052</v>
      </c>
      <c r="S1417" s="3">
        <v>917469000000</v>
      </c>
      <c r="T1417" s="1" t="s">
        <v>51</v>
      </c>
      <c r="U1417" s="1">
        <v>80</v>
      </c>
      <c r="V1417" s="1">
        <v>77</v>
      </c>
      <c r="W1417" s="1" t="s">
        <v>41</v>
      </c>
      <c r="X1417" s="1">
        <v>322805</v>
      </c>
      <c r="Y1417" s="2">
        <v>37285</v>
      </c>
      <c r="Z1417" s="1">
        <v>5.1789737171464303</v>
      </c>
      <c r="AA1417" s="1">
        <v>22</v>
      </c>
      <c r="AB1417" s="1">
        <v>676000</v>
      </c>
      <c r="AC1417" s="1">
        <f t="shared" si="22"/>
        <v>736000</v>
      </c>
    </row>
    <row r="1418" spans="1:29" x14ac:dyDescent="0.25">
      <c r="A1418" s="1" t="s">
        <v>2077</v>
      </c>
      <c r="B1418" s="1" t="s">
        <v>2078</v>
      </c>
      <c r="C1418" s="1" t="s">
        <v>2079</v>
      </c>
      <c r="D1418" s="1">
        <v>2023</v>
      </c>
      <c r="E1418" s="1" t="s">
        <v>31</v>
      </c>
      <c r="F1418" s="1">
        <v>4</v>
      </c>
      <c r="G1418" s="1" t="s">
        <v>32</v>
      </c>
      <c r="H1418" s="1" t="s">
        <v>90</v>
      </c>
      <c r="I1418" s="1">
        <v>169000</v>
      </c>
      <c r="J1418" s="1">
        <v>154000</v>
      </c>
      <c r="K1418" s="1">
        <v>15000</v>
      </c>
      <c r="L1418" s="1">
        <v>0</v>
      </c>
      <c r="M1418" s="1" t="s">
        <v>34</v>
      </c>
      <c r="N1418" s="1" t="s">
        <v>70</v>
      </c>
      <c r="O1418" s="1" t="s">
        <v>71</v>
      </c>
      <c r="P1418" s="1" t="s">
        <v>72</v>
      </c>
      <c r="Q1418" s="1" t="s">
        <v>38</v>
      </c>
      <c r="R1418" s="1" t="s">
        <v>2080</v>
      </c>
      <c r="S1418" s="3">
        <v>919383000000</v>
      </c>
      <c r="T1418" s="1" t="s">
        <v>86</v>
      </c>
      <c r="U1418" s="1">
        <v>80</v>
      </c>
      <c r="V1418" s="1">
        <v>80</v>
      </c>
      <c r="W1418" s="1" t="s">
        <v>41</v>
      </c>
      <c r="X1418" s="1">
        <v>300110</v>
      </c>
      <c r="Y1418" s="2">
        <v>38865</v>
      </c>
      <c r="Z1418" s="1">
        <v>5.1789737171464303</v>
      </c>
      <c r="AA1418" s="1">
        <v>18</v>
      </c>
      <c r="AB1418" s="1">
        <v>676000</v>
      </c>
      <c r="AC1418" s="1">
        <f t="shared" si="22"/>
        <v>736000</v>
      </c>
    </row>
    <row r="1419" spans="1:29" x14ac:dyDescent="0.25">
      <c r="A1419" s="1" t="s">
        <v>2083</v>
      </c>
      <c r="B1419" s="1" t="s">
        <v>2084</v>
      </c>
      <c r="C1419" s="1" t="s">
        <v>2085</v>
      </c>
      <c r="D1419" s="1">
        <v>2023</v>
      </c>
      <c r="E1419" s="1" t="s">
        <v>31</v>
      </c>
      <c r="F1419" s="1">
        <v>4</v>
      </c>
      <c r="G1419" s="1" t="s">
        <v>32</v>
      </c>
      <c r="H1419" s="1" t="s">
        <v>113</v>
      </c>
      <c r="I1419" s="1">
        <v>169000</v>
      </c>
      <c r="J1419" s="1">
        <v>154000</v>
      </c>
      <c r="K1419" s="1">
        <v>15000</v>
      </c>
      <c r="L1419" s="1">
        <v>0</v>
      </c>
      <c r="M1419" s="1" t="s">
        <v>34</v>
      </c>
      <c r="N1419" s="1" t="s">
        <v>70</v>
      </c>
      <c r="O1419" s="1" t="s">
        <v>91</v>
      </c>
      <c r="P1419" s="1" t="s">
        <v>92</v>
      </c>
      <c r="Q1419" s="1" t="s">
        <v>38</v>
      </c>
      <c r="R1419" s="1" t="s">
        <v>2086</v>
      </c>
      <c r="S1419" s="3">
        <v>919686000000</v>
      </c>
      <c r="T1419" s="1" t="s">
        <v>40</v>
      </c>
      <c r="U1419" s="1">
        <v>80</v>
      </c>
      <c r="V1419" s="1">
        <v>63</v>
      </c>
      <c r="W1419" s="1" t="s">
        <v>41</v>
      </c>
      <c r="X1419" s="1">
        <v>122530</v>
      </c>
      <c r="Y1419" s="2">
        <v>37419</v>
      </c>
      <c r="Z1419" s="1">
        <v>5.1789737171464303</v>
      </c>
      <c r="AA1419" s="1">
        <v>22</v>
      </c>
      <c r="AB1419" s="1">
        <v>676000</v>
      </c>
      <c r="AC1419" s="1">
        <f t="shared" si="22"/>
        <v>736000</v>
      </c>
    </row>
    <row r="1420" spans="1:29" x14ac:dyDescent="0.25">
      <c r="A1420" s="1" t="s">
        <v>2115</v>
      </c>
      <c r="B1420" s="1" t="s">
        <v>2116</v>
      </c>
      <c r="C1420" s="1" t="s">
        <v>2117</v>
      </c>
      <c r="D1420" s="1">
        <v>2023</v>
      </c>
      <c r="E1420" s="1" t="s">
        <v>31</v>
      </c>
      <c r="F1420" s="1">
        <v>4</v>
      </c>
      <c r="G1420" s="1" t="s">
        <v>32</v>
      </c>
      <c r="H1420" s="1" t="s">
        <v>56</v>
      </c>
      <c r="I1420" s="1">
        <v>169000</v>
      </c>
      <c r="J1420" s="1">
        <v>154000</v>
      </c>
      <c r="K1420" s="1">
        <v>15000</v>
      </c>
      <c r="L1420" s="1">
        <v>0</v>
      </c>
      <c r="M1420" s="1" t="s">
        <v>34</v>
      </c>
      <c r="N1420" s="1" t="s">
        <v>63</v>
      </c>
      <c r="O1420" s="1" t="s">
        <v>91</v>
      </c>
      <c r="P1420" s="1" t="s">
        <v>92</v>
      </c>
      <c r="Q1420" s="1" t="s">
        <v>38</v>
      </c>
      <c r="R1420" s="1" t="s">
        <v>2118</v>
      </c>
      <c r="S1420" s="3">
        <v>917637000000</v>
      </c>
      <c r="T1420" s="1" t="s">
        <v>51</v>
      </c>
      <c r="U1420" s="1">
        <v>80</v>
      </c>
      <c r="V1420" s="1">
        <v>82</v>
      </c>
      <c r="W1420" s="1" t="s">
        <v>52</v>
      </c>
      <c r="X1420" s="1">
        <v>190427</v>
      </c>
      <c r="Y1420" s="2">
        <v>37402</v>
      </c>
      <c r="Z1420" s="1">
        <v>5.1789737171464303</v>
      </c>
      <c r="AA1420" s="1">
        <v>22</v>
      </c>
      <c r="AB1420" s="1">
        <v>676000</v>
      </c>
      <c r="AC1420" s="1">
        <f t="shared" si="22"/>
        <v>736000</v>
      </c>
    </row>
    <row r="1421" spans="1:29" x14ac:dyDescent="0.25">
      <c r="A1421" s="1" t="s">
        <v>2127</v>
      </c>
      <c r="B1421" s="1" t="s">
        <v>2128</v>
      </c>
      <c r="C1421" s="1" t="s">
        <v>2129</v>
      </c>
      <c r="D1421" s="1">
        <v>2023</v>
      </c>
      <c r="E1421" s="1" t="s">
        <v>45</v>
      </c>
      <c r="F1421" s="1">
        <v>2</v>
      </c>
      <c r="G1421" s="1" t="s">
        <v>46</v>
      </c>
      <c r="H1421" s="1" t="s">
        <v>33</v>
      </c>
      <c r="I1421" s="1">
        <v>92000</v>
      </c>
      <c r="J1421" s="1">
        <v>77000</v>
      </c>
      <c r="K1421" s="1">
        <v>15000</v>
      </c>
      <c r="L1421" s="1">
        <v>0</v>
      </c>
      <c r="M1421" s="1" t="s">
        <v>34</v>
      </c>
      <c r="N1421" s="1" t="s">
        <v>35</v>
      </c>
      <c r="O1421" s="1" t="s">
        <v>84</v>
      </c>
      <c r="P1421" s="1" t="s">
        <v>65</v>
      </c>
      <c r="Q1421" s="1" t="s">
        <v>38</v>
      </c>
      <c r="R1421" s="1" t="s">
        <v>2130</v>
      </c>
      <c r="S1421" s="3">
        <v>919247000000</v>
      </c>
      <c r="T1421" s="1" t="s">
        <v>98</v>
      </c>
      <c r="U1421" s="1">
        <v>80</v>
      </c>
      <c r="V1421" s="1">
        <v>74</v>
      </c>
      <c r="W1421" s="1" t="s">
        <v>41</v>
      </c>
      <c r="X1421" s="1">
        <v>304153</v>
      </c>
      <c r="Y1421" s="2">
        <v>35868</v>
      </c>
      <c r="Z1421" s="1">
        <v>5.1789737171464303</v>
      </c>
      <c r="AA1421" s="1">
        <v>26</v>
      </c>
      <c r="AB1421" s="1">
        <v>184000</v>
      </c>
      <c r="AC1421" s="1">
        <f t="shared" si="22"/>
        <v>214000</v>
      </c>
    </row>
    <row r="1422" spans="1:29" x14ac:dyDescent="0.25">
      <c r="A1422" s="1" t="s">
        <v>2149</v>
      </c>
      <c r="B1422" s="1" t="s">
        <v>2150</v>
      </c>
      <c r="C1422" s="1" t="s">
        <v>2151</v>
      </c>
      <c r="D1422" s="1">
        <v>2023</v>
      </c>
      <c r="E1422" s="1" t="s">
        <v>31</v>
      </c>
      <c r="F1422" s="1">
        <v>4</v>
      </c>
      <c r="G1422" s="1" t="s">
        <v>32</v>
      </c>
      <c r="H1422" s="1" t="s">
        <v>56</v>
      </c>
      <c r="I1422" s="1">
        <v>169000</v>
      </c>
      <c r="J1422" s="1">
        <v>154000</v>
      </c>
      <c r="K1422" s="1">
        <v>15000</v>
      </c>
      <c r="L1422" s="1">
        <v>0</v>
      </c>
      <c r="M1422" s="1" t="s">
        <v>34</v>
      </c>
      <c r="N1422" s="1" t="s">
        <v>70</v>
      </c>
      <c r="O1422" s="1" t="s">
        <v>36</v>
      </c>
      <c r="P1422" s="1" t="s">
        <v>37</v>
      </c>
      <c r="Q1422" s="1" t="s">
        <v>38</v>
      </c>
      <c r="R1422" s="1" t="s">
        <v>2152</v>
      </c>
      <c r="S1422" s="3">
        <v>917613000000</v>
      </c>
      <c r="T1422" s="1" t="s">
        <v>40</v>
      </c>
      <c r="U1422" s="1">
        <v>80</v>
      </c>
      <c r="V1422" s="1">
        <v>79</v>
      </c>
      <c r="W1422" s="1" t="s">
        <v>41</v>
      </c>
      <c r="X1422" s="1">
        <v>607284</v>
      </c>
      <c r="Y1422" s="2">
        <v>37721</v>
      </c>
      <c r="Z1422" s="1">
        <v>5.1789737171464303</v>
      </c>
      <c r="AA1422" s="1">
        <v>21</v>
      </c>
      <c r="AB1422" s="1">
        <v>676000</v>
      </c>
      <c r="AC1422" s="1">
        <f t="shared" si="22"/>
        <v>736000</v>
      </c>
    </row>
    <row r="1423" spans="1:29" x14ac:dyDescent="0.25">
      <c r="A1423" s="1" t="s">
        <v>2195</v>
      </c>
      <c r="B1423" s="1" t="s">
        <v>2196</v>
      </c>
      <c r="C1423" s="1" t="s">
        <v>2197</v>
      </c>
      <c r="D1423" s="1">
        <v>2023</v>
      </c>
      <c r="E1423" s="1" t="s">
        <v>31</v>
      </c>
      <c r="F1423" s="1">
        <v>4</v>
      </c>
      <c r="G1423" s="1" t="s">
        <v>32</v>
      </c>
      <c r="H1423" s="1" t="s">
        <v>102</v>
      </c>
      <c r="I1423" s="1">
        <v>169000</v>
      </c>
      <c r="J1423" s="1">
        <v>154000</v>
      </c>
      <c r="K1423" s="1">
        <v>15000</v>
      </c>
      <c r="L1423" s="1">
        <v>0</v>
      </c>
      <c r="M1423" s="1" t="s">
        <v>34</v>
      </c>
      <c r="N1423" s="1" t="s">
        <v>35</v>
      </c>
      <c r="O1423" s="1" t="s">
        <v>103</v>
      </c>
      <c r="P1423" s="1" t="s">
        <v>104</v>
      </c>
      <c r="Q1423" s="1" t="s">
        <v>38</v>
      </c>
      <c r="R1423" s="1" t="s">
        <v>2198</v>
      </c>
      <c r="S1423" s="3">
        <v>919398000000</v>
      </c>
      <c r="T1423" s="1" t="s">
        <v>40</v>
      </c>
      <c r="U1423" s="1">
        <v>79</v>
      </c>
      <c r="V1423" s="1">
        <v>77</v>
      </c>
      <c r="W1423" s="1" t="s">
        <v>41</v>
      </c>
      <c r="X1423" s="1">
        <v>250975</v>
      </c>
      <c r="Y1423" s="2">
        <v>36843</v>
      </c>
      <c r="Z1423" s="1">
        <v>4.1789737171464303</v>
      </c>
      <c r="AA1423" s="1">
        <v>23</v>
      </c>
      <c r="AB1423" s="1">
        <v>676000</v>
      </c>
      <c r="AC1423" s="1">
        <f t="shared" si="22"/>
        <v>736000</v>
      </c>
    </row>
    <row r="1424" spans="1:29" x14ac:dyDescent="0.25">
      <c r="A1424" s="1" t="s">
        <v>2203</v>
      </c>
      <c r="B1424" s="1" t="s">
        <v>2204</v>
      </c>
      <c r="C1424" s="1" t="s">
        <v>2205</v>
      </c>
      <c r="D1424" s="1">
        <v>2023</v>
      </c>
      <c r="E1424" s="1" t="s">
        <v>31</v>
      </c>
      <c r="F1424" s="1">
        <v>4</v>
      </c>
      <c r="G1424" s="1" t="s">
        <v>32</v>
      </c>
      <c r="H1424" s="1" t="s">
        <v>33</v>
      </c>
      <c r="I1424" s="1">
        <v>169000</v>
      </c>
      <c r="J1424" s="1">
        <v>154000</v>
      </c>
      <c r="K1424" s="1">
        <v>15000</v>
      </c>
      <c r="L1424" s="1">
        <v>0</v>
      </c>
      <c r="M1424" s="1" t="s">
        <v>34</v>
      </c>
      <c r="N1424" s="1" t="s">
        <v>63</v>
      </c>
      <c r="O1424" s="1" t="s">
        <v>57</v>
      </c>
      <c r="P1424" s="1" t="s">
        <v>57</v>
      </c>
      <c r="Q1424" s="1" t="s">
        <v>38</v>
      </c>
      <c r="R1424" s="1" t="s">
        <v>2206</v>
      </c>
      <c r="S1424" s="3">
        <v>919184000000</v>
      </c>
      <c r="T1424" s="1" t="s">
        <v>86</v>
      </c>
      <c r="U1424" s="1">
        <v>79</v>
      </c>
      <c r="V1424" s="1">
        <v>87</v>
      </c>
      <c r="W1424" s="1" t="s">
        <v>41</v>
      </c>
      <c r="X1424" s="1">
        <v>576860</v>
      </c>
      <c r="Y1424" s="2">
        <v>36888</v>
      </c>
      <c r="Z1424" s="1">
        <v>4.1789737171464303</v>
      </c>
      <c r="AA1424" s="1">
        <v>23</v>
      </c>
      <c r="AB1424" s="1">
        <v>676000</v>
      </c>
      <c r="AC1424" s="1">
        <f t="shared" si="22"/>
        <v>736000</v>
      </c>
    </row>
    <row r="1425" spans="1:29" x14ac:dyDescent="0.25">
      <c r="A1425" s="1" t="s">
        <v>2207</v>
      </c>
      <c r="B1425" s="1" t="s">
        <v>2208</v>
      </c>
      <c r="C1425" s="1" t="s">
        <v>2209</v>
      </c>
      <c r="D1425" s="1">
        <v>2023</v>
      </c>
      <c r="E1425" s="1" t="s">
        <v>31</v>
      </c>
      <c r="F1425" s="1">
        <v>4</v>
      </c>
      <c r="G1425" s="1" t="s">
        <v>32</v>
      </c>
      <c r="H1425" s="1" t="s">
        <v>47</v>
      </c>
      <c r="I1425" s="1">
        <v>169000</v>
      </c>
      <c r="J1425" s="1">
        <v>154000</v>
      </c>
      <c r="K1425" s="1">
        <v>15000</v>
      </c>
      <c r="L1425" s="1">
        <v>0</v>
      </c>
      <c r="M1425" s="1" t="s">
        <v>34</v>
      </c>
      <c r="N1425" s="1" t="s">
        <v>63</v>
      </c>
      <c r="O1425" s="1" t="s">
        <v>57</v>
      </c>
      <c r="P1425" s="1" t="s">
        <v>57</v>
      </c>
      <c r="Q1425" s="1" t="s">
        <v>38</v>
      </c>
      <c r="R1425" s="1" t="s">
        <v>2210</v>
      </c>
      <c r="S1425" s="3">
        <v>919193000000</v>
      </c>
      <c r="T1425" s="1" t="s">
        <v>40</v>
      </c>
      <c r="U1425" s="1">
        <v>79</v>
      </c>
      <c r="V1425" s="1">
        <v>78</v>
      </c>
      <c r="W1425" s="1" t="s">
        <v>41</v>
      </c>
      <c r="X1425" s="1">
        <v>520975</v>
      </c>
      <c r="Y1425" s="2">
        <v>37980</v>
      </c>
      <c r="Z1425" s="1">
        <v>4.1789737171464303</v>
      </c>
      <c r="AA1425" s="1">
        <v>20</v>
      </c>
      <c r="AB1425" s="1">
        <v>676000</v>
      </c>
      <c r="AC1425" s="1">
        <f t="shared" si="22"/>
        <v>736000</v>
      </c>
    </row>
    <row r="1426" spans="1:29" x14ac:dyDescent="0.25">
      <c r="A1426" s="1" t="s">
        <v>2215</v>
      </c>
      <c r="B1426" s="1" t="s">
        <v>1479</v>
      </c>
      <c r="C1426" s="1" t="s">
        <v>1480</v>
      </c>
      <c r="D1426" s="1">
        <v>2023</v>
      </c>
      <c r="E1426" s="1" t="s">
        <v>31</v>
      </c>
      <c r="F1426" s="1">
        <v>4</v>
      </c>
      <c r="G1426" s="1" t="s">
        <v>32</v>
      </c>
      <c r="H1426" s="1" t="s">
        <v>33</v>
      </c>
      <c r="I1426" s="1">
        <v>169000</v>
      </c>
      <c r="J1426" s="1">
        <v>154000</v>
      </c>
      <c r="K1426" s="1">
        <v>15000</v>
      </c>
      <c r="L1426" s="1">
        <v>0</v>
      </c>
      <c r="M1426" s="1" t="s">
        <v>34</v>
      </c>
      <c r="N1426" s="1" t="s">
        <v>63</v>
      </c>
      <c r="O1426" s="1" t="s">
        <v>57</v>
      </c>
      <c r="P1426" s="1" t="s">
        <v>57</v>
      </c>
      <c r="Q1426" s="1" t="s">
        <v>38</v>
      </c>
      <c r="R1426" s="1" t="s">
        <v>2216</v>
      </c>
      <c r="S1426" s="3">
        <v>919380000000</v>
      </c>
      <c r="T1426" s="1" t="s">
        <v>98</v>
      </c>
      <c r="U1426" s="1">
        <v>79</v>
      </c>
      <c r="V1426" s="1">
        <v>85</v>
      </c>
      <c r="W1426" s="1" t="s">
        <v>52</v>
      </c>
      <c r="X1426" s="1">
        <v>637775</v>
      </c>
      <c r="Y1426" s="2">
        <v>36923</v>
      </c>
      <c r="Z1426" s="1">
        <v>4.1789737171464303</v>
      </c>
      <c r="AA1426" s="1">
        <v>23</v>
      </c>
      <c r="AB1426" s="1">
        <v>676000</v>
      </c>
      <c r="AC1426" s="1">
        <f t="shared" si="22"/>
        <v>736000</v>
      </c>
    </row>
    <row r="1427" spans="1:29" x14ac:dyDescent="0.25">
      <c r="A1427" s="1" t="s">
        <v>2279</v>
      </c>
      <c r="B1427" s="1" t="s">
        <v>2280</v>
      </c>
      <c r="C1427" s="1" t="s">
        <v>2281</v>
      </c>
      <c r="D1427" s="1">
        <v>2023</v>
      </c>
      <c r="E1427" s="1" t="s">
        <v>31</v>
      </c>
      <c r="F1427" s="1">
        <v>4</v>
      </c>
      <c r="G1427" s="1" t="s">
        <v>32</v>
      </c>
      <c r="H1427" s="1" t="s">
        <v>102</v>
      </c>
      <c r="I1427" s="1">
        <v>169000</v>
      </c>
      <c r="J1427" s="1">
        <v>154000</v>
      </c>
      <c r="K1427" s="1">
        <v>15000</v>
      </c>
      <c r="L1427" s="1">
        <v>0</v>
      </c>
      <c r="M1427" s="1" t="s">
        <v>34</v>
      </c>
      <c r="N1427" s="1" t="s">
        <v>63</v>
      </c>
      <c r="O1427" s="1" t="s">
        <v>71</v>
      </c>
      <c r="P1427" s="1" t="s">
        <v>72</v>
      </c>
      <c r="Q1427" s="1" t="s">
        <v>38</v>
      </c>
      <c r="R1427" s="1" t="s">
        <v>2282</v>
      </c>
      <c r="S1427" s="3">
        <v>919442000000</v>
      </c>
      <c r="T1427" s="1" t="s">
        <v>74</v>
      </c>
      <c r="U1427" s="1">
        <v>79</v>
      </c>
      <c r="V1427" s="1">
        <v>75</v>
      </c>
      <c r="W1427" s="1" t="s">
        <v>41</v>
      </c>
      <c r="X1427" s="1">
        <v>386823</v>
      </c>
      <c r="Y1427" s="2">
        <v>38384</v>
      </c>
      <c r="Z1427" s="1">
        <v>4.1789737171464303</v>
      </c>
      <c r="AA1427" s="1">
        <v>19</v>
      </c>
      <c r="AB1427" s="1">
        <v>676000</v>
      </c>
      <c r="AC1427" s="1">
        <f t="shared" si="22"/>
        <v>736000</v>
      </c>
    </row>
    <row r="1428" spans="1:29" x14ac:dyDescent="0.25">
      <c r="A1428" s="1" t="s">
        <v>2283</v>
      </c>
      <c r="B1428" s="1" t="s">
        <v>2284</v>
      </c>
      <c r="C1428" s="1" t="s">
        <v>2285</v>
      </c>
      <c r="D1428" s="1">
        <v>2023</v>
      </c>
      <c r="E1428" s="1" t="s">
        <v>45</v>
      </c>
      <c r="F1428" s="1">
        <v>2</v>
      </c>
      <c r="G1428" s="1" t="s">
        <v>46</v>
      </c>
      <c r="H1428" s="1" t="s">
        <v>33</v>
      </c>
      <c r="I1428" s="1">
        <v>92000</v>
      </c>
      <c r="J1428" s="1">
        <v>77000</v>
      </c>
      <c r="K1428" s="1">
        <v>15000</v>
      </c>
      <c r="L1428" s="1">
        <v>0</v>
      </c>
      <c r="M1428" s="1" t="s">
        <v>34</v>
      </c>
      <c r="N1428" s="1" t="s">
        <v>63</v>
      </c>
      <c r="O1428" s="1" t="s">
        <v>188</v>
      </c>
      <c r="P1428" s="1" t="s">
        <v>189</v>
      </c>
      <c r="Q1428" s="1" t="s">
        <v>38</v>
      </c>
      <c r="R1428" s="1" t="s">
        <v>2286</v>
      </c>
      <c r="S1428" s="3">
        <v>918730000000</v>
      </c>
      <c r="T1428" s="1" t="s">
        <v>51</v>
      </c>
      <c r="U1428" s="1">
        <v>79</v>
      </c>
      <c r="V1428" s="1">
        <v>88</v>
      </c>
      <c r="W1428" s="1" t="s">
        <v>41</v>
      </c>
      <c r="X1428" s="1">
        <v>370125</v>
      </c>
      <c r="Y1428" s="2">
        <v>35990</v>
      </c>
      <c r="Z1428" s="1">
        <v>4.1789737171464303</v>
      </c>
      <c r="AA1428" s="1">
        <v>25</v>
      </c>
      <c r="AB1428" s="1">
        <v>184000</v>
      </c>
      <c r="AC1428" s="1">
        <f t="shared" si="22"/>
        <v>214000</v>
      </c>
    </row>
    <row r="1429" spans="1:29" x14ac:dyDescent="0.25">
      <c r="A1429" s="1" t="s">
        <v>2289</v>
      </c>
      <c r="B1429" s="1" t="s">
        <v>2290</v>
      </c>
      <c r="C1429" s="1" t="s">
        <v>2291</v>
      </c>
      <c r="D1429" s="1">
        <v>2023</v>
      </c>
      <c r="E1429" s="1" t="s">
        <v>31</v>
      </c>
      <c r="F1429" s="1">
        <v>4</v>
      </c>
      <c r="G1429" s="1" t="s">
        <v>32</v>
      </c>
      <c r="H1429" s="1" t="s">
        <v>113</v>
      </c>
      <c r="I1429" s="1">
        <v>169000</v>
      </c>
      <c r="J1429" s="1">
        <v>154000</v>
      </c>
      <c r="K1429" s="1">
        <v>15000</v>
      </c>
      <c r="L1429" s="1">
        <v>0</v>
      </c>
      <c r="M1429" s="1" t="s">
        <v>34</v>
      </c>
      <c r="N1429" s="1" t="s">
        <v>70</v>
      </c>
      <c r="O1429" s="1" t="s">
        <v>84</v>
      </c>
      <c r="P1429" s="1" t="s">
        <v>65</v>
      </c>
      <c r="Q1429" s="1" t="s">
        <v>38</v>
      </c>
      <c r="R1429" s="1" t="s">
        <v>2292</v>
      </c>
      <c r="S1429" s="3">
        <v>917875000000</v>
      </c>
      <c r="T1429" s="1" t="s">
        <v>51</v>
      </c>
      <c r="U1429" s="1">
        <v>79</v>
      </c>
      <c r="V1429" s="1">
        <v>76</v>
      </c>
      <c r="W1429" s="1" t="s">
        <v>41</v>
      </c>
      <c r="X1429" s="1">
        <v>166835</v>
      </c>
      <c r="Y1429" s="2">
        <v>36922</v>
      </c>
      <c r="Z1429" s="1">
        <v>4.1789737171464303</v>
      </c>
      <c r="AA1429" s="1">
        <v>23</v>
      </c>
      <c r="AB1429" s="1">
        <v>676000</v>
      </c>
      <c r="AC1429" s="1">
        <f t="shared" si="22"/>
        <v>736000</v>
      </c>
    </row>
    <row r="1430" spans="1:29" x14ac:dyDescent="0.25">
      <c r="A1430" s="1" t="s">
        <v>2297</v>
      </c>
      <c r="B1430" s="1" t="s">
        <v>2298</v>
      </c>
      <c r="C1430" s="1" t="s">
        <v>2299</v>
      </c>
      <c r="D1430" s="1">
        <v>2023</v>
      </c>
      <c r="E1430" s="1" t="s">
        <v>31</v>
      </c>
      <c r="F1430" s="1">
        <v>4</v>
      </c>
      <c r="G1430" s="1" t="s">
        <v>32</v>
      </c>
      <c r="H1430" s="1" t="s">
        <v>102</v>
      </c>
      <c r="I1430" s="1">
        <v>169000</v>
      </c>
      <c r="J1430" s="1">
        <v>154000</v>
      </c>
      <c r="K1430" s="1">
        <v>15000</v>
      </c>
      <c r="L1430" s="1">
        <v>0</v>
      </c>
      <c r="M1430" s="1" t="s">
        <v>34</v>
      </c>
      <c r="N1430" s="1" t="s">
        <v>70</v>
      </c>
      <c r="O1430" s="1" t="s">
        <v>91</v>
      </c>
      <c r="P1430" s="1" t="s">
        <v>92</v>
      </c>
      <c r="Q1430" s="1" t="s">
        <v>38</v>
      </c>
      <c r="R1430" s="1" t="s">
        <v>2300</v>
      </c>
      <c r="S1430" s="3">
        <v>919293000000</v>
      </c>
      <c r="T1430" s="1" t="s">
        <v>51</v>
      </c>
      <c r="U1430" s="1">
        <v>79</v>
      </c>
      <c r="V1430" s="1">
        <v>69</v>
      </c>
      <c r="W1430" s="1" t="s">
        <v>41</v>
      </c>
      <c r="X1430" s="1">
        <v>384517</v>
      </c>
      <c r="Y1430" s="2">
        <v>38641</v>
      </c>
      <c r="Z1430" s="1">
        <v>4.1789737171464303</v>
      </c>
      <c r="AA1430" s="1">
        <v>18</v>
      </c>
      <c r="AB1430" s="1">
        <v>676000</v>
      </c>
      <c r="AC1430" s="1">
        <f t="shared" si="22"/>
        <v>736000</v>
      </c>
    </row>
    <row r="1431" spans="1:29" x14ac:dyDescent="0.25">
      <c r="A1431" s="1" t="s">
        <v>2317</v>
      </c>
      <c r="B1431" s="1" t="s">
        <v>2318</v>
      </c>
      <c r="C1431" s="1" t="s">
        <v>2319</v>
      </c>
      <c r="D1431" s="1">
        <v>2023</v>
      </c>
      <c r="E1431" s="1" t="s">
        <v>31</v>
      </c>
      <c r="F1431" s="1">
        <v>4</v>
      </c>
      <c r="G1431" s="1" t="s">
        <v>32</v>
      </c>
      <c r="H1431" s="1" t="s">
        <v>90</v>
      </c>
      <c r="I1431" s="1">
        <v>169000</v>
      </c>
      <c r="J1431" s="1">
        <v>154000</v>
      </c>
      <c r="K1431" s="1">
        <v>15000</v>
      </c>
      <c r="L1431" s="1">
        <v>0</v>
      </c>
      <c r="M1431" s="1" t="s">
        <v>34</v>
      </c>
      <c r="N1431" s="1" t="s">
        <v>63</v>
      </c>
      <c r="O1431" s="1" t="s">
        <v>57</v>
      </c>
      <c r="P1431" s="1" t="s">
        <v>57</v>
      </c>
      <c r="Q1431" s="1" t="s">
        <v>38</v>
      </c>
      <c r="R1431" s="1" t="s">
        <v>2320</v>
      </c>
      <c r="S1431" s="3">
        <v>918770000000</v>
      </c>
      <c r="T1431" s="1" t="s">
        <v>40</v>
      </c>
      <c r="U1431" s="1">
        <v>79</v>
      </c>
      <c r="V1431" s="1">
        <v>62</v>
      </c>
      <c r="W1431" s="1" t="s">
        <v>52</v>
      </c>
      <c r="X1431" s="1">
        <v>531390</v>
      </c>
      <c r="Y1431" s="2">
        <v>38729</v>
      </c>
      <c r="Z1431" s="1">
        <v>4.1789737171464303</v>
      </c>
      <c r="AA1431" s="1">
        <v>18</v>
      </c>
      <c r="AB1431" s="1">
        <v>676000</v>
      </c>
      <c r="AC1431" s="1">
        <f t="shared" si="22"/>
        <v>736000</v>
      </c>
    </row>
    <row r="1432" spans="1:29" x14ac:dyDescent="0.25">
      <c r="A1432" s="1" t="s">
        <v>2323</v>
      </c>
      <c r="B1432" s="1" t="s">
        <v>2324</v>
      </c>
      <c r="C1432" s="1" t="s">
        <v>2325</v>
      </c>
      <c r="D1432" s="1">
        <v>2023</v>
      </c>
      <c r="E1432" s="1" t="s">
        <v>31</v>
      </c>
      <c r="F1432" s="1">
        <v>4</v>
      </c>
      <c r="G1432" s="1" t="s">
        <v>32</v>
      </c>
      <c r="H1432" s="1" t="s">
        <v>102</v>
      </c>
      <c r="I1432" s="1">
        <v>169000</v>
      </c>
      <c r="J1432" s="1">
        <v>154000</v>
      </c>
      <c r="K1432" s="1">
        <v>15000</v>
      </c>
      <c r="L1432" s="1">
        <v>0</v>
      </c>
      <c r="M1432" s="1" t="s">
        <v>34</v>
      </c>
      <c r="N1432" s="1" t="s">
        <v>70</v>
      </c>
      <c r="O1432" s="1" t="s">
        <v>36</v>
      </c>
      <c r="P1432" s="1" t="s">
        <v>37</v>
      </c>
      <c r="Q1432" s="1" t="s">
        <v>38</v>
      </c>
      <c r="R1432" s="1" t="s">
        <v>2326</v>
      </c>
      <c r="S1432" s="3">
        <v>918617000000</v>
      </c>
      <c r="T1432" s="1" t="s">
        <v>74</v>
      </c>
      <c r="U1432" s="1">
        <v>79</v>
      </c>
      <c r="V1432" s="1">
        <v>89</v>
      </c>
      <c r="W1432" s="1" t="s">
        <v>52</v>
      </c>
      <c r="X1432" s="1">
        <v>381124</v>
      </c>
      <c r="Y1432" s="2">
        <v>38397</v>
      </c>
      <c r="Z1432" s="1">
        <v>4.1789737171464303</v>
      </c>
      <c r="AA1432" s="1">
        <v>19</v>
      </c>
      <c r="AB1432" s="1">
        <v>676000</v>
      </c>
      <c r="AC1432" s="1">
        <f t="shared" si="22"/>
        <v>736000</v>
      </c>
    </row>
    <row r="1433" spans="1:29" x14ac:dyDescent="0.25">
      <c r="A1433" s="1" t="s">
        <v>2353</v>
      </c>
      <c r="B1433" s="1" t="s">
        <v>2354</v>
      </c>
      <c r="C1433" s="1" t="s">
        <v>2355</v>
      </c>
      <c r="D1433" s="1">
        <v>2023</v>
      </c>
      <c r="E1433" s="1" t="s">
        <v>45</v>
      </c>
      <c r="F1433" s="1">
        <v>2</v>
      </c>
      <c r="G1433" s="1" t="s">
        <v>46</v>
      </c>
      <c r="H1433" s="1" t="s">
        <v>102</v>
      </c>
      <c r="I1433" s="1">
        <v>92000</v>
      </c>
      <c r="J1433" s="1">
        <v>77000</v>
      </c>
      <c r="K1433" s="1">
        <v>15000</v>
      </c>
      <c r="L1433" s="1">
        <v>0</v>
      </c>
      <c r="M1433" s="1" t="s">
        <v>34</v>
      </c>
      <c r="N1433" s="1" t="s">
        <v>70</v>
      </c>
      <c r="O1433" s="1" t="s">
        <v>188</v>
      </c>
      <c r="P1433" s="1" t="s">
        <v>189</v>
      </c>
      <c r="Q1433" s="1" t="s">
        <v>38</v>
      </c>
      <c r="R1433" s="1" t="s">
        <v>2356</v>
      </c>
      <c r="S1433" s="3">
        <v>917533000000</v>
      </c>
      <c r="T1433" s="1" t="s">
        <v>40</v>
      </c>
      <c r="U1433" s="1">
        <v>78</v>
      </c>
      <c r="V1433" s="1">
        <v>92</v>
      </c>
      <c r="W1433" s="1" t="s">
        <v>52</v>
      </c>
      <c r="X1433" s="1">
        <v>798531</v>
      </c>
      <c r="Y1433" s="2">
        <v>37067</v>
      </c>
      <c r="Z1433" s="1">
        <v>3.1789737171464298</v>
      </c>
      <c r="AA1433" s="1">
        <v>23</v>
      </c>
      <c r="AB1433" s="1">
        <v>184000</v>
      </c>
      <c r="AC1433" s="1">
        <f t="shared" si="22"/>
        <v>214000</v>
      </c>
    </row>
    <row r="1434" spans="1:29" x14ac:dyDescent="0.25">
      <c r="A1434" s="1" t="s">
        <v>2381</v>
      </c>
      <c r="B1434" s="1" t="s">
        <v>2382</v>
      </c>
      <c r="C1434" s="1" t="s">
        <v>2383</v>
      </c>
      <c r="D1434" s="1">
        <v>2023</v>
      </c>
      <c r="E1434" s="1" t="s">
        <v>31</v>
      </c>
      <c r="F1434" s="1">
        <v>4</v>
      </c>
      <c r="G1434" s="1" t="s">
        <v>32</v>
      </c>
      <c r="H1434" s="1" t="s">
        <v>62</v>
      </c>
      <c r="I1434" s="1">
        <v>169000</v>
      </c>
      <c r="J1434" s="1">
        <v>154000</v>
      </c>
      <c r="K1434" s="1">
        <v>15000</v>
      </c>
      <c r="L1434" s="1">
        <v>0</v>
      </c>
      <c r="M1434" s="1" t="s">
        <v>34</v>
      </c>
      <c r="N1434" s="1" t="s">
        <v>70</v>
      </c>
      <c r="O1434" s="1" t="s">
        <v>103</v>
      </c>
      <c r="P1434" s="1" t="s">
        <v>104</v>
      </c>
      <c r="Q1434" s="1" t="s">
        <v>38</v>
      </c>
      <c r="R1434" s="1" t="s">
        <v>2384</v>
      </c>
      <c r="S1434" s="3">
        <v>918683000000</v>
      </c>
      <c r="T1434" s="1" t="s">
        <v>86</v>
      </c>
      <c r="U1434" s="1">
        <v>78</v>
      </c>
      <c r="V1434" s="1">
        <v>77</v>
      </c>
      <c r="W1434" s="1" t="s">
        <v>41</v>
      </c>
      <c r="X1434" s="1">
        <v>709346</v>
      </c>
      <c r="Y1434" s="2">
        <v>37003</v>
      </c>
      <c r="Z1434" s="1">
        <v>3.1789737171464298</v>
      </c>
      <c r="AA1434" s="1">
        <v>23</v>
      </c>
      <c r="AB1434" s="1">
        <v>676000</v>
      </c>
      <c r="AC1434" s="1">
        <f t="shared" si="22"/>
        <v>736000</v>
      </c>
    </row>
    <row r="1435" spans="1:29" x14ac:dyDescent="0.25">
      <c r="A1435" s="1" t="s">
        <v>2429</v>
      </c>
      <c r="B1435" s="1" t="s">
        <v>2430</v>
      </c>
      <c r="C1435" s="1" t="s">
        <v>2431</v>
      </c>
      <c r="D1435" s="1">
        <v>2023</v>
      </c>
      <c r="E1435" s="1" t="s">
        <v>31</v>
      </c>
      <c r="F1435" s="1">
        <v>4</v>
      </c>
      <c r="G1435" s="1" t="s">
        <v>32</v>
      </c>
      <c r="H1435" s="1" t="s">
        <v>47</v>
      </c>
      <c r="I1435" s="1">
        <v>169000</v>
      </c>
      <c r="J1435" s="1">
        <v>154000</v>
      </c>
      <c r="K1435" s="1">
        <v>15000</v>
      </c>
      <c r="L1435" s="1">
        <v>0</v>
      </c>
      <c r="M1435" s="1" t="s">
        <v>34</v>
      </c>
      <c r="N1435" s="1" t="s">
        <v>35</v>
      </c>
      <c r="O1435" s="1" t="s">
        <v>78</v>
      </c>
      <c r="P1435" s="1" t="s">
        <v>79</v>
      </c>
      <c r="Q1435" s="1" t="s">
        <v>38</v>
      </c>
      <c r="R1435" s="1" t="s">
        <v>2432</v>
      </c>
      <c r="S1435" s="3">
        <v>919115000000</v>
      </c>
      <c r="T1435" s="1" t="s">
        <v>86</v>
      </c>
      <c r="U1435" s="1">
        <v>78</v>
      </c>
      <c r="V1435" s="1">
        <v>81</v>
      </c>
      <c r="W1435" s="1" t="s">
        <v>52</v>
      </c>
      <c r="X1435" s="1">
        <v>727858</v>
      </c>
      <c r="Y1435" s="2">
        <v>38456</v>
      </c>
      <c r="Z1435" s="1">
        <v>3.1789737171464298</v>
      </c>
      <c r="AA1435" s="1">
        <v>19</v>
      </c>
      <c r="AB1435" s="1">
        <v>676000</v>
      </c>
      <c r="AC1435" s="1">
        <f t="shared" si="22"/>
        <v>736000</v>
      </c>
    </row>
    <row r="1436" spans="1:29" x14ac:dyDescent="0.25">
      <c r="A1436" s="1" t="s">
        <v>2447</v>
      </c>
      <c r="B1436" s="1" t="s">
        <v>2448</v>
      </c>
      <c r="C1436" s="1" t="s">
        <v>2449</v>
      </c>
      <c r="D1436" s="1">
        <v>2023</v>
      </c>
      <c r="E1436" s="1" t="s">
        <v>45</v>
      </c>
      <c r="F1436" s="1">
        <v>2</v>
      </c>
      <c r="G1436" s="1" t="s">
        <v>46</v>
      </c>
      <c r="H1436" s="1" t="s">
        <v>90</v>
      </c>
      <c r="I1436" s="1">
        <v>92000</v>
      </c>
      <c r="J1436" s="1">
        <v>77000</v>
      </c>
      <c r="K1436" s="1">
        <v>15000</v>
      </c>
      <c r="L1436" s="1">
        <v>0</v>
      </c>
      <c r="M1436" s="1" t="s">
        <v>34</v>
      </c>
      <c r="N1436" s="1" t="s">
        <v>63</v>
      </c>
      <c r="O1436" s="1" t="s">
        <v>64</v>
      </c>
      <c r="P1436" s="1" t="s">
        <v>65</v>
      </c>
      <c r="Q1436" s="1" t="s">
        <v>38</v>
      </c>
      <c r="R1436" s="1" t="s">
        <v>2450</v>
      </c>
      <c r="S1436" s="3">
        <v>919178000000</v>
      </c>
      <c r="T1436" s="1" t="s">
        <v>74</v>
      </c>
      <c r="U1436" s="1">
        <v>78</v>
      </c>
      <c r="V1436" s="1">
        <v>63</v>
      </c>
      <c r="W1436" s="1" t="s">
        <v>52</v>
      </c>
      <c r="X1436" s="1">
        <v>145126</v>
      </c>
      <c r="Y1436" s="2">
        <v>35294</v>
      </c>
      <c r="Z1436" s="1">
        <v>3.1789737171464298</v>
      </c>
      <c r="AA1436" s="1">
        <v>27</v>
      </c>
      <c r="AB1436" s="1">
        <v>184000</v>
      </c>
      <c r="AC1436" s="1">
        <f t="shared" si="22"/>
        <v>214000</v>
      </c>
    </row>
    <row r="1437" spans="1:29" x14ac:dyDescent="0.25">
      <c r="A1437" s="1" t="s">
        <v>2455</v>
      </c>
      <c r="B1437" s="1" t="s">
        <v>2456</v>
      </c>
      <c r="C1437" s="1" t="s">
        <v>2457</v>
      </c>
      <c r="D1437" s="1">
        <v>2023</v>
      </c>
      <c r="E1437" s="1" t="s">
        <v>45</v>
      </c>
      <c r="F1437" s="1">
        <v>2</v>
      </c>
      <c r="G1437" s="1" t="s">
        <v>46</v>
      </c>
      <c r="H1437" s="1" t="s">
        <v>47</v>
      </c>
      <c r="I1437" s="1">
        <v>92000</v>
      </c>
      <c r="J1437" s="1">
        <v>77000</v>
      </c>
      <c r="K1437" s="1">
        <v>15000</v>
      </c>
      <c r="L1437" s="1">
        <v>0</v>
      </c>
      <c r="M1437" s="1" t="s">
        <v>34</v>
      </c>
      <c r="N1437" s="1" t="s">
        <v>70</v>
      </c>
      <c r="O1437" s="1" t="s">
        <v>57</v>
      </c>
      <c r="P1437" s="1" t="s">
        <v>57</v>
      </c>
      <c r="Q1437" s="1" t="s">
        <v>38</v>
      </c>
      <c r="R1437" s="1" t="s">
        <v>2458</v>
      </c>
      <c r="S1437" s="3">
        <v>918609000000</v>
      </c>
      <c r="T1437" s="1" t="s">
        <v>98</v>
      </c>
      <c r="U1437" s="1">
        <v>78</v>
      </c>
      <c r="V1437" s="1">
        <v>67</v>
      </c>
      <c r="W1437" s="1" t="s">
        <v>52</v>
      </c>
      <c r="X1437" s="1">
        <v>787815</v>
      </c>
      <c r="Y1437" s="2">
        <v>37148</v>
      </c>
      <c r="Z1437" s="1">
        <v>3.1789737171464298</v>
      </c>
      <c r="AA1437" s="1">
        <v>22</v>
      </c>
      <c r="AB1437" s="1">
        <v>184000</v>
      </c>
      <c r="AC1437" s="1">
        <f t="shared" si="22"/>
        <v>214000</v>
      </c>
    </row>
    <row r="1438" spans="1:29" x14ac:dyDescent="0.25">
      <c r="A1438" s="1" t="s">
        <v>2469</v>
      </c>
      <c r="B1438" s="1" t="s">
        <v>2470</v>
      </c>
      <c r="C1438" s="1" t="s">
        <v>2471</v>
      </c>
      <c r="D1438" s="1">
        <v>2023</v>
      </c>
      <c r="E1438" s="1" t="s">
        <v>31</v>
      </c>
      <c r="F1438" s="1">
        <v>4</v>
      </c>
      <c r="G1438" s="1" t="s">
        <v>32</v>
      </c>
      <c r="H1438" s="1" t="s">
        <v>47</v>
      </c>
      <c r="I1438" s="1">
        <v>169000</v>
      </c>
      <c r="J1438" s="1">
        <v>154000</v>
      </c>
      <c r="K1438" s="1">
        <v>15000</v>
      </c>
      <c r="L1438" s="1">
        <v>0</v>
      </c>
      <c r="M1438" s="1" t="s">
        <v>34</v>
      </c>
      <c r="N1438" s="1" t="s">
        <v>63</v>
      </c>
      <c r="O1438" s="1" t="s">
        <v>57</v>
      </c>
      <c r="P1438" s="1" t="s">
        <v>57</v>
      </c>
      <c r="Q1438" s="1" t="s">
        <v>38</v>
      </c>
      <c r="R1438" s="1" t="s">
        <v>2472</v>
      </c>
      <c r="S1438" s="3">
        <v>918688000000</v>
      </c>
      <c r="T1438" s="1" t="s">
        <v>51</v>
      </c>
      <c r="U1438" s="1">
        <v>78</v>
      </c>
      <c r="V1438" s="1">
        <v>72</v>
      </c>
      <c r="W1438" s="1" t="s">
        <v>41</v>
      </c>
      <c r="X1438" s="1">
        <v>581063</v>
      </c>
      <c r="Y1438" s="2">
        <v>38326</v>
      </c>
      <c r="Z1438" s="1">
        <v>3.1789737171464298</v>
      </c>
      <c r="AA1438" s="1">
        <v>19</v>
      </c>
      <c r="AB1438" s="1">
        <v>676000</v>
      </c>
      <c r="AC1438" s="1">
        <f t="shared" si="22"/>
        <v>736000</v>
      </c>
    </row>
    <row r="1439" spans="1:29" x14ac:dyDescent="0.25">
      <c r="A1439" s="1" t="s">
        <v>2516</v>
      </c>
      <c r="B1439" s="1" t="s">
        <v>2517</v>
      </c>
      <c r="C1439" s="1" t="s">
        <v>2518</v>
      </c>
      <c r="D1439" s="1">
        <v>2023</v>
      </c>
      <c r="E1439" s="1" t="s">
        <v>31</v>
      </c>
      <c r="F1439" s="1">
        <v>4</v>
      </c>
      <c r="G1439" s="1" t="s">
        <v>32</v>
      </c>
      <c r="H1439" s="1" t="s">
        <v>90</v>
      </c>
      <c r="I1439" s="1">
        <v>169000</v>
      </c>
      <c r="J1439" s="1">
        <v>154000</v>
      </c>
      <c r="K1439" s="1">
        <v>15000</v>
      </c>
      <c r="L1439" s="1">
        <v>0</v>
      </c>
      <c r="M1439" s="1" t="s">
        <v>34</v>
      </c>
      <c r="N1439" s="1" t="s">
        <v>70</v>
      </c>
      <c r="O1439" s="1" t="s">
        <v>48</v>
      </c>
      <c r="P1439" s="1" t="s">
        <v>49</v>
      </c>
      <c r="Q1439" s="1" t="s">
        <v>38</v>
      </c>
      <c r="R1439" s="1" t="s">
        <v>2519</v>
      </c>
      <c r="S1439" s="3">
        <v>917939000000</v>
      </c>
      <c r="T1439" s="1" t="s">
        <v>86</v>
      </c>
      <c r="U1439" s="1">
        <v>78</v>
      </c>
      <c r="V1439" s="1">
        <v>92</v>
      </c>
      <c r="W1439" s="1" t="s">
        <v>52</v>
      </c>
      <c r="X1439" s="1">
        <v>775739</v>
      </c>
      <c r="Y1439" s="2">
        <v>38029</v>
      </c>
      <c r="Z1439" s="1">
        <v>3.1789737171464298</v>
      </c>
      <c r="AA1439" s="1">
        <v>20</v>
      </c>
      <c r="AB1439" s="1">
        <v>676000</v>
      </c>
      <c r="AC1439" s="1">
        <f t="shared" si="22"/>
        <v>736000</v>
      </c>
    </row>
    <row r="1440" spans="1:29" x14ac:dyDescent="0.25">
      <c r="A1440" s="1" t="s">
        <v>2530</v>
      </c>
      <c r="B1440" s="1" t="s">
        <v>2531</v>
      </c>
      <c r="C1440" s="1" t="s">
        <v>2532</v>
      </c>
      <c r="D1440" s="1">
        <v>2023</v>
      </c>
      <c r="E1440" s="1" t="s">
        <v>45</v>
      </c>
      <c r="F1440" s="1">
        <v>2</v>
      </c>
      <c r="G1440" s="1" t="s">
        <v>46</v>
      </c>
      <c r="H1440" s="1" t="s">
        <v>90</v>
      </c>
      <c r="I1440" s="1">
        <v>92000</v>
      </c>
      <c r="J1440" s="1">
        <v>77000</v>
      </c>
      <c r="K1440" s="1">
        <v>15000</v>
      </c>
      <c r="L1440" s="1">
        <v>0</v>
      </c>
      <c r="M1440" s="1" t="s">
        <v>34</v>
      </c>
      <c r="N1440" s="1" t="s">
        <v>63</v>
      </c>
      <c r="O1440" s="1" t="s">
        <v>64</v>
      </c>
      <c r="P1440" s="1" t="s">
        <v>65</v>
      </c>
      <c r="Q1440" s="1" t="s">
        <v>38</v>
      </c>
      <c r="R1440" s="1" t="s">
        <v>2533</v>
      </c>
      <c r="S1440" s="3">
        <v>919485000000</v>
      </c>
      <c r="T1440" s="1" t="s">
        <v>98</v>
      </c>
      <c r="U1440" s="1">
        <v>77</v>
      </c>
      <c r="V1440" s="1">
        <v>71</v>
      </c>
      <c r="W1440" s="1" t="s">
        <v>52</v>
      </c>
      <c r="X1440" s="1">
        <v>577387</v>
      </c>
      <c r="Y1440" s="2">
        <v>36442</v>
      </c>
      <c r="Z1440" s="1">
        <v>2.1789737171464298</v>
      </c>
      <c r="AA1440" s="1">
        <v>24</v>
      </c>
      <c r="AB1440" s="1">
        <v>184000</v>
      </c>
      <c r="AC1440" s="1">
        <f t="shared" si="22"/>
        <v>214000</v>
      </c>
    </row>
    <row r="1441" spans="1:29" x14ac:dyDescent="0.25">
      <c r="A1441" s="1" t="s">
        <v>2538</v>
      </c>
      <c r="B1441" s="1" t="s">
        <v>2539</v>
      </c>
      <c r="C1441" s="1" t="s">
        <v>2540</v>
      </c>
      <c r="D1441" s="1">
        <v>2023</v>
      </c>
      <c r="E1441" s="1" t="s">
        <v>31</v>
      </c>
      <c r="F1441" s="1">
        <v>4</v>
      </c>
      <c r="G1441" s="1" t="s">
        <v>32</v>
      </c>
      <c r="H1441" s="1" t="s">
        <v>47</v>
      </c>
      <c r="I1441" s="1">
        <v>169000</v>
      </c>
      <c r="J1441" s="1">
        <v>154000</v>
      </c>
      <c r="K1441" s="1">
        <v>15000</v>
      </c>
      <c r="L1441" s="1">
        <v>0</v>
      </c>
      <c r="M1441" s="1" t="s">
        <v>34</v>
      </c>
      <c r="N1441" s="1" t="s">
        <v>70</v>
      </c>
      <c r="O1441" s="1" t="s">
        <v>188</v>
      </c>
      <c r="P1441" s="1" t="s">
        <v>189</v>
      </c>
      <c r="Q1441" s="1" t="s">
        <v>38</v>
      </c>
      <c r="R1441" s="1" t="s">
        <v>2541</v>
      </c>
      <c r="S1441" s="3">
        <v>917667000000</v>
      </c>
      <c r="T1441" s="1" t="s">
        <v>86</v>
      </c>
      <c r="U1441" s="1">
        <v>77</v>
      </c>
      <c r="V1441" s="1">
        <v>81</v>
      </c>
      <c r="W1441" s="1" t="s">
        <v>41</v>
      </c>
      <c r="X1441" s="1">
        <v>320488</v>
      </c>
      <c r="Y1441" s="2">
        <v>38885</v>
      </c>
      <c r="Z1441" s="1">
        <v>2.1789737171464298</v>
      </c>
      <c r="AA1441" s="1">
        <v>18</v>
      </c>
      <c r="AB1441" s="1">
        <v>676000</v>
      </c>
      <c r="AC1441" s="1">
        <f t="shared" si="22"/>
        <v>736000</v>
      </c>
    </row>
    <row r="1442" spans="1:29" x14ac:dyDescent="0.25">
      <c r="A1442" s="1" t="s">
        <v>2562</v>
      </c>
      <c r="B1442" s="1" t="s">
        <v>2563</v>
      </c>
      <c r="C1442" s="1" t="s">
        <v>2564</v>
      </c>
      <c r="D1442" s="1">
        <v>2023</v>
      </c>
      <c r="E1442" s="1" t="s">
        <v>31</v>
      </c>
      <c r="F1442" s="1">
        <v>4</v>
      </c>
      <c r="G1442" s="1" t="s">
        <v>32</v>
      </c>
      <c r="H1442" s="1" t="s">
        <v>62</v>
      </c>
      <c r="I1442" s="1">
        <v>169000</v>
      </c>
      <c r="J1442" s="1">
        <v>154000</v>
      </c>
      <c r="K1442" s="1">
        <v>15000</v>
      </c>
      <c r="L1442" s="1">
        <v>0</v>
      </c>
      <c r="M1442" s="1" t="s">
        <v>34</v>
      </c>
      <c r="N1442" s="1" t="s">
        <v>35</v>
      </c>
      <c r="O1442" s="1" t="s">
        <v>57</v>
      </c>
      <c r="P1442" s="1" t="s">
        <v>57</v>
      </c>
      <c r="Q1442" s="1" t="s">
        <v>38</v>
      </c>
      <c r="R1442" s="1" t="s">
        <v>2565</v>
      </c>
      <c r="S1442" s="3">
        <v>917360000000</v>
      </c>
      <c r="T1442" s="1" t="s">
        <v>51</v>
      </c>
      <c r="U1442" s="1">
        <v>77</v>
      </c>
      <c r="V1442" s="1">
        <v>74</v>
      </c>
      <c r="W1442" s="1" t="s">
        <v>41</v>
      </c>
      <c r="X1442" s="1">
        <v>428674</v>
      </c>
      <c r="Y1442" s="2">
        <v>37070</v>
      </c>
      <c r="Z1442" s="1">
        <v>2.1789737171464298</v>
      </c>
      <c r="AA1442" s="1">
        <v>23</v>
      </c>
      <c r="AB1442" s="1">
        <v>676000</v>
      </c>
      <c r="AC1442" s="1">
        <f t="shared" si="22"/>
        <v>736000</v>
      </c>
    </row>
    <row r="1443" spans="1:29" x14ac:dyDescent="0.25">
      <c r="A1443" s="1" t="s">
        <v>2576</v>
      </c>
      <c r="B1443" s="1" t="s">
        <v>2577</v>
      </c>
      <c r="C1443" s="1" t="s">
        <v>2578</v>
      </c>
      <c r="D1443" s="1">
        <v>2023</v>
      </c>
      <c r="E1443" s="1" t="s">
        <v>31</v>
      </c>
      <c r="F1443" s="1">
        <v>4</v>
      </c>
      <c r="G1443" s="1" t="s">
        <v>32</v>
      </c>
      <c r="H1443" s="1" t="s">
        <v>90</v>
      </c>
      <c r="I1443" s="1">
        <v>169000</v>
      </c>
      <c r="J1443" s="1">
        <v>154000</v>
      </c>
      <c r="K1443" s="1">
        <v>15000</v>
      </c>
      <c r="L1443" s="1">
        <v>0</v>
      </c>
      <c r="M1443" s="1" t="s">
        <v>34</v>
      </c>
      <c r="N1443" s="1" t="s">
        <v>63</v>
      </c>
      <c r="O1443" s="1" t="s">
        <v>103</v>
      </c>
      <c r="P1443" s="1" t="s">
        <v>104</v>
      </c>
      <c r="Q1443" s="1" t="s">
        <v>38</v>
      </c>
      <c r="R1443" s="1" t="s">
        <v>2579</v>
      </c>
      <c r="S1443" s="3">
        <v>917363000000</v>
      </c>
      <c r="T1443" s="1" t="s">
        <v>86</v>
      </c>
      <c r="U1443" s="1">
        <v>77</v>
      </c>
      <c r="V1443" s="1">
        <v>73</v>
      </c>
      <c r="W1443" s="1" t="s">
        <v>52</v>
      </c>
      <c r="X1443" s="1">
        <v>220377</v>
      </c>
      <c r="Y1443" s="2">
        <v>37309</v>
      </c>
      <c r="Z1443" s="1">
        <v>2.1789737171464298</v>
      </c>
      <c r="AA1443" s="1">
        <v>22</v>
      </c>
      <c r="AB1443" s="1">
        <v>676000</v>
      </c>
      <c r="AC1443" s="1">
        <f t="shared" si="22"/>
        <v>736000</v>
      </c>
    </row>
    <row r="1444" spans="1:29" x14ac:dyDescent="0.25">
      <c r="A1444" s="1" t="s">
        <v>2592</v>
      </c>
      <c r="B1444" s="1" t="s">
        <v>2593</v>
      </c>
      <c r="C1444" s="1" t="s">
        <v>2594</v>
      </c>
      <c r="D1444" s="1">
        <v>2023</v>
      </c>
      <c r="E1444" s="1" t="s">
        <v>31</v>
      </c>
      <c r="F1444" s="1">
        <v>4</v>
      </c>
      <c r="G1444" s="1" t="s">
        <v>32</v>
      </c>
      <c r="H1444" s="1" t="s">
        <v>90</v>
      </c>
      <c r="I1444" s="1">
        <v>169000</v>
      </c>
      <c r="J1444" s="1">
        <v>154000</v>
      </c>
      <c r="K1444" s="1">
        <v>15000</v>
      </c>
      <c r="L1444" s="1">
        <v>0</v>
      </c>
      <c r="M1444" s="1" t="s">
        <v>34</v>
      </c>
      <c r="N1444" s="1" t="s">
        <v>63</v>
      </c>
      <c r="O1444" s="1" t="s">
        <v>84</v>
      </c>
      <c r="P1444" s="1" t="s">
        <v>65</v>
      </c>
      <c r="Q1444" s="1" t="s">
        <v>38</v>
      </c>
      <c r="R1444" s="1" t="s">
        <v>2595</v>
      </c>
      <c r="S1444" s="3">
        <v>917659000000</v>
      </c>
      <c r="T1444" s="1" t="s">
        <v>51</v>
      </c>
      <c r="U1444" s="1">
        <v>77</v>
      </c>
      <c r="V1444" s="1">
        <v>89</v>
      </c>
      <c r="W1444" s="1" t="s">
        <v>52</v>
      </c>
      <c r="X1444" s="1">
        <v>313011</v>
      </c>
      <c r="Y1444" s="2">
        <v>38511</v>
      </c>
      <c r="Z1444" s="1">
        <v>2.1789737171464298</v>
      </c>
      <c r="AA1444" s="1">
        <v>19</v>
      </c>
      <c r="AB1444" s="1">
        <v>676000</v>
      </c>
      <c r="AC1444" s="1">
        <f t="shared" si="22"/>
        <v>736000</v>
      </c>
    </row>
    <row r="1445" spans="1:29" x14ac:dyDescent="0.25">
      <c r="A1445" s="1" t="s">
        <v>2608</v>
      </c>
      <c r="B1445" s="1" t="s">
        <v>2517</v>
      </c>
      <c r="C1445" s="1" t="s">
        <v>2518</v>
      </c>
      <c r="D1445" s="1">
        <v>2023</v>
      </c>
      <c r="E1445" s="1" t="s">
        <v>45</v>
      </c>
      <c r="F1445" s="1">
        <v>2</v>
      </c>
      <c r="G1445" s="1" t="s">
        <v>46</v>
      </c>
      <c r="H1445" s="1" t="s">
        <v>47</v>
      </c>
      <c r="I1445" s="1">
        <v>92000</v>
      </c>
      <c r="J1445" s="1">
        <v>77000</v>
      </c>
      <c r="K1445" s="1">
        <v>15000</v>
      </c>
      <c r="L1445" s="1">
        <v>0</v>
      </c>
      <c r="M1445" s="1" t="s">
        <v>34</v>
      </c>
      <c r="N1445" s="1" t="s">
        <v>70</v>
      </c>
      <c r="O1445" s="1" t="s">
        <v>48</v>
      </c>
      <c r="P1445" s="1" t="s">
        <v>49</v>
      </c>
      <c r="Q1445" s="1" t="s">
        <v>38</v>
      </c>
      <c r="R1445" s="1" t="s">
        <v>2609</v>
      </c>
      <c r="S1445" s="3">
        <v>917164000000</v>
      </c>
      <c r="T1445" s="1" t="s">
        <v>86</v>
      </c>
      <c r="U1445" s="1">
        <v>77</v>
      </c>
      <c r="V1445" s="1">
        <v>80</v>
      </c>
      <c r="W1445" s="1" t="s">
        <v>52</v>
      </c>
      <c r="X1445" s="1">
        <v>633515</v>
      </c>
      <c r="Y1445" s="2">
        <v>35486</v>
      </c>
      <c r="Z1445" s="1">
        <v>2.1789737171464298</v>
      </c>
      <c r="AA1445" s="1">
        <v>27</v>
      </c>
      <c r="AB1445" s="1">
        <v>184000</v>
      </c>
      <c r="AC1445" s="1">
        <f t="shared" si="22"/>
        <v>214000</v>
      </c>
    </row>
    <row r="1446" spans="1:29" x14ac:dyDescent="0.25">
      <c r="A1446" s="1" t="s">
        <v>2614</v>
      </c>
      <c r="B1446" s="1" t="s">
        <v>2615</v>
      </c>
      <c r="C1446" s="1" t="s">
        <v>2616</v>
      </c>
      <c r="D1446" s="1">
        <v>2023</v>
      </c>
      <c r="E1446" s="1" t="s">
        <v>31</v>
      </c>
      <c r="F1446" s="1">
        <v>4</v>
      </c>
      <c r="G1446" s="1" t="s">
        <v>32</v>
      </c>
      <c r="H1446" s="1" t="s">
        <v>210</v>
      </c>
      <c r="I1446" s="1">
        <v>169000</v>
      </c>
      <c r="J1446" s="1">
        <v>154000</v>
      </c>
      <c r="K1446" s="1">
        <v>15000</v>
      </c>
      <c r="L1446" s="1">
        <v>0</v>
      </c>
      <c r="M1446" s="1" t="s">
        <v>34</v>
      </c>
      <c r="N1446" s="1" t="s">
        <v>35</v>
      </c>
      <c r="O1446" s="1" t="s">
        <v>84</v>
      </c>
      <c r="P1446" s="1" t="s">
        <v>65</v>
      </c>
      <c r="Q1446" s="1" t="s">
        <v>38</v>
      </c>
      <c r="R1446" s="1" t="s">
        <v>2617</v>
      </c>
      <c r="S1446" s="3">
        <v>919038000000</v>
      </c>
      <c r="T1446" s="1" t="s">
        <v>40</v>
      </c>
      <c r="U1446" s="1">
        <v>77</v>
      </c>
      <c r="V1446" s="1">
        <v>62</v>
      </c>
      <c r="W1446" s="1" t="s">
        <v>52</v>
      </c>
      <c r="X1446" s="1">
        <v>714242</v>
      </c>
      <c r="Y1446" s="2">
        <v>36870</v>
      </c>
      <c r="Z1446" s="1">
        <v>2.1789737171464298</v>
      </c>
      <c r="AA1446" s="1">
        <v>23</v>
      </c>
      <c r="AB1446" s="1">
        <v>676000</v>
      </c>
      <c r="AC1446" s="1">
        <f t="shared" si="22"/>
        <v>736000</v>
      </c>
    </row>
    <row r="1447" spans="1:29" x14ac:dyDescent="0.25">
      <c r="A1447" s="1" t="s">
        <v>173</v>
      </c>
      <c r="B1447" s="1" t="s">
        <v>2650</v>
      </c>
      <c r="C1447" s="1" t="s">
        <v>2651</v>
      </c>
      <c r="D1447" s="1">
        <v>2023</v>
      </c>
      <c r="E1447" s="1" t="s">
        <v>45</v>
      </c>
      <c r="F1447" s="1">
        <v>2</v>
      </c>
      <c r="G1447" s="1" t="s">
        <v>46</v>
      </c>
      <c r="H1447" s="1" t="s">
        <v>33</v>
      </c>
      <c r="I1447" s="1">
        <v>92000</v>
      </c>
      <c r="J1447" s="1">
        <v>77000</v>
      </c>
      <c r="K1447" s="1">
        <v>15000</v>
      </c>
      <c r="L1447" s="1">
        <v>0</v>
      </c>
      <c r="M1447" s="1" t="s">
        <v>34</v>
      </c>
      <c r="N1447" s="1" t="s">
        <v>70</v>
      </c>
      <c r="O1447" s="1" t="s">
        <v>91</v>
      </c>
      <c r="P1447" s="1" t="s">
        <v>92</v>
      </c>
      <c r="Q1447" s="1" t="s">
        <v>38</v>
      </c>
      <c r="R1447" s="1" t="s">
        <v>2652</v>
      </c>
      <c r="S1447" s="3">
        <v>918547000000</v>
      </c>
      <c r="T1447" s="1" t="s">
        <v>51</v>
      </c>
      <c r="U1447" s="1">
        <v>77</v>
      </c>
      <c r="V1447" s="1">
        <v>84</v>
      </c>
      <c r="W1447" s="1" t="s">
        <v>41</v>
      </c>
      <c r="X1447" s="1">
        <v>371182</v>
      </c>
      <c r="Y1447" s="2">
        <v>36650</v>
      </c>
      <c r="Z1447" s="1">
        <v>2.1789737171464298</v>
      </c>
      <c r="AA1447" s="1">
        <v>24</v>
      </c>
      <c r="AB1447" s="1">
        <v>184000</v>
      </c>
      <c r="AC1447" s="1">
        <f t="shared" si="22"/>
        <v>214000</v>
      </c>
    </row>
    <row r="1448" spans="1:29" x14ac:dyDescent="0.25">
      <c r="A1448" s="1" t="s">
        <v>2681</v>
      </c>
      <c r="B1448" s="1" t="s">
        <v>2682</v>
      </c>
      <c r="C1448" s="1" t="s">
        <v>2683</v>
      </c>
      <c r="D1448" s="1">
        <v>2023</v>
      </c>
      <c r="E1448" s="1" t="s">
        <v>45</v>
      </c>
      <c r="F1448" s="1">
        <v>2</v>
      </c>
      <c r="G1448" s="1" t="s">
        <v>46</v>
      </c>
      <c r="H1448" s="1" t="s">
        <v>62</v>
      </c>
      <c r="I1448" s="1">
        <v>92000</v>
      </c>
      <c r="J1448" s="1">
        <v>77000</v>
      </c>
      <c r="K1448" s="1">
        <v>15000</v>
      </c>
      <c r="L1448" s="1">
        <v>0</v>
      </c>
      <c r="M1448" s="1" t="s">
        <v>34</v>
      </c>
      <c r="N1448" s="1" t="s">
        <v>35</v>
      </c>
      <c r="O1448" s="1" t="s">
        <v>188</v>
      </c>
      <c r="P1448" s="1" t="s">
        <v>189</v>
      </c>
      <c r="Q1448" s="1" t="s">
        <v>38</v>
      </c>
      <c r="R1448" s="1" t="s">
        <v>2684</v>
      </c>
      <c r="S1448" s="3">
        <v>917383000000</v>
      </c>
      <c r="T1448" s="1" t="s">
        <v>40</v>
      </c>
      <c r="U1448" s="1">
        <v>77</v>
      </c>
      <c r="V1448" s="1">
        <v>61</v>
      </c>
      <c r="W1448" s="1" t="s">
        <v>52</v>
      </c>
      <c r="X1448" s="1">
        <v>207054</v>
      </c>
      <c r="Y1448" s="2">
        <v>37277</v>
      </c>
      <c r="Z1448" s="1">
        <v>2.1789737171464298</v>
      </c>
      <c r="AA1448" s="1">
        <v>22</v>
      </c>
      <c r="AB1448" s="1">
        <v>184000</v>
      </c>
      <c r="AC1448" s="1">
        <f t="shared" si="22"/>
        <v>214000</v>
      </c>
    </row>
    <row r="1449" spans="1:29" x14ac:dyDescent="0.25">
      <c r="A1449" s="1" t="s">
        <v>2727</v>
      </c>
      <c r="B1449" s="1" t="s">
        <v>2728</v>
      </c>
      <c r="C1449" s="1" t="s">
        <v>2729</v>
      </c>
      <c r="D1449" s="1">
        <v>2023</v>
      </c>
      <c r="E1449" s="1" t="s">
        <v>45</v>
      </c>
      <c r="F1449" s="1">
        <v>2</v>
      </c>
      <c r="G1449" s="1" t="s">
        <v>46</v>
      </c>
      <c r="H1449" s="1" t="s">
        <v>62</v>
      </c>
      <c r="I1449" s="1">
        <v>92000</v>
      </c>
      <c r="J1449" s="1">
        <v>77000</v>
      </c>
      <c r="K1449" s="1">
        <v>15000</v>
      </c>
      <c r="L1449" s="1">
        <v>0</v>
      </c>
      <c r="M1449" s="1" t="s">
        <v>34</v>
      </c>
      <c r="N1449" s="1" t="s">
        <v>63</v>
      </c>
      <c r="O1449" s="1" t="s">
        <v>78</v>
      </c>
      <c r="P1449" s="1" t="s">
        <v>79</v>
      </c>
      <c r="Q1449" s="1" t="s">
        <v>38</v>
      </c>
      <c r="R1449" s="1" t="s">
        <v>2730</v>
      </c>
      <c r="S1449" s="3">
        <v>918211000000</v>
      </c>
      <c r="T1449" s="1" t="s">
        <v>98</v>
      </c>
      <c r="U1449" s="1">
        <v>76</v>
      </c>
      <c r="V1449" s="1">
        <v>68</v>
      </c>
      <c r="W1449" s="1" t="s">
        <v>52</v>
      </c>
      <c r="X1449" s="1">
        <v>765257</v>
      </c>
      <c r="Y1449" s="2">
        <v>36319</v>
      </c>
      <c r="Z1449" s="1">
        <v>1.1789737171464301</v>
      </c>
      <c r="AA1449" s="1">
        <v>25</v>
      </c>
      <c r="AB1449" s="1">
        <v>184000</v>
      </c>
      <c r="AC1449" s="1">
        <f t="shared" si="22"/>
        <v>214000</v>
      </c>
    </row>
    <row r="1450" spans="1:29" x14ac:dyDescent="0.25">
      <c r="A1450" s="1" t="s">
        <v>2735</v>
      </c>
      <c r="B1450" s="1" t="s">
        <v>2736</v>
      </c>
      <c r="C1450" s="1" t="s">
        <v>2737</v>
      </c>
      <c r="D1450" s="1">
        <v>2023</v>
      </c>
      <c r="E1450" s="1" t="s">
        <v>31</v>
      </c>
      <c r="F1450" s="1">
        <v>4</v>
      </c>
      <c r="G1450" s="1" t="s">
        <v>32</v>
      </c>
      <c r="H1450" s="1" t="s">
        <v>90</v>
      </c>
      <c r="I1450" s="1">
        <v>169000</v>
      </c>
      <c r="J1450" s="1">
        <v>154000</v>
      </c>
      <c r="K1450" s="1">
        <v>15000</v>
      </c>
      <c r="L1450" s="1">
        <v>0</v>
      </c>
      <c r="M1450" s="1" t="s">
        <v>34</v>
      </c>
      <c r="N1450" s="1" t="s">
        <v>63</v>
      </c>
      <c r="O1450" s="1" t="s">
        <v>188</v>
      </c>
      <c r="P1450" s="1" t="s">
        <v>189</v>
      </c>
      <c r="Q1450" s="1" t="s">
        <v>38</v>
      </c>
      <c r="R1450" s="1" t="s">
        <v>2738</v>
      </c>
      <c r="S1450" s="3">
        <v>918943000000</v>
      </c>
      <c r="T1450" s="1" t="s">
        <v>51</v>
      </c>
      <c r="U1450" s="1">
        <v>76</v>
      </c>
      <c r="V1450" s="1">
        <v>77</v>
      </c>
      <c r="W1450" s="1" t="s">
        <v>52</v>
      </c>
      <c r="X1450" s="1">
        <v>437476</v>
      </c>
      <c r="Y1450" s="2">
        <v>36745</v>
      </c>
      <c r="Z1450" s="1">
        <v>1.1789737171464301</v>
      </c>
      <c r="AA1450" s="1">
        <v>23</v>
      </c>
      <c r="AB1450" s="1">
        <v>676000</v>
      </c>
      <c r="AC1450" s="1">
        <f t="shared" si="22"/>
        <v>736000</v>
      </c>
    </row>
    <row r="1451" spans="1:29" x14ac:dyDescent="0.25">
      <c r="A1451" s="1" t="s">
        <v>2776</v>
      </c>
      <c r="B1451" s="1" t="s">
        <v>823</v>
      </c>
      <c r="C1451" s="1" t="s">
        <v>824</v>
      </c>
      <c r="D1451" s="1">
        <v>2023</v>
      </c>
      <c r="E1451" s="1" t="s">
        <v>31</v>
      </c>
      <c r="F1451" s="1">
        <v>4</v>
      </c>
      <c r="G1451" s="1" t="s">
        <v>32</v>
      </c>
      <c r="H1451" s="1" t="s">
        <v>62</v>
      </c>
      <c r="I1451" s="1">
        <v>169000</v>
      </c>
      <c r="J1451" s="1">
        <v>154000</v>
      </c>
      <c r="K1451" s="1">
        <v>15000</v>
      </c>
      <c r="L1451" s="1">
        <v>0</v>
      </c>
      <c r="M1451" s="1" t="s">
        <v>34</v>
      </c>
      <c r="N1451" s="1" t="s">
        <v>63</v>
      </c>
      <c r="O1451" s="1" t="s">
        <v>103</v>
      </c>
      <c r="P1451" s="1" t="s">
        <v>104</v>
      </c>
      <c r="Q1451" s="1" t="s">
        <v>38</v>
      </c>
      <c r="R1451" s="1" t="s">
        <v>2777</v>
      </c>
      <c r="S1451" s="3">
        <v>918857000000</v>
      </c>
      <c r="T1451" s="1" t="s">
        <v>98</v>
      </c>
      <c r="U1451" s="1">
        <v>76</v>
      </c>
      <c r="V1451" s="1">
        <v>66</v>
      </c>
      <c r="W1451" s="1" t="s">
        <v>41</v>
      </c>
      <c r="X1451" s="1">
        <v>458373</v>
      </c>
      <c r="Y1451" s="2">
        <v>37233</v>
      </c>
      <c r="Z1451" s="1">
        <v>1.1789737171464301</v>
      </c>
      <c r="AA1451" s="1">
        <v>22</v>
      </c>
      <c r="AB1451" s="1">
        <v>676000</v>
      </c>
      <c r="AC1451" s="1">
        <f t="shared" si="22"/>
        <v>736000</v>
      </c>
    </row>
    <row r="1452" spans="1:29" x14ac:dyDescent="0.25">
      <c r="A1452" s="1" t="s">
        <v>2798</v>
      </c>
      <c r="B1452" s="1" t="s">
        <v>2799</v>
      </c>
      <c r="C1452" s="1" t="s">
        <v>2800</v>
      </c>
      <c r="D1452" s="1">
        <v>2023</v>
      </c>
      <c r="E1452" s="1" t="s">
        <v>31</v>
      </c>
      <c r="F1452" s="1">
        <v>4</v>
      </c>
      <c r="G1452" s="1" t="s">
        <v>32</v>
      </c>
      <c r="H1452" s="1" t="s">
        <v>102</v>
      </c>
      <c r="I1452" s="1">
        <v>169000</v>
      </c>
      <c r="J1452" s="1">
        <v>154000</v>
      </c>
      <c r="K1452" s="1">
        <v>15000</v>
      </c>
      <c r="L1452" s="1">
        <v>0</v>
      </c>
      <c r="M1452" s="1" t="s">
        <v>34</v>
      </c>
      <c r="N1452" s="1" t="s">
        <v>35</v>
      </c>
      <c r="O1452" s="1" t="s">
        <v>48</v>
      </c>
      <c r="P1452" s="1" t="s">
        <v>49</v>
      </c>
      <c r="Q1452" s="1" t="s">
        <v>38</v>
      </c>
      <c r="R1452" s="1" t="s">
        <v>2801</v>
      </c>
      <c r="S1452" s="3">
        <v>917662000000</v>
      </c>
      <c r="T1452" s="1" t="s">
        <v>51</v>
      </c>
      <c r="U1452" s="1">
        <v>76</v>
      </c>
      <c r="V1452" s="1">
        <v>73</v>
      </c>
      <c r="W1452" s="1" t="s">
        <v>41</v>
      </c>
      <c r="X1452" s="1">
        <v>404424</v>
      </c>
      <c r="Y1452" s="2">
        <v>37359</v>
      </c>
      <c r="Z1452" s="1">
        <v>1.1789737171464301</v>
      </c>
      <c r="AA1452" s="1">
        <v>22</v>
      </c>
      <c r="AB1452" s="1">
        <v>676000</v>
      </c>
      <c r="AC1452" s="1">
        <f t="shared" si="22"/>
        <v>736000</v>
      </c>
    </row>
    <row r="1453" spans="1:29" x14ac:dyDescent="0.25">
      <c r="A1453" s="1" t="s">
        <v>2846</v>
      </c>
      <c r="B1453" s="1" t="s">
        <v>2847</v>
      </c>
      <c r="C1453" s="1" t="s">
        <v>2848</v>
      </c>
      <c r="D1453" s="1">
        <v>2023</v>
      </c>
      <c r="E1453" s="1" t="s">
        <v>31</v>
      </c>
      <c r="F1453" s="1">
        <v>4</v>
      </c>
      <c r="G1453" s="1" t="s">
        <v>32</v>
      </c>
      <c r="H1453" s="1" t="s">
        <v>47</v>
      </c>
      <c r="I1453" s="1">
        <v>169000</v>
      </c>
      <c r="J1453" s="1">
        <v>154000</v>
      </c>
      <c r="K1453" s="1">
        <v>15000</v>
      </c>
      <c r="L1453" s="1">
        <v>0</v>
      </c>
      <c r="M1453" s="1" t="s">
        <v>34</v>
      </c>
      <c r="N1453" s="1" t="s">
        <v>63</v>
      </c>
      <c r="O1453" s="1" t="s">
        <v>188</v>
      </c>
      <c r="P1453" s="1" t="s">
        <v>189</v>
      </c>
      <c r="Q1453" s="1" t="s">
        <v>38</v>
      </c>
      <c r="R1453" s="1" t="s">
        <v>2849</v>
      </c>
      <c r="S1453" s="3">
        <v>919084000000</v>
      </c>
      <c r="T1453" s="1" t="s">
        <v>51</v>
      </c>
      <c r="U1453" s="1">
        <v>76</v>
      </c>
      <c r="V1453" s="1">
        <v>78</v>
      </c>
      <c r="W1453" s="1" t="s">
        <v>52</v>
      </c>
      <c r="X1453" s="1">
        <v>192460</v>
      </c>
      <c r="Y1453" s="2">
        <v>36924</v>
      </c>
      <c r="Z1453" s="1">
        <v>1.1789737171464301</v>
      </c>
      <c r="AA1453" s="1">
        <v>23</v>
      </c>
      <c r="AB1453" s="1">
        <v>676000</v>
      </c>
      <c r="AC1453" s="1">
        <f t="shared" si="22"/>
        <v>736000</v>
      </c>
    </row>
    <row r="1454" spans="1:29" x14ac:dyDescent="0.25">
      <c r="A1454" s="1" t="s">
        <v>2870</v>
      </c>
      <c r="B1454" s="1" t="s">
        <v>2871</v>
      </c>
      <c r="C1454" s="1" t="s">
        <v>2872</v>
      </c>
      <c r="D1454" s="1">
        <v>2023</v>
      </c>
      <c r="E1454" s="1" t="s">
        <v>31</v>
      </c>
      <c r="F1454" s="1">
        <v>4</v>
      </c>
      <c r="G1454" s="1" t="s">
        <v>32</v>
      </c>
      <c r="H1454" s="1" t="s">
        <v>102</v>
      </c>
      <c r="I1454" s="1">
        <v>169000</v>
      </c>
      <c r="J1454" s="1">
        <v>154000</v>
      </c>
      <c r="K1454" s="1">
        <v>15000</v>
      </c>
      <c r="L1454" s="1">
        <v>0</v>
      </c>
      <c r="M1454" s="1" t="s">
        <v>34</v>
      </c>
      <c r="N1454" s="1" t="s">
        <v>63</v>
      </c>
      <c r="O1454" s="1" t="s">
        <v>57</v>
      </c>
      <c r="P1454" s="1" t="s">
        <v>57</v>
      </c>
      <c r="Q1454" s="1" t="s">
        <v>38</v>
      </c>
      <c r="R1454" s="1" t="s">
        <v>2873</v>
      </c>
      <c r="S1454" s="3">
        <v>917537000000</v>
      </c>
      <c r="T1454" s="1" t="s">
        <v>51</v>
      </c>
      <c r="U1454" s="1">
        <v>76</v>
      </c>
      <c r="V1454" s="1">
        <v>71</v>
      </c>
      <c r="W1454" s="1" t="s">
        <v>52</v>
      </c>
      <c r="X1454" s="1">
        <v>184673</v>
      </c>
      <c r="Y1454" s="2">
        <v>36948</v>
      </c>
      <c r="Z1454" s="1">
        <v>1.1789737171464301</v>
      </c>
      <c r="AA1454" s="1">
        <v>23</v>
      </c>
      <c r="AB1454" s="1">
        <v>676000</v>
      </c>
      <c r="AC1454" s="1">
        <f t="shared" si="22"/>
        <v>736000</v>
      </c>
    </row>
    <row r="1455" spans="1:29" x14ac:dyDescent="0.25">
      <c r="A1455" s="1" t="s">
        <v>2874</v>
      </c>
      <c r="B1455" s="1" t="s">
        <v>2875</v>
      </c>
      <c r="C1455" s="1" t="s">
        <v>2876</v>
      </c>
      <c r="D1455" s="1">
        <v>2023</v>
      </c>
      <c r="E1455" s="1" t="s">
        <v>31</v>
      </c>
      <c r="F1455" s="1">
        <v>4</v>
      </c>
      <c r="G1455" s="1" t="s">
        <v>32</v>
      </c>
      <c r="H1455" s="1" t="s">
        <v>33</v>
      </c>
      <c r="I1455" s="1">
        <v>169000</v>
      </c>
      <c r="J1455" s="1">
        <v>154000</v>
      </c>
      <c r="K1455" s="1">
        <v>15000</v>
      </c>
      <c r="L1455" s="1">
        <v>0</v>
      </c>
      <c r="M1455" s="1" t="s">
        <v>34</v>
      </c>
      <c r="N1455" s="1" t="s">
        <v>63</v>
      </c>
      <c r="O1455" s="1" t="s">
        <v>57</v>
      </c>
      <c r="P1455" s="1" t="s">
        <v>57</v>
      </c>
      <c r="Q1455" s="1" t="s">
        <v>38</v>
      </c>
      <c r="R1455" s="1" t="s">
        <v>2877</v>
      </c>
      <c r="S1455" s="3">
        <v>918515000000</v>
      </c>
      <c r="T1455" s="1" t="s">
        <v>86</v>
      </c>
      <c r="U1455" s="1">
        <v>76</v>
      </c>
      <c r="V1455" s="1">
        <v>90</v>
      </c>
      <c r="W1455" s="1" t="s">
        <v>41</v>
      </c>
      <c r="X1455" s="1">
        <v>151266</v>
      </c>
      <c r="Y1455" s="2">
        <v>38508</v>
      </c>
      <c r="Z1455" s="1">
        <v>1.1789737171464301</v>
      </c>
      <c r="AA1455" s="1">
        <v>19</v>
      </c>
      <c r="AB1455" s="1">
        <v>676000</v>
      </c>
      <c r="AC1455" s="1">
        <f t="shared" si="22"/>
        <v>736000</v>
      </c>
    </row>
    <row r="1456" spans="1:29" x14ac:dyDescent="0.25">
      <c r="A1456" s="1" t="s">
        <v>2892</v>
      </c>
      <c r="B1456" s="1" t="s">
        <v>2893</v>
      </c>
      <c r="C1456" s="1" t="s">
        <v>2894</v>
      </c>
      <c r="D1456" s="1">
        <v>2023</v>
      </c>
      <c r="E1456" s="1" t="s">
        <v>45</v>
      </c>
      <c r="F1456" s="1">
        <v>2</v>
      </c>
      <c r="G1456" s="1" t="s">
        <v>46</v>
      </c>
      <c r="H1456" s="1" t="s">
        <v>33</v>
      </c>
      <c r="I1456" s="1">
        <v>92000</v>
      </c>
      <c r="J1456" s="1">
        <v>77000</v>
      </c>
      <c r="K1456" s="1">
        <v>15000</v>
      </c>
      <c r="L1456" s="1">
        <v>0</v>
      </c>
      <c r="M1456" s="1" t="s">
        <v>34</v>
      </c>
      <c r="N1456" s="1" t="s">
        <v>35</v>
      </c>
      <c r="O1456" s="1" t="s">
        <v>84</v>
      </c>
      <c r="P1456" s="1" t="s">
        <v>65</v>
      </c>
      <c r="Q1456" s="1" t="s">
        <v>38</v>
      </c>
      <c r="R1456" s="1" t="s">
        <v>2895</v>
      </c>
      <c r="S1456" s="3">
        <v>917112000000</v>
      </c>
      <c r="T1456" s="1" t="s">
        <v>51</v>
      </c>
      <c r="U1456" s="1">
        <v>76</v>
      </c>
      <c r="V1456" s="1">
        <v>74</v>
      </c>
      <c r="W1456" s="1" t="s">
        <v>41</v>
      </c>
      <c r="X1456" s="1">
        <v>706331</v>
      </c>
      <c r="Y1456" s="2">
        <v>36002</v>
      </c>
      <c r="Z1456" s="1">
        <v>1.1789737171464301</v>
      </c>
      <c r="AA1456" s="1">
        <v>25</v>
      </c>
      <c r="AB1456" s="1">
        <v>184000</v>
      </c>
      <c r="AC1456" s="1">
        <f t="shared" si="22"/>
        <v>214000</v>
      </c>
    </row>
    <row r="1457" spans="1:29" x14ac:dyDescent="0.25">
      <c r="A1457" s="1" t="s">
        <v>2902</v>
      </c>
      <c r="B1457" s="1" t="s">
        <v>2903</v>
      </c>
      <c r="C1457" s="1" t="s">
        <v>2904</v>
      </c>
      <c r="D1457" s="1">
        <v>2023</v>
      </c>
      <c r="E1457" s="1" t="s">
        <v>31</v>
      </c>
      <c r="F1457" s="1">
        <v>4</v>
      </c>
      <c r="G1457" s="1" t="s">
        <v>32</v>
      </c>
      <c r="H1457" s="1" t="s">
        <v>62</v>
      </c>
      <c r="I1457" s="1">
        <v>169000</v>
      </c>
      <c r="J1457" s="1">
        <v>154000</v>
      </c>
      <c r="K1457" s="1">
        <v>15000</v>
      </c>
      <c r="L1457" s="1">
        <v>0</v>
      </c>
      <c r="M1457" s="1" t="s">
        <v>34</v>
      </c>
      <c r="N1457" s="1" t="s">
        <v>70</v>
      </c>
      <c r="O1457" s="1" t="s">
        <v>188</v>
      </c>
      <c r="P1457" s="1" t="s">
        <v>189</v>
      </c>
      <c r="Q1457" s="1" t="s">
        <v>38</v>
      </c>
      <c r="R1457" s="1" t="s">
        <v>2905</v>
      </c>
      <c r="S1457" s="3">
        <v>919748000000</v>
      </c>
      <c r="T1457" s="1" t="s">
        <v>51</v>
      </c>
      <c r="U1457" s="1">
        <v>76</v>
      </c>
      <c r="V1457" s="1">
        <v>64</v>
      </c>
      <c r="W1457" s="1" t="s">
        <v>41</v>
      </c>
      <c r="X1457" s="1">
        <v>384010</v>
      </c>
      <c r="Y1457" s="2">
        <v>37822</v>
      </c>
      <c r="Z1457" s="1">
        <v>1.1789737171464301</v>
      </c>
      <c r="AA1457" s="1">
        <v>20</v>
      </c>
      <c r="AB1457" s="1">
        <v>676000</v>
      </c>
      <c r="AC1457" s="1">
        <f t="shared" si="22"/>
        <v>736000</v>
      </c>
    </row>
    <row r="1458" spans="1:29" x14ac:dyDescent="0.25">
      <c r="A1458" s="1" t="s">
        <v>2926</v>
      </c>
      <c r="B1458" s="1" t="s">
        <v>1613</v>
      </c>
      <c r="C1458" s="1" t="s">
        <v>1614</v>
      </c>
      <c r="D1458" s="1">
        <v>2023</v>
      </c>
      <c r="E1458" s="1" t="s">
        <v>45</v>
      </c>
      <c r="F1458" s="1">
        <v>2</v>
      </c>
      <c r="G1458" s="1" t="s">
        <v>46</v>
      </c>
      <c r="H1458" s="1" t="s">
        <v>102</v>
      </c>
      <c r="I1458" s="1">
        <v>92000</v>
      </c>
      <c r="J1458" s="1">
        <v>77000</v>
      </c>
      <c r="K1458" s="1">
        <v>15000</v>
      </c>
      <c r="L1458" s="1">
        <v>0</v>
      </c>
      <c r="M1458" s="1" t="s">
        <v>34</v>
      </c>
      <c r="N1458" s="1" t="s">
        <v>35</v>
      </c>
      <c r="O1458" s="1" t="s">
        <v>64</v>
      </c>
      <c r="P1458" s="1" t="s">
        <v>65</v>
      </c>
      <c r="Q1458" s="1" t="s">
        <v>38</v>
      </c>
      <c r="R1458" s="1" t="s">
        <v>2927</v>
      </c>
      <c r="S1458" s="3">
        <v>917124000000</v>
      </c>
      <c r="T1458" s="1" t="s">
        <v>74</v>
      </c>
      <c r="U1458" s="1">
        <v>75</v>
      </c>
      <c r="V1458" s="1">
        <v>62</v>
      </c>
      <c r="W1458" s="1" t="s">
        <v>41</v>
      </c>
      <c r="X1458" s="1">
        <v>590357</v>
      </c>
      <c r="Y1458" s="2">
        <v>35447</v>
      </c>
      <c r="Z1458" s="1">
        <v>0.17897371714643301</v>
      </c>
      <c r="AA1458" s="1">
        <v>27</v>
      </c>
      <c r="AB1458" s="1">
        <v>184000</v>
      </c>
      <c r="AC1458" s="1">
        <f t="shared" si="22"/>
        <v>214000</v>
      </c>
    </row>
    <row r="1459" spans="1:29" x14ac:dyDescent="0.25">
      <c r="A1459" s="1" t="s">
        <v>2928</v>
      </c>
      <c r="B1459" s="1" t="s">
        <v>2929</v>
      </c>
      <c r="C1459" s="1" t="s">
        <v>2930</v>
      </c>
      <c r="D1459" s="1">
        <v>2023</v>
      </c>
      <c r="E1459" s="1" t="s">
        <v>31</v>
      </c>
      <c r="F1459" s="1">
        <v>4</v>
      </c>
      <c r="G1459" s="1" t="s">
        <v>32</v>
      </c>
      <c r="H1459" s="1" t="s">
        <v>47</v>
      </c>
      <c r="I1459" s="1">
        <v>169000</v>
      </c>
      <c r="J1459" s="1">
        <v>154000</v>
      </c>
      <c r="K1459" s="1">
        <v>15000</v>
      </c>
      <c r="L1459" s="1">
        <v>0</v>
      </c>
      <c r="M1459" s="1" t="s">
        <v>34</v>
      </c>
      <c r="N1459" s="1" t="s">
        <v>35</v>
      </c>
      <c r="O1459" s="1" t="s">
        <v>48</v>
      </c>
      <c r="P1459" s="1" t="s">
        <v>49</v>
      </c>
      <c r="Q1459" s="1" t="s">
        <v>38</v>
      </c>
      <c r="R1459" s="1" t="s">
        <v>2931</v>
      </c>
      <c r="S1459" s="3">
        <v>918716000000</v>
      </c>
      <c r="T1459" s="1" t="s">
        <v>74</v>
      </c>
      <c r="U1459" s="1">
        <v>75</v>
      </c>
      <c r="V1459" s="1">
        <v>84</v>
      </c>
      <c r="W1459" s="1" t="s">
        <v>52</v>
      </c>
      <c r="X1459" s="1">
        <v>638487</v>
      </c>
      <c r="Y1459" s="2">
        <v>38044</v>
      </c>
      <c r="Z1459" s="1">
        <v>0.17897371714643301</v>
      </c>
      <c r="AA1459" s="1">
        <v>20</v>
      </c>
      <c r="AB1459" s="1">
        <v>676000</v>
      </c>
      <c r="AC1459" s="1">
        <f t="shared" si="22"/>
        <v>736000</v>
      </c>
    </row>
    <row r="1460" spans="1:29" x14ac:dyDescent="0.25">
      <c r="A1460" s="1" t="s">
        <v>2938</v>
      </c>
      <c r="B1460" s="1" t="s">
        <v>669</v>
      </c>
      <c r="C1460" s="1" t="s">
        <v>670</v>
      </c>
      <c r="D1460" s="1">
        <v>2023</v>
      </c>
      <c r="E1460" s="1" t="s">
        <v>45</v>
      </c>
      <c r="F1460" s="1">
        <v>2</v>
      </c>
      <c r="G1460" s="1" t="s">
        <v>46</v>
      </c>
      <c r="H1460" s="1" t="s">
        <v>62</v>
      </c>
      <c r="I1460" s="1">
        <v>92000</v>
      </c>
      <c r="J1460" s="1">
        <v>77000</v>
      </c>
      <c r="K1460" s="1">
        <v>15000</v>
      </c>
      <c r="L1460" s="1">
        <v>0</v>
      </c>
      <c r="M1460" s="1" t="s">
        <v>34</v>
      </c>
      <c r="N1460" s="1" t="s">
        <v>70</v>
      </c>
      <c r="O1460" s="1" t="s">
        <v>57</v>
      </c>
      <c r="P1460" s="1" t="s">
        <v>57</v>
      </c>
      <c r="Q1460" s="1" t="s">
        <v>38</v>
      </c>
      <c r="R1460" s="1" t="s">
        <v>2939</v>
      </c>
      <c r="S1460" s="3">
        <v>919223000000</v>
      </c>
      <c r="T1460" s="1" t="s">
        <v>98</v>
      </c>
      <c r="U1460" s="1">
        <v>75</v>
      </c>
      <c r="V1460" s="1">
        <v>91</v>
      </c>
      <c r="W1460" s="1" t="s">
        <v>52</v>
      </c>
      <c r="X1460" s="1">
        <v>491431</v>
      </c>
      <c r="Y1460" s="2">
        <v>36236</v>
      </c>
      <c r="Z1460" s="1">
        <v>0.17897371714643301</v>
      </c>
      <c r="AA1460" s="1">
        <v>25</v>
      </c>
      <c r="AB1460" s="1">
        <v>184000</v>
      </c>
      <c r="AC1460" s="1">
        <f t="shared" si="22"/>
        <v>214000</v>
      </c>
    </row>
    <row r="1461" spans="1:29" x14ac:dyDescent="0.25">
      <c r="A1461" s="1" t="s">
        <v>2940</v>
      </c>
      <c r="B1461" s="1" t="s">
        <v>2941</v>
      </c>
      <c r="C1461" s="1" t="s">
        <v>2942</v>
      </c>
      <c r="D1461" s="1">
        <v>2023</v>
      </c>
      <c r="E1461" s="1" t="s">
        <v>31</v>
      </c>
      <c r="F1461" s="1">
        <v>4</v>
      </c>
      <c r="G1461" s="1" t="s">
        <v>32</v>
      </c>
      <c r="H1461" s="1" t="s">
        <v>90</v>
      </c>
      <c r="I1461" s="1">
        <v>169000</v>
      </c>
      <c r="J1461" s="1">
        <v>154000</v>
      </c>
      <c r="K1461" s="1">
        <v>15000</v>
      </c>
      <c r="L1461" s="1">
        <v>0</v>
      </c>
      <c r="M1461" s="1" t="s">
        <v>34</v>
      </c>
      <c r="N1461" s="1" t="s">
        <v>70</v>
      </c>
      <c r="O1461" s="1" t="s">
        <v>188</v>
      </c>
      <c r="P1461" s="1" t="s">
        <v>189</v>
      </c>
      <c r="Q1461" s="1" t="s">
        <v>38</v>
      </c>
      <c r="R1461" s="1" t="s">
        <v>2943</v>
      </c>
      <c r="S1461" s="3">
        <v>919578000000</v>
      </c>
      <c r="T1461" s="1" t="s">
        <v>40</v>
      </c>
      <c r="U1461" s="1">
        <v>75</v>
      </c>
      <c r="V1461" s="1">
        <v>77</v>
      </c>
      <c r="W1461" s="1" t="s">
        <v>41</v>
      </c>
      <c r="X1461" s="1">
        <v>223061</v>
      </c>
      <c r="Y1461" s="2">
        <v>37748</v>
      </c>
      <c r="Z1461" s="1">
        <v>0.17897371714643301</v>
      </c>
      <c r="AA1461" s="1">
        <v>21</v>
      </c>
      <c r="AB1461" s="1">
        <v>676000</v>
      </c>
      <c r="AC1461" s="1">
        <f t="shared" si="22"/>
        <v>736000</v>
      </c>
    </row>
    <row r="1462" spans="1:29" x14ac:dyDescent="0.25">
      <c r="A1462" s="1" t="s">
        <v>2980</v>
      </c>
      <c r="B1462" s="1" t="s">
        <v>987</v>
      </c>
      <c r="C1462" s="1" t="s">
        <v>988</v>
      </c>
      <c r="D1462" s="1">
        <v>2023</v>
      </c>
      <c r="E1462" s="1" t="s">
        <v>45</v>
      </c>
      <c r="F1462" s="1">
        <v>2</v>
      </c>
      <c r="G1462" s="1" t="s">
        <v>46</v>
      </c>
      <c r="H1462" s="1" t="s">
        <v>62</v>
      </c>
      <c r="I1462" s="1">
        <v>92000</v>
      </c>
      <c r="J1462" s="1">
        <v>77000</v>
      </c>
      <c r="K1462" s="1">
        <v>15000</v>
      </c>
      <c r="L1462" s="1">
        <v>0</v>
      </c>
      <c r="M1462" s="1" t="s">
        <v>34</v>
      </c>
      <c r="N1462" s="1" t="s">
        <v>63</v>
      </c>
      <c r="O1462" s="1" t="s">
        <v>78</v>
      </c>
      <c r="P1462" s="1" t="s">
        <v>79</v>
      </c>
      <c r="Q1462" s="1" t="s">
        <v>38</v>
      </c>
      <c r="R1462" s="1" t="s">
        <v>2981</v>
      </c>
      <c r="S1462" s="3">
        <v>919866000000</v>
      </c>
      <c r="T1462" s="1" t="s">
        <v>40</v>
      </c>
      <c r="U1462" s="1">
        <v>75</v>
      </c>
      <c r="V1462" s="1">
        <v>79</v>
      </c>
      <c r="W1462" s="1" t="s">
        <v>52</v>
      </c>
      <c r="X1462" s="1">
        <v>219581</v>
      </c>
      <c r="Y1462" s="2">
        <v>36855</v>
      </c>
      <c r="Z1462" s="1">
        <v>0.17897371714643301</v>
      </c>
      <c r="AA1462" s="1">
        <v>23</v>
      </c>
      <c r="AB1462" s="1">
        <v>184000</v>
      </c>
      <c r="AC1462" s="1">
        <f t="shared" si="22"/>
        <v>214000</v>
      </c>
    </row>
    <row r="1463" spans="1:29" x14ac:dyDescent="0.25">
      <c r="A1463" s="1" t="s">
        <v>2982</v>
      </c>
      <c r="B1463" s="1" t="s">
        <v>2983</v>
      </c>
      <c r="C1463" s="1" t="s">
        <v>2984</v>
      </c>
      <c r="D1463" s="1">
        <v>2023</v>
      </c>
      <c r="E1463" s="1" t="s">
        <v>45</v>
      </c>
      <c r="F1463" s="1">
        <v>2</v>
      </c>
      <c r="G1463" s="1" t="s">
        <v>46</v>
      </c>
      <c r="H1463" s="1" t="s">
        <v>102</v>
      </c>
      <c r="I1463" s="1">
        <v>92000</v>
      </c>
      <c r="J1463" s="1">
        <v>77000</v>
      </c>
      <c r="K1463" s="1">
        <v>15000</v>
      </c>
      <c r="L1463" s="1">
        <v>0</v>
      </c>
      <c r="M1463" s="1" t="s">
        <v>34</v>
      </c>
      <c r="N1463" s="1" t="s">
        <v>35</v>
      </c>
      <c r="O1463" s="1" t="s">
        <v>91</v>
      </c>
      <c r="P1463" s="1" t="s">
        <v>92</v>
      </c>
      <c r="Q1463" s="1" t="s">
        <v>38</v>
      </c>
      <c r="R1463" s="1" t="s">
        <v>2985</v>
      </c>
      <c r="S1463" s="3">
        <v>917713000000</v>
      </c>
      <c r="T1463" s="1" t="s">
        <v>51</v>
      </c>
      <c r="U1463" s="1">
        <v>75</v>
      </c>
      <c r="V1463" s="1">
        <v>85</v>
      </c>
      <c r="W1463" s="1" t="s">
        <v>52</v>
      </c>
      <c r="X1463" s="1">
        <v>154300</v>
      </c>
      <c r="Y1463" s="2">
        <v>37375</v>
      </c>
      <c r="Z1463" s="1">
        <v>0.17897371714643301</v>
      </c>
      <c r="AA1463" s="1">
        <v>22</v>
      </c>
      <c r="AB1463" s="1">
        <v>184000</v>
      </c>
      <c r="AC1463" s="1">
        <f t="shared" si="22"/>
        <v>214000</v>
      </c>
    </row>
    <row r="1464" spans="1:29" x14ac:dyDescent="0.25">
      <c r="A1464" s="1" t="s">
        <v>3014</v>
      </c>
      <c r="B1464" s="1" t="s">
        <v>3015</v>
      </c>
      <c r="C1464" s="1" t="s">
        <v>3016</v>
      </c>
      <c r="D1464" s="1">
        <v>2023</v>
      </c>
      <c r="E1464" s="1" t="s">
        <v>31</v>
      </c>
      <c r="F1464" s="1">
        <v>4</v>
      </c>
      <c r="G1464" s="1" t="s">
        <v>32</v>
      </c>
      <c r="H1464" s="1" t="s">
        <v>33</v>
      </c>
      <c r="I1464" s="1">
        <v>169000</v>
      </c>
      <c r="J1464" s="1">
        <v>154000</v>
      </c>
      <c r="K1464" s="1">
        <v>15000</v>
      </c>
      <c r="L1464" s="1">
        <v>0</v>
      </c>
      <c r="M1464" s="1" t="s">
        <v>34</v>
      </c>
      <c r="N1464" s="1" t="s">
        <v>63</v>
      </c>
      <c r="O1464" s="1" t="s">
        <v>78</v>
      </c>
      <c r="P1464" s="1" t="s">
        <v>79</v>
      </c>
      <c r="Q1464" s="1" t="s">
        <v>38</v>
      </c>
      <c r="R1464" s="1" t="s">
        <v>3017</v>
      </c>
      <c r="S1464" s="3">
        <v>918036000000</v>
      </c>
      <c r="T1464" s="1" t="s">
        <v>86</v>
      </c>
      <c r="U1464" s="1">
        <v>75</v>
      </c>
      <c r="V1464" s="1">
        <v>70</v>
      </c>
      <c r="W1464" s="1" t="s">
        <v>52</v>
      </c>
      <c r="X1464" s="1">
        <v>516530</v>
      </c>
      <c r="Y1464" s="2">
        <v>37136</v>
      </c>
      <c r="Z1464" s="1">
        <v>0.17897371714643301</v>
      </c>
      <c r="AA1464" s="1">
        <v>22</v>
      </c>
      <c r="AB1464" s="1">
        <v>676000</v>
      </c>
      <c r="AC1464" s="1">
        <f t="shared" si="22"/>
        <v>736000</v>
      </c>
    </row>
    <row r="1465" spans="1:29" x14ac:dyDescent="0.25">
      <c r="A1465" s="1" t="s">
        <v>3044</v>
      </c>
      <c r="B1465" s="1" t="s">
        <v>3045</v>
      </c>
      <c r="C1465" s="1" t="s">
        <v>3046</v>
      </c>
      <c r="D1465" s="1">
        <v>2023</v>
      </c>
      <c r="E1465" s="1" t="s">
        <v>31</v>
      </c>
      <c r="F1465" s="1">
        <v>4</v>
      </c>
      <c r="G1465" s="1" t="s">
        <v>32</v>
      </c>
      <c r="H1465" s="1" t="s">
        <v>151</v>
      </c>
      <c r="I1465" s="1">
        <v>169000</v>
      </c>
      <c r="J1465" s="1">
        <v>154000</v>
      </c>
      <c r="K1465" s="1">
        <v>15000</v>
      </c>
      <c r="L1465" s="1">
        <v>0</v>
      </c>
      <c r="M1465" s="1" t="s">
        <v>34</v>
      </c>
      <c r="N1465" s="1" t="s">
        <v>35</v>
      </c>
      <c r="O1465" s="1" t="s">
        <v>103</v>
      </c>
      <c r="P1465" s="1" t="s">
        <v>104</v>
      </c>
      <c r="Q1465" s="1" t="s">
        <v>38</v>
      </c>
      <c r="R1465" s="1" t="s">
        <v>3047</v>
      </c>
      <c r="S1465" s="3">
        <v>918756000000</v>
      </c>
      <c r="T1465" s="1" t="s">
        <v>51</v>
      </c>
      <c r="U1465" s="1">
        <v>75</v>
      </c>
      <c r="V1465" s="1">
        <v>79</v>
      </c>
      <c r="W1465" s="1" t="s">
        <v>41</v>
      </c>
      <c r="X1465" s="1">
        <v>545559</v>
      </c>
      <c r="Y1465" s="2">
        <v>38040</v>
      </c>
      <c r="Z1465" s="1">
        <v>0.17897371714643301</v>
      </c>
      <c r="AA1465" s="1">
        <v>20</v>
      </c>
      <c r="AB1465" s="1">
        <v>676000</v>
      </c>
      <c r="AC1465" s="1">
        <f t="shared" si="22"/>
        <v>736000</v>
      </c>
    </row>
    <row r="1466" spans="1:29" x14ac:dyDescent="0.25">
      <c r="A1466" s="1" t="s">
        <v>3062</v>
      </c>
      <c r="B1466" s="1" t="s">
        <v>3063</v>
      </c>
      <c r="C1466" s="1" t="s">
        <v>3064</v>
      </c>
      <c r="D1466" s="1">
        <v>2023</v>
      </c>
      <c r="E1466" s="1" t="s">
        <v>31</v>
      </c>
      <c r="F1466" s="1">
        <v>4</v>
      </c>
      <c r="G1466" s="1" t="s">
        <v>32</v>
      </c>
      <c r="H1466" s="1" t="s">
        <v>47</v>
      </c>
      <c r="I1466" s="1">
        <v>169000</v>
      </c>
      <c r="J1466" s="1">
        <v>154000</v>
      </c>
      <c r="K1466" s="1">
        <v>15000</v>
      </c>
      <c r="L1466" s="1">
        <v>0</v>
      </c>
      <c r="M1466" s="1" t="s">
        <v>34</v>
      </c>
      <c r="N1466" s="1" t="s">
        <v>63</v>
      </c>
      <c r="O1466" s="1" t="s">
        <v>57</v>
      </c>
      <c r="P1466" s="1" t="s">
        <v>57</v>
      </c>
      <c r="Q1466" s="1" t="s">
        <v>38</v>
      </c>
      <c r="R1466" s="1" t="s">
        <v>3065</v>
      </c>
      <c r="S1466" s="3">
        <v>917113000000</v>
      </c>
      <c r="T1466" s="1" t="s">
        <v>98</v>
      </c>
      <c r="U1466" s="1">
        <v>75</v>
      </c>
      <c r="V1466" s="1">
        <v>84</v>
      </c>
      <c r="W1466" s="1" t="s">
        <v>41</v>
      </c>
      <c r="X1466" s="1">
        <v>625266</v>
      </c>
      <c r="Y1466" s="2">
        <v>37638</v>
      </c>
      <c r="Z1466" s="1">
        <v>0.17897371714643301</v>
      </c>
      <c r="AA1466" s="1">
        <v>21</v>
      </c>
      <c r="AB1466" s="1">
        <v>676000</v>
      </c>
      <c r="AC1466" s="1">
        <f t="shared" si="22"/>
        <v>736000</v>
      </c>
    </row>
    <row r="1467" spans="1:29" x14ac:dyDescent="0.25">
      <c r="A1467" s="1" t="s">
        <v>3102</v>
      </c>
      <c r="B1467" s="1" t="s">
        <v>473</v>
      </c>
      <c r="C1467" s="1" t="s">
        <v>474</v>
      </c>
      <c r="D1467" s="1">
        <v>2023</v>
      </c>
      <c r="E1467" s="1" t="s">
        <v>45</v>
      </c>
      <c r="F1467" s="1">
        <v>2</v>
      </c>
      <c r="G1467" s="1" t="s">
        <v>46</v>
      </c>
      <c r="H1467" s="1" t="s">
        <v>102</v>
      </c>
      <c r="I1467" s="1">
        <v>92000</v>
      </c>
      <c r="J1467" s="1">
        <v>77000</v>
      </c>
      <c r="K1467" s="1">
        <v>15000</v>
      </c>
      <c r="L1467" s="1">
        <v>0</v>
      </c>
      <c r="M1467" s="1" t="s">
        <v>34</v>
      </c>
      <c r="N1467" s="1" t="s">
        <v>35</v>
      </c>
      <c r="O1467" s="1" t="s">
        <v>57</v>
      </c>
      <c r="P1467" s="1" t="s">
        <v>57</v>
      </c>
      <c r="Q1467" s="1" t="s">
        <v>38</v>
      </c>
      <c r="R1467" s="1" t="s">
        <v>3103</v>
      </c>
      <c r="S1467" s="3">
        <v>918967000000</v>
      </c>
      <c r="T1467" s="1" t="s">
        <v>74</v>
      </c>
      <c r="U1467" s="1">
        <v>74</v>
      </c>
      <c r="V1467" s="1">
        <v>90</v>
      </c>
      <c r="W1467" s="1" t="s">
        <v>52</v>
      </c>
      <c r="X1467" s="1">
        <v>310138</v>
      </c>
      <c r="Y1467" s="2">
        <v>37202</v>
      </c>
      <c r="Z1467" s="1">
        <v>-0.82102628285356605</v>
      </c>
      <c r="AA1467" s="1">
        <v>22</v>
      </c>
      <c r="AB1467" s="1">
        <v>184000</v>
      </c>
      <c r="AC1467" s="1">
        <f t="shared" si="22"/>
        <v>214000</v>
      </c>
    </row>
    <row r="1468" spans="1:29" x14ac:dyDescent="0.25">
      <c r="A1468" s="1" t="s">
        <v>3106</v>
      </c>
      <c r="B1468" s="1" t="s">
        <v>3107</v>
      </c>
      <c r="C1468" s="1" t="s">
        <v>3108</v>
      </c>
      <c r="D1468" s="1">
        <v>2023</v>
      </c>
      <c r="E1468" s="1" t="s">
        <v>31</v>
      </c>
      <c r="F1468" s="1">
        <v>4</v>
      </c>
      <c r="G1468" s="1" t="s">
        <v>32</v>
      </c>
      <c r="H1468" s="1" t="s">
        <v>33</v>
      </c>
      <c r="I1468" s="1">
        <v>169000</v>
      </c>
      <c r="J1468" s="1">
        <v>154000</v>
      </c>
      <c r="K1468" s="1">
        <v>15000</v>
      </c>
      <c r="L1468" s="1">
        <v>0</v>
      </c>
      <c r="M1468" s="1" t="s">
        <v>34</v>
      </c>
      <c r="N1468" s="1" t="s">
        <v>70</v>
      </c>
      <c r="O1468" s="1" t="s">
        <v>103</v>
      </c>
      <c r="P1468" s="1" t="s">
        <v>104</v>
      </c>
      <c r="Q1468" s="1" t="s">
        <v>38</v>
      </c>
      <c r="R1468" s="1" t="s">
        <v>3109</v>
      </c>
      <c r="S1468" s="3">
        <v>918790000000</v>
      </c>
      <c r="T1468" s="1" t="s">
        <v>98</v>
      </c>
      <c r="U1468" s="1">
        <v>74</v>
      </c>
      <c r="V1468" s="1">
        <v>68</v>
      </c>
      <c r="W1468" s="1" t="s">
        <v>41</v>
      </c>
      <c r="X1468" s="1">
        <v>427260</v>
      </c>
      <c r="Y1468" s="2">
        <v>37821</v>
      </c>
      <c r="Z1468" s="1">
        <v>-0.82102628285356605</v>
      </c>
      <c r="AA1468" s="1">
        <v>20</v>
      </c>
      <c r="AB1468" s="1">
        <v>676000</v>
      </c>
      <c r="AC1468" s="1">
        <f t="shared" si="22"/>
        <v>736000</v>
      </c>
    </row>
    <row r="1469" spans="1:29" x14ac:dyDescent="0.25">
      <c r="A1469" s="1" t="s">
        <v>3174</v>
      </c>
      <c r="B1469" s="1" t="s">
        <v>413</v>
      </c>
      <c r="C1469" s="1" t="s">
        <v>414</v>
      </c>
      <c r="D1469" s="1">
        <v>2023</v>
      </c>
      <c r="E1469" s="1" t="s">
        <v>45</v>
      </c>
      <c r="F1469" s="1">
        <v>2</v>
      </c>
      <c r="G1469" s="1" t="s">
        <v>46</v>
      </c>
      <c r="H1469" s="1" t="s">
        <v>102</v>
      </c>
      <c r="I1469" s="1">
        <v>92000</v>
      </c>
      <c r="J1469" s="1">
        <v>77000</v>
      </c>
      <c r="K1469" s="1">
        <v>15000</v>
      </c>
      <c r="L1469" s="1">
        <v>0</v>
      </c>
      <c r="M1469" s="1" t="s">
        <v>34</v>
      </c>
      <c r="N1469" s="1" t="s">
        <v>63</v>
      </c>
      <c r="O1469" s="1" t="s">
        <v>103</v>
      </c>
      <c r="P1469" s="1" t="s">
        <v>104</v>
      </c>
      <c r="Q1469" s="1" t="s">
        <v>38</v>
      </c>
      <c r="R1469" s="1" t="s">
        <v>3175</v>
      </c>
      <c r="S1469" s="3">
        <v>917120000000</v>
      </c>
      <c r="T1469" s="1" t="s">
        <v>86</v>
      </c>
      <c r="U1469" s="1">
        <v>74</v>
      </c>
      <c r="V1469" s="1">
        <v>63</v>
      </c>
      <c r="W1469" s="1" t="s">
        <v>41</v>
      </c>
      <c r="X1469" s="1">
        <v>256050</v>
      </c>
      <c r="Y1469" s="2">
        <v>37298</v>
      </c>
      <c r="Z1469" s="1">
        <v>-0.82102628285356605</v>
      </c>
      <c r="AA1469" s="1">
        <v>22</v>
      </c>
      <c r="AB1469" s="1">
        <v>184000</v>
      </c>
      <c r="AC1469" s="1">
        <f t="shared" si="22"/>
        <v>214000</v>
      </c>
    </row>
    <row r="1470" spans="1:29" x14ac:dyDescent="0.25">
      <c r="A1470" s="1" t="s">
        <v>3202</v>
      </c>
      <c r="B1470" s="1" t="s">
        <v>3203</v>
      </c>
      <c r="C1470" s="1" t="s">
        <v>3204</v>
      </c>
      <c r="D1470" s="1">
        <v>2023</v>
      </c>
      <c r="E1470" s="1" t="s">
        <v>31</v>
      </c>
      <c r="F1470" s="1">
        <v>4</v>
      </c>
      <c r="G1470" s="1" t="s">
        <v>32</v>
      </c>
      <c r="H1470" s="1" t="s">
        <v>102</v>
      </c>
      <c r="I1470" s="1">
        <v>169000</v>
      </c>
      <c r="J1470" s="1">
        <v>154000</v>
      </c>
      <c r="K1470" s="1">
        <v>15000</v>
      </c>
      <c r="L1470" s="1">
        <v>0</v>
      </c>
      <c r="M1470" s="1" t="s">
        <v>34</v>
      </c>
      <c r="N1470" s="1" t="s">
        <v>70</v>
      </c>
      <c r="O1470" s="1" t="s">
        <v>71</v>
      </c>
      <c r="P1470" s="1" t="s">
        <v>72</v>
      </c>
      <c r="Q1470" s="1" t="s">
        <v>38</v>
      </c>
      <c r="R1470" s="1" t="s">
        <v>3205</v>
      </c>
      <c r="S1470" s="3">
        <v>918244000000</v>
      </c>
      <c r="T1470" s="1" t="s">
        <v>40</v>
      </c>
      <c r="U1470" s="1">
        <v>74</v>
      </c>
      <c r="V1470" s="1">
        <v>83</v>
      </c>
      <c r="W1470" s="1" t="s">
        <v>52</v>
      </c>
      <c r="X1470" s="1">
        <v>309356</v>
      </c>
      <c r="Y1470" s="2">
        <v>38409</v>
      </c>
      <c r="Z1470" s="1">
        <v>-0.82102628285356605</v>
      </c>
      <c r="AA1470" s="1">
        <v>19</v>
      </c>
      <c r="AB1470" s="1">
        <v>676000</v>
      </c>
      <c r="AC1470" s="1">
        <f t="shared" si="22"/>
        <v>736000</v>
      </c>
    </row>
    <row r="1471" spans="1:29" x14ac:dyDescent="0.25">
      <c r="A1471" s="1" t="s">
        <v>3305</v>
      </c>
      <c r="B1471" s="1" t="s">
        <v>3306</v>
      </c>
      <c r="C1471" s="1" t="s">
        <v>3307</v>
      </c>
      <c r="D1471" s="1">
        <v>2023</v>
      </c>
      <c r="E1471" s="1" t="s">
        <v>31</v>
      </c>
      <c r="F1471" s="1">
        <v>4</v>
      </c>
      <c r="G1471" s="1" t="s">
        <v>32</v>
      </c>
      <c r="H1471" s="1" t="s">
        <v>113</v>
      </c>
      <c r="I1471" s="1">
        <v>169000</v>
      </c>
      <c r="J1471" s="1">
        <v>154000</v>
      </c>
      <c r="K1471" s="1">
        <v>15000</v>
      </c>
      <c r="L1471" s="1">
        <v>0</v>
      </c>
      <c r="M1471" s="1" t="s">
        <v>34</v>
      </c>
      <c r="N1471" s="1" t="s">
        <v>35</v>
      </c>
      <c r="O1471" s="1" t="s">
        <v>48</v>
      </c>
      <c r="P1471" s="1" t="s">
        <v>49</v>
      </c>
      <c r="Q1471" s="1" t="s">
        <v>38</v>
      </c>
      <c r="R1471" s="1" t="s">
        <v>3308</v>
      </c>
      <c r="S1471" s="3">
        <v>917253000000</v>
      </c>
      <c r="T1471" s="1" t="s">
        <v>40</v>
      </c>
      <c r="U1471" s="1">
        <v>73</v>
      </c>
      <c r="V1471" s="1">
        <v>88</v>
      </c>
      <c r="W1471" s="1" t="s">
        <v>52</v>
      </c>
      <c r="X1471" s="1">
        <v>454589</v>
      </c>
      <c r="Y1471" s="2">
        <v>37762</v>
      </c>
      <c r="Z1471" s="1">
        <v>-1.8210262828535599</v>
      </c>
      <c r="AA1471" s="1">
        <v>21</v>
      </c>
      <c r="AB1471" s="1">
        <v>676000</v>
      </c>
      <c r="AC1471" s="1">
        <f t="shared" si="22"/>
        <v>736000</v>
      </c>
    </row>
    <row r="1472" spans="1:29" x14ac:dyDescent="0.25">
      <c r="A1472" s="1" t="s">
        <v>3317</v>
      </c>
      <c r="B1472" s="1" t="s">
        <v>3318</v>
      </c>
      <c r="C1472" s="1" t="s">
        <v>3319</v>
      </c>
      <c r="D1472" s="1">
        <v>2023</v>
      </c>
      <c r="E1472" s="1" t="s">
        <v>31</v>
      </c>
      <c r="F1472" s="1">
        <v>4</v>
      </c>
      <c r="G1472" s="1" t="s">
        <v>32</v>
      </c>
      <c r="H1472" s="1" t="s">
        <v>90</v>
      </c>
      <c r="I1472" s="1">
        <v>169000</v>
      </c>
      <c r="J1472" s="1">
        <v>154000</v>
      </c>
      <c r="K1472" s="1">
        <v>15000</v>
      </c>
      <c r="L1472" s="1">
        <v>0</v>
      </c>
      <c r="M1472" s="1" t="s">
        <v>34</v>
      </c>
      <c r="N1472" s="1" t="s">
        <v>70</v>
      </c>
      <c r="O1472" s="1" t="s">
        <v>64</v>
      </c>
      <c r="P1472" s="1" t="s">
        <v>65</v>
      </c>
      <c r="Q1472" s="1" t="s">
        <v>38</v>
      </c>
      <c r="R1472" s="1" t="s">
        <v>3320</v>
      </c>
      <c r="S1472" s="3">
        <v>919381000000</v>
      </c>
      <c r="T1472" s="1" t="s">
        <v>74</v>
      </c>
      <c r="U1472" s="1">
        <v>73</v>
      </c>
      <c r="V1472" s="1">
        <v>68</v>
      </c>
      <c r="W1472" s="1" t="s">
        <v>52</v>
      </c>
      <c r="X1472" s="1">
        <v>228429</v>
      </c>
      <c r="Y1472" s="2">
        <v>38785</v>
      </c>
      <c r="Z1472" s="1">
        <v>-1.8210262828535599</v>
      </c>
      <c r="AA1472" s="1">
        <v>18</v>
      </c>
      <c r="AB1472" s="1">
        <v>676000</v>
      </c>
      <c r="AC1472" s="1">
        <f t="shared" si="22"/>
        <v>736000</v>
      </c>
    </row>
    <row r="1473" spans="1:29" x14ac:dyDescent="0.25">
      <c r="A1473" s="1" t="s">
        <v>3361</v>
      </c>
      <c r="B1473" s="1" t="s">
        <v>3362</v>
      </c>
      <c r="C1473" s="1" t="s">
        <v>3363</v>
      </c>
      <c r="D1473" s="1">
        <v>2023</v>
      </c>
      <c r="E1473" s="1" t="s">
        <v>31</v>
      </c>
      <c r="F1473" s="1">
        <v>4</v>
      </c>
      <c r="G1473" s="1" t="s">
        <v>32</v>
      </c>
      <c r="H1473" s="1" t="s">
        <v>56</v>
      </c>
      <c r="I1473" s="1">
        <v>169000</v>
      </c>
      <c r="J1473" s="1">
        <v>154000</v>
      </c>
      <c r="K1473" s="1">
        <v>15000</v>
      </c>
      <c r="L1473" s="1">
        <v>0</v>
      </c>
      <c r="M1473" s="1" t="s">
        <v>34</v>
      </c>
      <c r="N1473" s="1" t="s">
        <v>63</v>
      </c>
      <c r="O1473" s="1" t="s">
        <v>48</v>
      </c>
      <c r="P1473" s="1" t="s">
        <v>49</v>
      </c>
      <c r="Q1473" s="1" t="s">
        <v>38</v>
      </c>
      <c r="R1473" s="1" t="s">
        <v>3364</v>
      </c>
      <c r="S1473" s="3">
        <v>918759000000</v>
      </c>
      <c r="T1473" s="1" t="s">
        <v>51</v>
      </c>
      <c r="U1473" s="1">
        <v>73</v>
      </c>
      <c r="V1473" s="1">
        <v>66</v>
      </c>
      <c r="W1473" s="1" t="s">
        <v>41</v>
      </c>
      <c r="X1473" s="1">
        <v>186078</v>
      </c>
      <c r="Y1473" s="2">
        <v>38320</v>
      </c>
      <c r="Z1473" s="1">
        <v>-1.8210262828535599</v>
      </c>
      <c r="AA1473" s="1">
        <v>19</v>
      </c>
      <c r="AB1473" s="1">
        <v>676000</v>
      </c>
      <c r="AC1473" s="1">
        <f t="shared" si="22"/>
        <v>736000</v>
      </c>
    </row>
    <row r="1474" spans="1:29" x14ac:dyDescent="0.25">
      <c r="A1474" s="1" t="s">
        <v>3380</v>
      </c>
      <c r="B1474" s="1" t="s">
        <v>3381</v>
      </c>
      <c r="C1474" s="1" t="s">
        <v>3382</v>
      </c>
      <c r="D1474" s="1">
        <v>2023</v>
      </c>
      <c r="E1474" s="1" t="s">
        <v>31</v>
      </c>
      <c r="F1474" s="1">
        <v>4</v>
      </c>
      <c r="G1474" s="1" t="s">
        <v>32</v>
      </c>
      <c r="H1474" s="1" t="s">
        <v>90</v>
      </c>
      <c r="I1474" s="1">
        <v>169000</v>
      </c>
      <c r="J1474" s="1">
        <v>154000</v>
      </c>
      <c r="K1474" s="1">
        <v>15000</v>
      </c>
      <c r="L1474" s="1">
        <v>0</v>
      </c>
      <c r="M1474" s="1" t="s">
        <v>34</v>
      </c>
      <c r="N1474" s="1" t="s">
        <v>35</v>
      </c>
      <c r="O1474" s="1" t="s">
        <v>48</v>
      </c>
      <c r="P1474" s="1" t="s">
        <v>49</v>
      </c>
      <c r="Q1474" s="1" t="s">
        <v>38</v>
      </c>
      <c r="R1474" s="1" t="s">
        <v>3383</v>
      </c>
      <c r="S1474" s="3">
        <v>918856000000</v>
      </c>
      <c r="T1474" s="1" t="s">
        <v>74</v>
      </c>
      <c r="U1474" s="1">
        <v>73</v>
      </c>
      <c r="V1474" s="1">
        <v>78</v>
      </c>
      <c r="W1474" s="1" t="s">
        <v>52</v>
      </c>
      <c r="X1474" s="1">
        <v>524622</v>
      </c>
      <c r="Y1474" s="2">
        <v>38891</v>
      </c>
      <c r="Z1474" s="1">
        <v>-1.8210262828535599</v>
      </c>
      <c r="AA1474" s="1">
        <v>18</v>
      </c>
      <c r="AB1474" s="1">
        <v>676000</v>
      </c>
      <c r="AC1474" s="1">
        <f t="shared" si="22"/>
        <v>736000</v>
      </c>
    </row>
    <row r="1475" spans="1:29" x14ac:dyDescent="0.25">
      <c r="A1475" s="1" t="s">
        <v>3386</v>
      </c>
      <c r="B1475" s="1" t="s">
        <v>3239</v>
      </c>
      <c r="C1475" s="1" t="s">
        <v>3240</v>
      </c>
      <c r="D1475" s="1">
        <v>2023</v>
      </c>
      <c r="E1475" s="1" t="s">
        <v>45</v>
      </c>
      <c r="F1475" s="1">
        <v>2</v>
      </c>
      <c r="G1475" s="1" t="s">
        <v>46</v>
      </c>
      <c r="H1475" s="1" t="s">
        <v>62</v>
      </c>
      <c r="I1475" s="1">
        <v>92000</v>
      </c>
      <c r="J1475" s="1">
        <v>77000</v>
      </c>
      <c r="K1475" s="1">
        <v>15000</v>
      </c>
      <c r="L1475" s="1">
        <v>0</v>
      </c>
      <c r="M1475" s="1" t="s">
        <v>34</v>
      </c>
      <c r="N1475" s="1" t="s">
        <v>35</v>
      </c>
      <c r="O1475" s="1" t="s">
        <v>78</v>
      </c>
      <c r="P1475" s="1" t="s">
        <v>79</v>
      </c>
      <c r="Q1475" s="1" t="s">
        <v>38</v>
      </c>
      <c r="R1475" s="1" t="s">
        <v>3387</v>
      </c>
      <c r="S1475" s="3">
        <v>919070000000</v>
      </c>
      <c r="T1475" s="1" t="s">
        <v>40</v>
      </c>
      <c r="U1475" s="1">
        <v>73</v>
      </c>
      <c r="V1475" s="1">
        <v>62</v>
      </c>
      <c r="W1475" s="1" t="s">
        <v>41</v>
      </c>
      <c r="X1475" s="1">
        <v>535414</v>
      </c>
      <c r="Y1475" s="2">
        <v>35919</v>
      </c>
      <c r="Z1475" s="1">
        <v>-1.8210262828535599</v>
      </c>
      <c r="AA1475" s="1">
        <v>26</v>
      </c>
      <c r="AB1475" s="1">
        <v>184000</v>
      </c>
      <c r="AC1475" s="1">
        <f t="shared" si="22"/>
        <v>214000</v>
      </c>
    </row>
    <row r="1476" spans="1:29" x14ac:dyDescent="0.25">
      <c r="A1476" s="1" t="s">
        <v>3406</v>
      </c>
      <c r="B1476" s="1" t="s">
        <v>3407</v>
      </c>
      <c r="C1476" s="1" t="s">
        <v>3408</v>
      </c>
      <c r="D1476" s="1">
        <v>2023</v>
      </c>
      <c r="E1476" s="1" t="s">
        <v>31</v>
      </c>
      <c r="F1476" s="1">
        <v>4</v>
      </c>
      <c r="G1476" s="1" t="s">
        <v>32</v>
      </c>
      <c r="H1476" s="1" t="s">
        <v>102</v>
      </c>
      <c r="I1476" s="1">
        <v>169000</v>
      </c>
      <c r="J1476" s="1">
        <v>154000</v>
      </c>
      <c r="K1476" s="1">
        <v>15000</v>
      </c>
      <c r="L1476" s="1">
        <v>0</v>
      </c>
      <c r="M1476" s="1" t="s">
        <v>34</v>
      </c>
      <c r="N1476" s="1" t="s">
        <v>70</v>
      </c>
      <c r="O1476" s="1" t="s">
        <v>188</v>
      </c>
      <c r="P1476" s="1" t="s">
        <v>189</v>
      </c>
      <c r="Q1476" s="1" t="s">
        <v>38</v>
      </c>
      <c r="R1476" s="1" t="s">
        <v>3409</v>
      </c>
      <c r="S1476" s="3">
        <v>917087000000</v>
      </c>
      <c r="T1476" s="1" t="s">
        <v>40</v>
      </c>
      <c r="U1476" s="1">
        <v>73</v>
      </c>
      <c r="V1476" s="1">
        <v>84</v>
      </c>
      <c r="W1476" s="1" t="s">
        <v>41</v>
      </c>
      <c r="X1476" s="1">
        <v>558501</v>
      </c>
      <c r="Y1476" s="2">
        <v>38899</v>
      </c>
      <c r="Z1476" s="1">
        <v>-1.8210262828535599</v>
      </c>
      <c r="AA1476" s="1">
        <v>18</v>
      </c>
      <c r="AB1476" s="1">
        <v>676000</v>
      </c>
      <c r="AC1476" s="1">
        <f t="shared" si="22"/>
        <v>736000</v>
      </c>
    </row>
    <row r="1477" spans="1:29" x14ac:dyDescent="0.25">
      <c r="A1477" s="1" t="s">
        <v>3427</v>
      </c>
      <c r="B1477" s="1" t="s">
        <v>3428</v>
      </c>
      <c r="C1477" s="1" t="s">
        <v>3429</v>
      </c>
      <c r="D1477" s="1">
        <v>2023</v>
      </c>
      <c r="E1477" s="1" t="s">
        <v>45</v>
      </c>
      <c r="F1477" s="1">
        <v>2</v>
      </c>
      <c r="G1477" s="1" t="s">
        <v>46</v>
      </c>
      <c r="H1477" s="1" t="s">
        <v>62</v>
      </c>
      <c r="I1477" s="1">
        <v>92000</v>
      </c>
      <c r="J1477" s="1">
        <v>77000</v>
      </c>
      <c r="K1477" s="1">
        <v>15000</v>
      </c>
      <c r="L1477" s="1">
        <v>0</v>
      </c>
      <c r="M1477" s="1" t="s">
        <v>34</v>
      </c>
      <c r="N1477" s="1" t="s">
        <v>70</v>
      </c>
      <c r="O1477" s="1" t="s">
        <v>71</v>
      </c>
      <c r="P1477" s="1" t="s">
        <v>72</v>
      </c>
      <c r="Q1477" s="1" t="s">
        <v>38</v>
      </c>
      <c r="R1477" s="1" t="s">
        <v>3430</v>
      </c>
      <c r="S1477" s="3">
        <v>919478000000</v>
      </c>
      <c r="T1477" s="1" t="s">
        <v>40</v>
      </c>
      <c r="U1477" s="1">
        <v>73</v>
      </c>
      <c r="V1477" s="1">
        <v>83</v>
      </c>
      <c r="W1477" s="1" t="s">
        <v>52</v>
      </c>
      <c r="X1477" s="1">
        <v>247498</v>
      </c>
      <c r="Y1477" s="2">
        <v>35742</v>
      </c>
      <c r="Z1477" s="1">
        <v>-1.8210262828535599</v>
      </c>
      <c r="AA1477" s="1">
        <v>26</v>
      </c>
      <c r="AB1477" s="1">
        <v>184000</v>
      </c>
      <c r="AC1477" s="1">
        <f t="shared" si="22"/>
        <v>214000</v>
      </c>
    </row>
    <row r="1478" spans="1:29" x14ac:dyDescent="0.25">
      <c r="A1478" s="1" t="s">
        <v>3431</v>
      </c>
      <c r="B1478" s="1" t="s">
        <v>3432</v>
      </c>
      <c r="C1478" s="1" t="s">
        <v>3433</v>
      </c>
      <c r="D1478" s="1">
        <v>2023</v>
      </c>
      <c r="E1478" s="1" t="s">
        <v>31</v>
      </c>
      <c r="F1478" s="1">
        <v>4</v>
      </c>
      <c r="G1478" s="1" t="s">
        <v>32</v>
      </c>
      <c r="H1478" s="1" t="s">
        <v>122</v>
      </c>
      <c r="I1478" s="1">
        <v>169000</v>
      </c>
      <c r="J1478" s="1">
        <v>154000</v>
      </c>
      <c r="K1478" s="1">
        <v>15000</v>
      </c>
      <c r="L1478" s="1">
        <v>0</v>
      </c>
      <c r="M1478" s="1" t="s">
        <v>34</v>
      </c>
      <c r="N1478" s="1" t="s">
        <v>35</v>
      </c>
      <c r="O1478" s="1" t="s">
        <v>84</v>
      </c>
      <c r="P1478" s="1" t="s">
        <v>65</v>
      </c>
      <c r="Q1478" s="1" t="s">
        <v>38</v>
      </c>
      <c r="R1478" s="1" t="s">
        <v>3434</v>
      </c>
      <c r="S1478" s="3">
        <v>918511000000</v>
      </c>
      <c r="T1478" s="1" t="s">
        <v>40</v>
      </c>
      <c r="U1478" s="1">
        <v>73</v>
      </c>
      <c r="V1478" s="1">
        <v>64</v>
      </c>
      <c r="W1478" s="1" t="s">
        <v>52</v>
      </c>
      <c r="X1478" s="1">
        <v>250544</v>
      </c>
      <c r="Y1478" s="2">
        <v>37008</v>
      </c>
      <c r="Z1478" s="1">
        <v>-1.8210262828535599</v>
      </c>
      <c r="AA1478" s="1">
        <v>23</v>
      </c>
      <c r="AB1478" s="1">
        <v>676000</v>
      </c>
      <c r="AC1478" s="1">
        <f t="shared" ref="AC1478:AC1541" si="23">IF(F1478 = 2, AB1478+30000,AB1478+60000)</f>
        <v>736000</v>
      </c>
    </row>
    <row r="1479" spans="1:29" x14ac:dyDescent="0.25">
      <c r="A1479" s="1" t="s">
        <v>3437</v>
      </c>
      <c r="B1479" s="1" t="s">
        <v>1269</v>
      </c>
      <c r="C1479" s="1" t="s">
        <v>1270</v>
      </c>
      <c r="D1479" s="1">
        <v>2023</v>
      </c>
      <c r="E1479" s="1" t="s">
        <v>31</v>
      </c>
      <c r="F1479" s="1">
        <v>4</v>
      </c>
      <c r="G1479" s="1" t="s">
        <v>32</v>
      </c>
      <c r="H1479" s="1" t="s">
        <v>90</v>
      </c>
      <c r="I1479" s="1">
        <v>169000</v>
      </c>
      <c r="J1479" s="1">
        <v>154000</v>
      </c>
      <c r="K1479" s="1">
        <v>15000</v>
      </c>
      <c r="L1479" s="1">
        <v>0</v>
      </c>
      <c r="M1479" s="1" t="s">
        <v>34</v>
      </c>
      <c r="N1479" s="1" t="s">
        <v>35</v>
      </c>
      <c r="O1479" s="1" t="s">
        <v>36</v>
      </c>
      <c r="P1479" s="1" t="s">
        <v>37</v>
      </c>
      <c r="Q1479" s="1" t="s">
        <v>38</v>
      </c>
      <c r="R1479" s="1" t="s">
        <v>3438</v>
      </c>
      <c r="S1479" s="3">
        <v>918911000000</v>
      </c>
      <c r="T1479" s="1" t="s">
        <v>86</v>
      </c>
      <c r="U1479" s="1">
        <v>73</v>
      </c>
      <c r="V1479" s="1">
        <v>90</v>
      </c>
      <c r="W1479" s="1" t="s">
        <v>52</v>
      </c>
      <c r="X1479" s="1">
        <v>645965</v>
      </c>
      <c r="Y1479" s="2">
        <v>38892</v>
      </c>
      <c r="Z1479" s="1">
        <v>-1.8210262828535599</v>
      </c>
      <c r="AA1479" s="1">
        <v>18</v>
      </c>
      <c r="AB1479" s="1">
        <v>676000</v>
      </c>
      <c r="AC1479" s="1">
        <f t="shared" si="23"/>
        <v>736000</v>
      </c>
    </row>
    <row r="1480" spans="1:29" x14ac:dyDescent="0.25">
      <c r="A1480" s="1" t="s">
        <v>3453</v>
      </c>
      <c r="B1480" s="1" t="s">
        <v>3454</v>
      </c>
      <c r="C1480" s="1" t="s">
        <v>3455</v>
      </c>
      <c r="D1480" s="1">
        <v>2023</v>
      </c>
      <c r="E1480" s="1" t="s">
        <v>31</v>
      </c>
      <c r="F1480" s="1">
        <v>4</v>
      </c>
      <c r="G1480" s="1" t="s">
        <v>32</v>
      </c>
      <c r="H1480" s="1" t="s">
        <v>113</v>
      </c>
      <c r="I1480" s="1">
        <v>169000</v>
      </c>
      <c r="J1480" s="1">
        <v>154000</v>
      </c>
      <c r="K1480" s="1">
        <v>15000</v>
      </c>
      <c r="L1480" s="1">
        <v>0</v>
      </c>
      <c r="M1480" s="1" t="s">
        <v>34</v>
      </c>
      <c r="N1480" s="1" t="s">
        <v>35</v>
      </c>
      <c r="O1480" s="1" t="s">
        <v>64</v>
      </c>
      <c r="P1480" s="1" t="s">
        <v>65</v>
      </c>
      <c r="Q1480" s="1" t="s">
        <v>38</v>
      </c>
      <c r="R1480" s="1" t="s">
        <v>3456</v>
      </c>
      <c r="S1480" s="3">
        <v>919923000000</v>
      </c>
      <c r="T1480" s="1" t="s">
        <v>98</v>
      </c>
      <c r="U1480" s="1">
        <v>73</v>
      </c>
      <c r="V1480" s="1">
        <v>73</v>
      </c>
      <c r="W1480" s="1" t="s">
        <v>52</v>
      </c>
      <c r="X1480" s="1">
        <v>528640</v>
      </c>
      <c r="Y1480" s="2">
        <v>38008</v>
      </c>
      <c r="Z1480" s="1">
        <v>-1.8210262828535599</v>
      </c>
      <c r="AA1480" s="1">
        <v>20</v>
      </c>
      <c r="AB1480" s="1">
        <v>676000</v>
      </c>
      <c r="AC1480" s="1">
        <f t="shared" si="23"/>
        <v>736000</v>
      </c>
    </row>
    <row r="1481" spans="1:29" x14ac:dyDescent="0.25">
      <c r="A1481" s="1" t="s">
        <v>3467</v>
      </c>
      <c r="B1481" s="1" t="s">
        <v>3468</v>
      </c>
      <c r="C1481" s="1" t="s">
        <v>3469</v>
      </c>
      <c r="D1481" s="1">
        <v>2023</v>
      </c>
      <c r="E1481" s="1" t="s">
        <v>31</v>
      </c>
      <c r="F1481" s="1">
        <v>4</v>
      </c>
      <c r="G1481" s="1" t="s">
        <v>32</v>
      </c>
      <c r="H1481" s="1" t="s">
        <v>33</v>
      </c>
      <c r="I1481" s="1">
        <v>169000</v>
      </c>
      <c r="J1481" s="1">
        <v>154000</v>
      </c>
      <c r="K1481" s="1">
        <v>15000</v>
      </c>
      <c r="L1481" s="1">
        <v>0</v>
      </c>
      <c r="M1481" s="1" t="s">
        <v>34</v>
      </c>
      <c r="N1481" s="1" t="s">
        <v>70</v>
      </c>
      <c r="O1481" s="1" t="s">
        <v>78</v>
      </c>
      <c r="P1481" s="1" t="s">
        <v>79</v>
      </c>
      <c r="Q1481" s="1" t="s">
        <v>38</v>
      </c>
      <c r="R1481" s="1" t="s">
        <v>3470</v>
      </c>
      <c r="S1481" s="3">
        <v>919641000000</v>
      </c>
      <c r="T1481" s="1" t="s">
        <v>74</v>
      </c>
      <c r="U1481" s="1">
        <v>73</v>
      </c>
      <c r="V1481" s="1">
        <v>65</v>
      </c>
      <c r="W1481" s="1" t="s">
        <v>52</v>
      </c>
      <c r="X1481" s="1">
        <v>282389</v>
      </c>
      <c r="Y1481" s="2">
        <v>38449</v>
      </c>
      <c r="Z1481" s="1">
        <v>-1.8210262828535599</v>
      </c>
      <c r="AA1481" s="1">
        <v>19</v>
      </c>
      <c r="AB1481" s="1">
        <v>676000</v>
      </c>
      <c r="AC1481" s="1">
        <f t="shared" si="23"/>
        <v>736000</v>
      </c>
    </row>
    <row r="1482" spans="1:29" x14ac:dyDescent="0.25">
      <c r="A1482" s="1" t="s">
        <v>3471</v>
      </c>
      <c r="B1482" s="1" t="s">
        <v>3472</v>
      </c>
      <c r="C1482" s="1" t="s">
        <v>3473</v>
      </c>
      <c r="D1482" s="1">
        <v>2023</v>
      </c>
      <c r="E1482" s="1" t="s">
        <v>31</v>
      </c>
      <c r="F1482" s="1">
        <v>4</v>
      </c>
      <c r="G1482" s="1" t="s">
        <v>32</v>
      </c>
      <c r="H1482" s="1" t="s">
        <v>210</v>
      </c>
      <c r="I1482" s="1">
        <v>169000</v>
      </c>
      <c r="J1482" s="1">
        <v>154000</v>
      </c>
      <c r="K1482" s="1">
        <v>15000</v>
      </c>
      <c r="L1482" s="1">
        <v>0</v>
      </c>
      <c r="M1482" s="1" t="s">
        <v>34</v>
      </c>
      <c r="N1482" s="1" t="s">
        <v>70</v>
      </c>
      <c r="O1482" s="1" t="s">
        <v>78</v>
      </c>
      <c r="P1482" s="1" t="s">
        <v>79</v>
      </c>
      <c r="Q1482" s="1" t="s">
        <v>38</v>
      </c>
      <c r="R1482" s="1" t="s">
        <v>3474</v>
      </c>
      <c r="S1482" s="3">
        <v>918966000000</v>
      </c>
      <c r="T1482" s="1" t="s">
        <v>51</v>
      </c>
      <c r="U1482" s="1">
        <v>72</v>
      </c>
      <c r="V1482" s="1">
        <v>79</v>
      </c>
      <c r="W1482" s="1" t="s">
        <v>52</v>
      </c>
      <c r="X1482" s="1">
        <v>119634</v>
      </c>
      <c r="Y1482" s="2">
        <v>37376</v>
      </c>
      <c r="Z1482" s="1">
        <v>-2.8210262828535599</v>
      </c>
      <c r="AA1482" s="1">
        <v>22</v>
      </c>
      <c r="AB1482" s="1">
        <v>676000</v>
      </c>
      <c r="AC1482" s="1">
        <f t="shared" si="23"/>
        <v>736000</v>
      </c>
    </row>
    <row r="1483" spans="1:29" x14ac:dyDescent="0.25">
      <c r="A1483" s="1" t="s">
        <v>3519</v>
      </c>
      <c r="B1483" s="1" t="s">
        <v>3520</v>
      </c>
      <c r="C1483" s="1" t="s">
        <v>3521</v>
      </c>
      <c r="D1483" s="1">
        <v>2023</v>
      </c>
      <c r="E1483" s="1" t="s">
        <v>31</v>
      </c>
      <c r="F1483" s="1">
        <v>4</v>
      </c>
      <c r="G1483" s="1" t="s">
        <v>32</v>
      </c>
      <c r="H1483" s="1" t="s">
        <v>210</v>
      </c>
      <c r="I1483" s="1">
        <v>169000</v>
      </c>
      <c r="J1483" s="1">
        <v>154000</v>
      </c>
      <c r="K1483" s="1">
        <v>15000</v>
      </c>
      <c r="L1483" s="1">
        <v>0</v>
      </c>
      <c r="M1483" s="1" t="s">
        <v>34</v>
      </c>
      <c r="N1483" s="1" t="s">
        <v>63</v>
      </c>
      <c r="O1483" s="1" t="s">
        <v>57</v>
      </c>
      <c r="P1483" s="1" t="s">
        <v>57</v>
      </c>
      <c r="Q1483" s="1" t="s">
        <v>38</v>
      </c>
      <c r="R1483" s="1" t="s">
        <v>3522</v>
      </c>
      <c r="S1483" s="3">
        <v>918941000000</v>
      </c>
      <c r="T1483" s="1" t="s">
        <v>98</v>
      </c>
      <c r="U1483" s="1">
        <v>72</v>
      </c>
      <c r="V1483" s="1">
        <v>88</v>
      </c>
      <c r="W1483" s="1" t="s">
        <v>52</v>
      </c>
      <c r="X1483" s="1">
        <v>644947</v>
      </c>
      <c r="Y1483" s="2">
        <v>38474</v>
      </c>
      <c r="Z1483" s="1">
        <v>-2.8210262828535599</v>
      </c>
      <c r="AA1483" s="1">
        <v>19</v>
      </c>
      <c r="AB1483" s="1">
        <v>676000</v>
      </c>
      <c r="AC1483" s="1">
        <f t="shared" si="23"/>
        <v>736000</v>
      </c>
    </row>
    <row r="1484" spans="1:29" x14ac:dyDescent="0.25">
      <c r="A1484" s="1" t="s">
        <v>3527</v>
      </c>
      <c r="B1484" s="1" t="s">
        <v>3528</v>
      </c>
      <c r="C1484" s="1" t="s">
        <v>3529</v>
      </c>
      <c r="D1484" s="1">
        <v>2023</v>
      </c>
      <c r="E1484" s="1" t="s">
        <v>31</v>
      </c>
      <c r="F1484" s="1">
        <v>4</v>
      </c>
      <c r="G1484" s="1" t="s">
        <v>32</v>
      </c>
      <c r="H1484" s="1" t="s">
        <v>62</v>
      </c>
      <c r="I1484" s="1">
        <v>169000</v>
      </c>
      <c r="J1484" s="1">
        <v>154000</v>
      </c>
      <c r="K1484" s="1">
        <v>15000</v>
      </c>
      <c r="L1484" s="1">
        <v>0</v>
      </c>
      <c r="M1484" s="1" t="s">
        <v>34</v>
      </c>
      <c r="N1484" s="1" t="s">
        <v>35</v>
      </c>
      <c r="O1484" s="1" t="s">
        <v>71</v>
      </c>
      <c r="P1484" s="1" t="s">
        <v>72</v>
      </c>
      <c r="Q1484" s="1" t="s">
        <v>38</v>
      </c>
      <c r="R1484" s="1" t="s">
        <v>3530</v>
      </c>
      <c r="S1484" s="3">
        <v>917429000000</v>
      </c>
      <c r="T1484" s="1" t="s">
        <v>98</v>
      </c>
      <c r="U1484" s="1">
        <v>72</v>
      </c>
      <c r="V1484" s="1">
        <v>90</v>
      </c>
      <c r="W1484" s="1" t="s">
        <v>52</v>
      </c>
      <c r="X1484" s="1">
        <v>712148</v>
      </c>
      <c r="Y1484" s="2">
        <v>37847</v>
      </c>
      <c r="Z1484" s="1">
        <v>-2.8210262828535599</v>
      </c>
      <c r="AA1484" s="1">
        <v>20</v>
      </c>
      <c r="AB1484" s="1">
        <v>676000</v>
      </c>
      <c r="AC1484" s="1">
        <f t="shared" si="23"/>
        <v>736000</v>
      </c>
    </row>
    <row r="1485" spans="1:29" x14ac:dyDescent="0.25">
      <c r="A1485" s="1" t="s">
        <v>3553</v>
      </c>
      <c r="B1485" s="1" t="s">
        <v>1685</v>
      </c>
      <c r="C1485" s="1" t="s">
        <v>1686</v>
      </c>
      <c r="D1485" s="1">
        <v>2023</v>
      </c>
      <c r="E1485" s="1" t="s">
        <v>31</v>
      </c>
      <c r="F1485" s="1">
        <v>4</v>
      </c>
      <c r="G1485" s="1" t="s">
        <v>32</v>
      </c>
      <c r="H1485" s="1" t="s">
        <v>90</v>
      </c>
      <c r="I1485" s="1">
        <v>169000</v>
      </c>
      <c r="J1485" s="1">
        <v>154000</v>
      </c>
      <c r="K1485" s="1">
        <v>15000</v>
      </c>
      <c r="L1485" s="1">
        <v>0</v>
      </c>
      <c r="M1485" s="1" t="s">
        <v>34</v>
      </c>
      <c r="N1485" s="1" t="s">
        <v>35</v>
      </c>
      <c r="O1485" s="1" t="s">
        <v>48</v>
      </c>
      <c r="P1485" s="1" t="s">
        <v>49</v>
      </c>
      <c r="Q1485" s="1" t="s">
        <v>38</v>
      </c>
      <c r="R1485" s="1" t="s">
        <v>3554</v>
      </c>
      <c r="S1485" s="3">
        <v>918910000000</v>
      </c>
      <c r="T1485" s="1" t="s">
        <v>86</v>
      </c>
      <c r="U1485" s="1">
        <v>72</v>
      </c>
      <c r="V1485" s="1">
        <v>82</v>
      </c>
      <c r="W1485" s="1" t="s">
        <v>41</v>
      </c>
      <c r="X1485" s="1">
        <v>460103</v>
      </c>
      <c r="Y1485" s="2">
        <v>37795</v>
      </c>
      <c r="Z1485" s="1">
        <v>-2.8210262828535599</v>
      </c>
      <c r="AA1485" s="1">
        <v>21</v>
      </c>
      <c r="AB1485" s="1">
        <v>676000</v>
      </c>
      <c r="AC1485" s="1">
        <f t="shared" si="23"/>
        <v>736000</v>
      </c>
    </row>
    <row r="1486" spans="1:29" x14ac:dyDescent="0.25">
      <c r="A1486" s="1" t="s">
        <v>3573</v>
      </c>
      <c r="B1486" s="1" t="s">
        <v>3574</v>
      </c>
      <c r="C1486" s="1" t="s">
        <v>3575</v>
      </c>
      <c r="D1486" s="1">
        <v>2023</v>
      </c>
      <c r="E1486" s="1" t="s">
        <v>31</v>
      </c>
      <c r="F1486" s="1">
        <v>4</v>
      </c>
      <c r="G1486" s="1" t="s">
        <v>32</v>
      </c>
      <c r="H1486" s="1" t="s">
        <v>62</v>
      </c>
      <c r="I1486" s="1">
        <v>169000</v>
      </c>
      <c r="J1486" s="1">
        <v>154000</v>
      </c>
      <c r="K1486" s="1">
        <v>15000</v>
      </c>
      <c r="L1486" s="1">
        <v>0</v>
      </c>
      <c r="M1486" s="1" t="s">
        <v>34</v>
      </c>
      <c r="N1486" s="1" t="s">
        <v>35</v>
      </c>
      <c r="O1486" s="1" t="s">
        <v>103</v>
      </c>
      <c r="P1486" s="1" t="s">
        <v>104</v>
      </c>
      <c r="Q1486" s="1" t="s">
        <v>38</v>
      </c>
      <c r="R1486" s="1" t="s">
        <v>3576</v>
      </c>
      <c r="S1486" s="3">
        <v>917697000000</v>
      </c>
      <c r="T1486" s="1" t="s">
        <v>51</v>
      </c>
      <c r="U1486" s="1">
        <v>72</v>
      </c>
      <c r="V1486" s="1">
        <v>74</v>
      </c>
      <c r="W1486" s="1" t="s">
        <v>41</v>
      </c>
      <c r="X1486" s="1">
        <v>624087</v>
      </c>
      <c r="Y1486" s="2">
        <v>36894</v>
      </c>
      <c r="Z1486" s="1">
        <v>-2.8210262828535599</v>
      </c>
      <c r="AA1486" s="1">
        <v>23</v>
      </c>
      <c r="AB1486" s="1">
        <v>676000</v>
      </c>
      <c r="AC1486" s="1">
        <f t="shared" si="23"/>
        <v>736000</v>
      </c>
    </row>
    <row r="1487" spans="1:29" x14ac:dyDescent="0.25">
      <c r="A1487" s="1" t="s">
        <v>3622</v>
      </c>
      <c r="B1487" s="1" t="s">
        <v>3623</v>
      </c>
      <c r="C1487" s="1" t="s">
        <v>3624</v>
      </c>
      <c r="D1487" s="1">
        <v>2023</v>
      </c>
      <c r="E1487" s="1" t="s">
        <v>31</v>
      </c>
      <c r="F1487" s="1">
        <v>4</v>
      </c>
      <c r="G1487" s="1" t="s">
        <v>32</v>
      </c>
      <c r="H1487" s="1" t="s">
        <v>90</v>
      </c>
      <c r="I1487" s="1">
        <v>169000</v>
      </c>
      <c r="J1487" s="1">
        <v>154000</v>
      </c>
      <c r="K1487" s="1">
        <v>15000</v>
      </c>
      <c r="L1487" s="1">
        <v>0</v>
      </c>
      <c r="M1487" s="1" t="s">
        <v>34</v>
      </c>
      <c r="N1487" s="1" t="s">
        <v>35</v>
      </c>
      <c r="O1487" s="1" t="s">
        <v>36</v>
      </c>
      <c r="P1487" s="1" t="s">
        <v>37</v>
      </c>
      <c r="Q1487" s="1" t="s">
        <v>38</v>
      </c>
      <c r="R1487" s="1" t="s">
        <v>3625</v>
      </c>
      <c r="S1487" s="3">
        <v>918476000000</v>
      </c>
      <c r="T1487" s="1" t="s">
        <v>98</v>
      </c>
      <c r="U1487" s="1">
        <v>72</v>
      </c>
      <c r="V1487" s="1">
        <v>89</v>
      </c>
      <c r="W1487" s="1" t="s">
        <v>52</v>
      </c>
      <c r="X1487" s="1">
        <v>287773</v>
      </c>
      <c r="Y1487" s="2">
        <v>38058</v>
      </c>
      <c r="Z1487" s="1">
        <v>-2.8210262828535599</v>
      </c>
      <c r="AA1487" s="1">
        <v>20</v>
      </c>
      <c r="AB1487" s="1">
        <v>676000</v>
      </c>
      <c r="AC1487" s="1">
        <f t="shared" si="23"/>
        <v>736000</v>
      </c>
    </row>
    <row r="1488" spans="1:29" x14ac:dyDescent="0.25">
      <c r="A1488" s="1" t="s">
        <v>3634</v>
      </c>
      <c r="B1488" s="1" t="s">
        <v>3635</v>
      </c>
      <c r="C1488" s="1" t="s">
        <v>3636</v>
      </c>
      <c r="D1488" s="1">
        <v>2023</v>
      </c>
      <c r="E1488" s="1" t="s">
        <v>31</v>
      </c>
      <c r="F1488" s="1">
        <v>4</v>
      </c>
      <c r="G1488" s="1" t="s">
        <v>32</v>
      </c>
      <c r="H1488" s="1" t="s">
        <v>210</v>
      </c>
      <c r="I1488" s="1">
        <v>169000</v>
      </c>
      <c r="J1488" s="1">
        <v>154000</v>
      </c>
      <c r="K1488" s="1">
        <v>15000</v>
      </c>
      <c r="L1488" s="1">
        <v>0</v>
      </c>
      <c r="M1488" s="1" t="s">
        <v>34</v>
      </c>
      <c r="N1488" s="1" t="s">
        <v>63</v>
      </c>
      <c r="O1488" s="1" t="s">
        <v>91</v>
      </c>
      <c r="P1488" s="1" t="s">
        <v>92</v>
      </c>
      <c r="Q1488" s="1" t="s">
        <v>38</v>
      </c>
      <c r="R1488" s="1" t="s">
        <v>3637</v>
      </c>
      <c r="S1488" s="3">
        <v>917932000000</v>
      </c>
      <c r="T1488" s="1" t="s">
        <v>98</v>
      </c>
      <c r="U1488" s="1">
        <v>72</v>
      </c>
      <c r="V1488" s="1">
        <v>60</v>
      </c>
      <c r="W1488" s="1" t="s">
        <v>41</v>
      </c>
      <c r="X1488" s="1">
        <v>376879</v>
      </c>
      <c r="Y1488" s="2">
        <v>38354</v>
      </c>
      <c r="Z1488" s="1">
        <v>-2.8210262828535599</v>
      </c>
      <c r="AA1488" s="1">
        <v>19</v>
      </c>
      <c r="AB1488" s="1">
        <v>676000</v>
      </c>
      <c r="AC1488" s="1">
        <f t="shared" si="23"/>
        <v>736000</v>
      </c>
    </row>
    <row r="1489" spans="1:29" x14ac:dyDescent="0.25">
      <c r="A1489" s="1" t="s">
        <v>3638</v>
      </c>
      <c r="B1489" s="1" t="s">
        <v>1557</v>
      </c>
      <c r="C1489" s="1" t="s">
        <v>1558</v>
      </c>
      <c r="D1489" s="1">
        <v>2023</v>
      </c>
      <c r="E1489" s="1" t="s">
        <v>31</v>
      </c>
      <c r="F1489" s="1">
        <v>4</v>
      </c>
      <c r="G1489" s="1" t="s">
        <v>32</v>
      </c>
      <c r="H1489" s="1" t="s">
        <v>210</v>
      </c>
      <c r="I1489" s="1">
        <v>169000</v>
      </c>
      <c r="J1489" s="1">
        <v>154000</v>
      </c>
      <c r="K1489" s="1">
        <v>15000</v>
      </c>
      <c r="L1489" s="1">
        <v>0</v>
      </c>
      <c r="M1489" s="1" t="s">
        <v>34</v>
      </c>
      <c r="N1489" s="1" t="s">
        <v>63</v>
      </c>
      <c r="O1489" s="1" t="s">
        <v>57</v>
      </c>
      <c r="P1489" s="1" t="s">
        <v>57</v>
      </c>
      <c r="Q1489" s="1" t="s">
        <v>38</v>
      </c>
      <c r="R1489" s="1" t="s">
        <v>3639</v>
      </c>
      <c r="S1489" s="3">
        <v>918099000000</v>
      </c>
      <c r="T1489" s="1" t="s">
        <v>98</v>
      </c>
      <c r="U1489" s="1">
        <v>72</v>
      </c>
      <c r="V1489" s="1">
        <v>91</v>
      </c>
      <c r="W1489" s="1" t="s">
        <v>52</v>
      </c>
      <c r="X1489" s="1">
        <v>653086</v>
      </c>
      <c r="Y1489" s="2">
        <v>38285</v>
      </c>
      <c r="Z1489" s="1">
        <v>-2.8210262828535599</v>
      </c>
      <c r="AA1489" s="1">
        <v>19</v>
      </c>
      <c r="AB1489" s="1">
        <v>676000</v>
      </c>
      <c r="AC1489" s="1">
        <f t="shared" si="23"/>
        <v>736000</v>
      </c>
    </row>
    <row r="1490" spans="1:29" x14ac:dyDescent="0.25">
      <c r="A1490" s="1" t="s">
        <v>3652</v>
      </c>
      <c r="B1490" s="1" t="s">
        <v>2547</v>
      </c>
      <c r="C1490" s="1" t="s">
        <v>2548</v>
      </c>
      <c r="D1490" s="1">
        <v>2023</v>
      </c>
      <c r="E1490" s="1" t="s">
        <v>45</v>
      </c>
      <c r="F1490" s="1">
        <v>2</v>
      </c>
      <c r="G1490" s="1" t="s">
        <v>46</v>
      </c>
      <c r="H1490" s="1" t="s">
        <v>62</v>
      </c>
      <c r="I1490" s="1">
        <v>92000</v>
      </c>
      <c r="J1490" s="1">
        <v>77000</v>
      </c>
      <c r="K1490" s="1">
        <v>15000</v>
      </c>
      <c r="L1490" s="1">
        <v>0</v>
      </c>
      <c r="M1490" s="1" t="s">
        <v>34</v>
      </c>
      <c r="N1490" s="1" t="s">
        <v>63</v>
      </c>
      <c r="O1490" s="1" t="s">
        <v>91</v>
      </c>
      <c r="P1490" s="1" t="s">
        <v>92</v>
      </c>
      <c r="Q1490" s="1" t="s">
        <v>38</v>
      </c>
      <c r="R1490" s="1" t="s">
        <v>3653</v>
      </c>
      <c r="S1490" s="3">
        <v>917596000000</v>
      </c>
      <c r="T1490" s="1" t="s">
        <v>74</v>
      </c>
      <c r="U1490" s="1">
        <v>72</v>
      </c>
      <c r="V1490" s="1">
        <v>78</v>
      </c>
      <c r="W1490" s="1" t="s">
        <v>52</v>
      </c>
      <c r="X1490" s="1">
        <v>701032</v>
      </c>
      <c r="Y1490" s="2">
        <v>35525</v>
      </c>
      <c r="Z1490" s="1">
        <v>-2.8210262828535599</v>
      </c>
      <c r="AA1490" s="1">
        <v>27</v>
      </c>
      <c r="AB1490" s="1">
        <v>184000</v>
      </c>
      <c r="AC1490" s="1">
        <f t="shared" si="23"/>
        <v>214000</v>
      </c>
    </row>
    <row r="1491" spans="1:29" x14ac:dyDescent="0.25">
      <c r="A1491" s="1" t="s">
        <v>3654</v>
      </c>
      <c r="B1491" s="1" t="s">
        <v>3655</v>
      </c>
      <c r="C1491" s="1" t="s">
        <v>3656</v>
      </c>
      <c r="D1491" s="1">
        <v>2023</v>
      </c>
      <c r="E1491" s="1" t="s">
        <v>31</v>
      </c>
      <c r="F1491" s="1">
        <v>4</v>
      </c>
      <c r="G1491" s="1" t="s">
        <v>32</v>
      </c>
      <c r="H1491" s="1" t="s">
        <v>62</v>
      </c>
      <c r="I1491" s="1">
        <v>169000</v>
      </c>
      <c r="J1491" s="1">
        <v>154000</v>
      </c>
      <c r="K1491" s="1">
        <v>15000</v>
      </c>
      <c r="L1491" s="1">
        <v>0</v>
      </c>
      <c r="M1491" s="1" t="s">
        <v>34</v>
      </c>
      <c r="N1491" s="1" t="s">
        <v>35</v>
      </c>
      <c r="O1491" s="1" t="s">
        <v>84</v>
      </c>
      <c r="P1491" s="1" t="s">
        <v>65</v>
      </c>
      <c r="Q1491" s="1" t="s">
        <v>38</v>
      </c>
      <c r="R1491" s="1" t="s">
        <v>3657</v>
      </c>
      <c r="S1491" s="3">
        <v>919923000000</v>
      </c>
      <c r="T1491" s="1" t="s">
        <v>86</v>
      </c>
      <c r="U1491" s="1">
        <v>72</v>
      </c>
      <c r="V1491" s="1">
        <v>81</v>
      </c>
      <c r="W1491" s="1" t="s">
        <v>41</v>
      </c>
      <c r="X1491" s="1">
        <v>473601</v>
      </c>
      <c r="Y1491" s="2">
        <v>38190</v>
      </c>
      <c r="Z1491" s="1">
        <v>-2.8210262828535599</v>
      </c>
      <c r="AA1491" s="1">
        <v>19</v>
      </c>
      <c r="AB1491" s="1">
        <v>676000</v>
      </c>
      <c r="AC1491" s="1">
        <f t="shared" si="23"/>
        <v>736000</v>
      </c>
    </row>
    <row r="1492" spans="1:29" x14ac:dyDescent="0.25">
      <c r="A1492" s="1" t="s">
        <v>3664</v>
      </c>
      <c r="B1492" s="1" t="s">
        <v>3665</v>
      </c>
      <c r="C1492" s="1" t="s">
        <v>3666</v>
      </c>
      <c r="D1492" s="1">
        <v>2023</v>
      </c>
      <c r="E1492" s="1" t="s">
        <v>31</v>
      </c>
      <c r="F1492" s="1">
        <v>4</v>
      </c>
      <c r="G1492" s="1" t="s">
        <v>32</v>
      </c>
      <c r="H1492" s="1" t="s">
        <v>62</v>
      </c>
      <c r="I1492" s="1">
        <v>169000</v>
      </c>
      <c r="J1492" s="1">
        <v>154000</v>
      </c>
      <c r="K1492" s="1">
        <v>15000</v>
      </c>
      <c r="L1492" s="1">
        <v>0</v>
      </c>
      <c r="M1492" s="1" t="s">
        <v>34</v>
      </c>
      <c r="N1492" s="1" t="s">
        <v>35</v>
      </c>
      <c r="O1492" s="1" t="s">
        <v>84</v>
      </c>
      <c r="P1492" s="1" t="s">
        <v>65</v>
      </c>
      <c r="Q1492" s="1" t="s">
        <v>38</v>
      </c>
      <c r="R1492" s="1" t="s">
        <v>3667</v>
      </c>
      <c r="S1492" s="3">
        <v>917638000000</v>
      </c>
      <c r="T1492" s="1" t="s">
        <v>98</v>
      </c>
      <c r="U1492" s="1">
        <v>72</v>
      </c>
      <c r="V1492" s="1">
        <v>81</v>
      </c>
      <c r="W1492" s="1" t="s">
        <v>41</v>
      </c>
      <c r="X1492" s="1">
        <v>414115</v>
      </c>
      <c r="Y1492" s="2">
        <v>37118</v>
      </c>
      <c r="Z1492" s="1">
        <v>-2.8210262828535599</v>
      </c>
      <c r="AA1492" s="1">
        <v>22</v>
      </c>
      <c r="AB1492" s="1">
        <v>676000</v>
      </c>
      <c r="AC1492" s="1">
        <f t="shared" si="23"/>
        <v>736000</v>
      </c>
    </row>
    <row r="1493" spans="1:29" x14ac:dyDescent="0.25">
      <c r="A1493" s="1" t="s">
        <v>3668</v>
      </c>
      <c r="B1493" s="1" t="s">
        <v>3669</v>
      </c>
      <c r="C1493" s="1" t="s">
        <v>3670</v>
      </c>
      <c r="D1493" s="1">
        <v>2023</v>
      </c>
      <c r="E1493" s="1" t="s">
        <v>31</v>
      </c>
      <c r="F1493" s="1">
        <v>4</v>
      </c>
      <c r="G1493" s="1" t="s">
        <v>32</v>
      </c>
      <c r="H1493" s="1" t="s">
        <v>33</v>
      </c>
      <c r="I1493" s="1">
        <v>169000</v>
      </c>
      <c r="J1493" s="1">
        <v>154000</v>
      </c>
      <c r="K1493" s="1">
        <v>15000</v>
      </c>
      <c r="L1493" s="1">
        <v>0</v>
      </c>
      <c r="M1493" s="1" t="s">
        <v>34</v>
      </c>
      <c r="N1493" s="1" t="s">
        <v>70</v>
      </c>
      <c r="O1493" s="1" t="s">
        <v>57</v>
      </c>
      <c r="P1493" s="1" t="s">
        <v>57</v>
      </c>
      <c r="Q1493" s="1" t="s">
        <v>38</v>
      </c>
      <c r="R1493" s="1" t="s">
        <v>3671</v>
      </c>
      <c r="S1493" s="3">
        <v>919016000000</v>
      </c>
      <c r="T1493" s="1" t="s">
        <v>51</v>
      </c>
      <c r="U1493" s="1">
        <v>72</v>
      </c>
      <c r="V1493" s="1">
        <v>60</v>
      </c>
      <c r="W1493" s="1" t="s">
        <v>41</v>
      </c>
      <c r="X1493" s="1">
        <v>431416</v>
      </c>
      <c r="Y1493" s="2">
        <v>37446</v>
      </c>
      <c r="Z1493" s="1">
        <v>-2.8210262828535599</v>
      </c>
      <c r="AA1493" s="1">
        <v>21</v>
      </c>
      <c r="AB1493" s="1">
        <v>676000</v>
      </c>
      <c r="AC1493" s="1">
        <f t="shared" si="23"/>
        <v>736000</v>
      </c>
    </row>
    <row r="1494" spans="1:29" x14ac:dyDescent="0.25">
      <c r="A1494" s="1" t="s">
        <v>3687</v>
      </c>
      <c r="B1494" s="1" t="s">
        <v>1083</v>
      </c>
      <c r="C1494" s="1" t="s">
        <v>1084</v>
      </c>
      <c r="D1494" s="1">
        <v>2023</v>
      </c>
      <c r="E1494" s="1" t="s">
        <v>31</v>
      </c>
      <c r="F1494" s="1">
        <v>4</v>
      </c>
      <c r="G1494" s="1" t="s">
        <v>32</v>
      </c>
      <c r="H1494" s="1" t="s">
        <v>151</v>
      </c>
      <c r="I1494" s="1">
        <v>169000</v>
      </c>
      <c r="J1494" s="1">
        <v>154000</v>
      </c>
      <c r="K1494" s="1">
        <v>15000</v>
      </c>
      <c r="L1494" s="1">
        <v>0</v>
      </c>
      <c r="M1494" s="1" t="s">
        <v>34</v>
      </c>
      <c r="N1494" s="1" t="s">
        <v>63</v>
      </c>
      <c r="O1494" s="1" t="s">
        <v>78</v>
      </c>
      <c r="P1494" s="1" t="s">
        <v>79</v>
      </c>
      <c r="Q1494" s="1" t="s">
        <v>38</v>
      </c>
      <c r="R1494" s="1" t="s">
        <v>3688</v>
      </c>
      <c r="S1494" s="3">
        <v>918133000000</v>
      </c>
      <c r="T1494" s="1" t="s">
        <v>40</v>
      </c>
      <c r="U1494" s="1">
        <v>71</v>
      </c>
      <c r="V1494" s="1">
        <v>92</v>
      </c>
      <c r="W1494" s="1" t="s">
        <v>52</v>
      </c>
      <c r="X1494" s="1">
        <v>296377</v>
      </c>
      <c r="Y1494" s="2">
        <v>37403</v>
      </c>
      <c r="Z1494" s="1">
        <v>-3.8210262828535599</v>
      </c>
      <c r="AA1494" s="1">
        <v>22</v>
      </c>
      <c r="AB1494" s="1">
        <v>676000</v>
      </c>
      <c r="AC1494" s="1">
        <f t="shared" si="23"/>
        <v>736000</v>
      </c>
    </row>
    <row r="1495" spans="1:29" x14ac:dyDescent="0.25">
      <c r="A1495" s="1" t="s">
        <v>3689</v>
      </c>
      <c r="B1495" s="1" t="s">
        <v>3185</v>
      </c>
      <c r="C1495" s="1" t="s">
        <v>3186</v>
      </c>
      <c r="D1495" s="1">
        <v>2023</v>
      </c>
      <c r="E1495" s="1" t="s">
        <v>31</v>
      </c>
      <c r="F1495" s="1">
        <v>4</v>
      </c>
      <c r="G1495" s="1" t="s">
        <v>32</v>
      </c>
      <c r="H1495" s="1" t="s">
        <v>113</v>
      </c>
      <c r="I1495" s="1">
        <v>169000</v>
      </c>
      <c r="J1495" s="1">
        <v>154000</v>
      </c>
      <c r="K1495" s="1">
        <v>15000</v>
      </c>
      <c r="L1495" s="1">
        <v>0</v>
      </c>
      <c r="M1495" s="1" t="s">
        <v>34</v>
      </c>
      <c r="N1495" s="1" t="s">
        <v>35</v>
      </c>
      <c r="O1495" s="1" t="s">
        <v>36</v>
      </c>
      <c r="P1495" s="1" t="s">
        <v>37</v>
      </c>
      <c r="Q1495" s="1" t="s">
        <v>38</v>
      </c>
      <c r="R1495" s="1" t="s">
        <v>3690</v>
      </c>
      <c r="S1495" s="3">
        <v>918945000000</v>
      </c>
      <c r="T1495" s="1" t="s">
        <v>74</v>
      </c>
      <c r="U1495" s="1">
        <v>71</v>
      </c>
      <c r="V1495" s="1">
        <v>72</v>
      </c>
      <c r="W1495" s="1" t="s">
        <v>52</v>
      </c>
      <c r="X1495" s="1">
        <v>278931</v>
      </c>
      <c r="Y1495" s="2">
        <v>37294</v>
      </c>
      <c r="Z1495" s="1">
        <v>-3.8210262828535599</v>
      </c>
      <c r="AA1495" s="1">
        <v>22</v>
      </c>
      <c r="AB1495" s="1">
        <v>676000</v>
      </c>
      <c r="AC1495" s="1">
        <f t="shared" si="23"/>
        <v>736000</v>
      </c>
    </row>
    <row r="1496" spans="1:29" x14ac:dyDescent="0.25">
      <c r="A1496" s="1" t="s">
        <v>3703</v>
      </c>
      <c r="B1496" s="1" t="s">
        <v>3115</v>
      </c>
      <c r="C1496" s="1" t="s">
        <v>3116</v>
      </c>
      <c r="D1496" s="1">
        <v>2023</v>
      </c>
      <c r="E1496" s="1" t="s">
        <v>31</v>
      </c>
      <c r="F1496" s="1">
        <v>4</v>
      </c>
      <c r="G1496" s="1" t="s">
        <v>32</v>
      </c>
      <c r="H1496" s="1" t="s">
        <v>33</v>
      </c>
      <c r="I1496" s="1">
        <v>169000</v>
      </c>
      <c r="J1496" s="1">
        <v>154000</v>
      </c>
      <c r="K1496" s="1">
        <v>15000</v>
      </c>
      <c r="L1496" s="1">
        <v>0</v>
      </c>
      <c r="M1496" s="1" t="s">
        <v>34</v>
      </c>
      <c r="N1496" s="1" t="s">
        <v>70</v>
      </c>
      <c r="O1496" s="1" t="s">
        <v>78</v>
      </c>
      <c r="P1496" s="1" t="s">
        <v>79</v>
      </c>
      <c r="Q1496" s="1" t="s">
        <v>38</v>
      </c>
      <c r="R1496" s="1" t="s">
        <v>3704</v>
      </c>
      <c r="S1496" s="3">
        <v>917031000000</v>
      </c>
      <c r="T1496" s="1" t="s">
        <v>51</v>
      </c>
      <c r="U1496" s="1">
        <v>71</v>
      </c>
      <c r="V1496" s="1">
        <v>74</v>
      </c>
      <c r="W1496" s="1" t="s">
        <v>52</v>
      </c>
      <c r="X1496" s="1">
        <v>245862</v>
      </c>
      <c r="Y1496" s="2">
        <v>38477</v>
      </c>
      <c r="Z1496" s="1">
        <v>-3.8210262828535599</v>
      </c>
      <c r="AA1496" s="1">
        <v>19</v>
      </c>
      <c r="AB1496" s="1">
        <v>676000</v>
      </c>
      <c r="AC1496" s="1">
        <f t="shared" si="23"/>
        <v>736000</v>
      </c>
    </row>
    <row r="1497" spans="1:29" x14ac:dyDescent="0.25">
      <c r="A1497" s="1" t="s">
        <v>3705</v>
      </c>
      <c r="B1497" s="1" t="s">
        <v>3706</v>
      </c>
      <c r="C1497" s="1" t="s">
        <v>3707</v>
      </c>
      <c r="D1497" s="1">
        <v>2023</v>
      </c>
      <c r="E1497" s="1" t="s">
        <v>31</v>
      </c>
      <c r="F1497" s="1">
        <v>4</v>
      </c>
      <c r="G1497" s="1" t="s">
        <v>32</v>
      </c>
      <c r="H1497" s="1" t="s">
        <v>47</v>
      </c>
      <c r="I1497" s="1">
        <v>169000</v>
      </c>
      <c r="J1497" s="1">
        <v>154000</v>
      </c>
      <c r="K1497" s="1">
        <v>15000</v>
      </c>
      <c r="L1497" s="1">
        <v>0</v>
      </c>
      <c r="M1497" s="1" t="s">
        <v>34</v>
      </c>
      <c r="N1497" s="1" t="s">
        <v>35</v>
      </c>
      <c r="O1497" s="1" t="s">
        <v>103</v>
      </c>
      <c r="P1497" s="1" t="s">
        <v>104</v>
      </c>
      <c r="Q1497" s="1" t="s">
        <v>38</v>
      </c>
      <c r="R1497" s="1" t="s">
        <v>3708</v>
      </c>
      <c r="S1497" s="3">
        <v>918290000000</v>
      </c>
      <c r="T1497" s="1" t="s">
        <v>40</v>
      </c>
      <c r="U1497" s="1">
        <v>71</v>
      </c>
      <c r="V1497" s="1">
        <v>62</v>
      </c>
      <c r="W1497" s="1" t="s">
        <v>52</v>
      </c>
      <c r="X1497" s="1">
        <v>784163</v>
      </c>
      <c r="Y1497" s="2">
        <v>38341</v>
      </c>
      <c r="Z1497" s="1">
        <v>-3.8210262828535599</v>
      </c>
      <c r="AA1497" s="1">
        <v>19</v>
      </c>
      <c r="AB1497" s="1">
        <v>676000</v>
      </c>
      <c r="AC1497" s="1">
        <f t="shared" si="23"/>
        <v>736000</v>
      </c>
    </row>
    <row r="1498" spans="1:29" x14ac:dyDescent="0.25">
      <c r="A1498" s="1" t="s">
        <v>3719</v>
      </c>
      <c r="B1498" s="1" t="s">
        <v>3720</v>
      </c>
      <c r="C1498" s="1" t="s">
        <v>3721</v>
      </c>
      <c r="D1498" s="1">
        <v>2023</v>
      </c>
      <c r="E1498" s="1" t="s">
        <v>31</v>
      </c>
      <c r="F1498" s="1">
        <v>4</v>
      </c>
      <c r="G1498" s="1" t="s">
        <v>32</v>
      </c>
      <c r="H1498" s="1" t="s">
        <v>210</v>
      </c>
      <c r="I1498" s="1">
        <v>169000</v>
      </c>
      <c r="J1498" s="1">
        <v>154000</v>
      </c>
      <c r="K1498" s="1">
        <v>15000</v>
      </c>
      <c r="L1498" s="1">
        <v>0</v>
      </c>
      <c r="M1498" s="1" t="s">
        <v>34</v>
      </c>
      <c r="N1498" s="1" t="s">
        <v>63</v>
      </c>
      <c r="O1498" s="1" t="s">
        <v>84</v>
      </c>
      <c r="P1498" s="1" t="s">
        <v>65</v>
      </c>
      <c r="Q1498" s="1" t="s">
        <v>38</v>
      </c>
      <c r="R1498" s="1" t="s">
        <v>3722</v>
      </c>
      <c r="S1498" s="3">
        <v>917197000000</v>
      </c>
      <c r="T1498" s="1" t="s">
        <v>74</v>
      </c>
      <c r="U1498" s="1">
        <v>71</v>
      </c>
      <c r="V1498" s="1">
        <v>71</v>
      </c>
      <c r="W1498" s="1" t="s">
        <v>52</v>
      </c>
      <c r="X1498" s="1">
        <v>442496</v>
      </c>
      <c r="Y1498" s="2">
        <v>38630</v>
      </c>
      <c r="Z1498" s="1">
        <v>-3.8210262828535599</v>
      </c>
      <c r="AA1498" s="1">
        <v>18</v>
      </c>
      <c r="AB1498" s="1">
        <v>676000</v>
      </c>
      <c r="AC1498" s="1">
        <f t="shared" si="23"/>
        <v>736000</v>
      </c>
    </row>
    <row r="1499" spans="1:29" x14ac:dyDescent="0.25">
      <c r="A1499" s="1" t="s">
        <v>3737</v>
      </c>
      <c r="B1499" s="1" t="s">
        <v>3738</v>
      </c>
      <c r="C1499" s="1" t="s">
        <v>3739</v>
      </c>
      <c r="D1499" s="1">
        <v>2023</v>
      </c>
      <c r="E1499" s="1" t="s">
        <v>31</v>
      </c>
      <c r="F1499" s="1">
        <v>4</v>
      </c>
      <c r="G1499" s="1" t="s">
        <v>32</v>
      </c>
      <c r="H1499" s="1" t="s">
        <v>56</v>
      </c>
      <c r="I1499" s="1">
        <v>169000</v>
      </c>
      <c r="J1499" s="1">
        <v>154000</v>
      </c>
      <c r="K1499" s="1">
        <v>15000</v>
      </c>
      <c r="L1499" s="1">
        <v>0</v>
      </c>
      <c r="M1499" s="1" t="s">
        <v>34</v>
      </c>
      <c r="N1499" s="1" t="s">
        <v>70</v>
      </c>
      <c r="O1499" s="1" t="s">
        <v>64</v>
      </c>
      <c r="P1499" s="1" t="s">
        <v>65</v>
      </c>
      <c r="Q1499" s="1" t="s">
        <v>38</v>
      </c>
      <c r="R1499" s="1" t="s">
        <v>3740</v>
      </c>
      <c r="S1499" s="3">
        <v>919129000000</v>
      </c>
      <c r="T1499" s="1" t="s">
        <v>86</v>
      </c>
      <c r="U1499" s="1">
        <v>71</v>
      </c>
      <c r="V1499" s="1">
        <v>86</v>
      </c>
      <c r="W1499" s="1" t="s">
        <v>52</v>
      </c>
      <c r="X1499" s="1">
        <v>569800</v>
      </c>
      <c r="Y1499" s="2">
        <v>37391</v>
      </c>
      <c r="Z1499" s="1">
        <v>-3.8210262828535599</v>
      </c>
      <c r="AA1499" s="1">
        <v>22</v>
      </c>
      <c r="AB1499" s="1">
        <v>676000</v>
      </c>
      <c r="AC1499" s="1">
        <f t="shared" si="23"/>
        <v>736000</v>
      </c>
    </row>
    <row r="1500" spans="1:29" x14ac:dyDescent="0.25">
      <c r="A1500" s="1" t="s">
        <v>3745</v>
      </c>
      <c r="B1500" s="1" t="s">
        <v>3746</v>
      </c>
      <c r="C1500" s="1" t="s">
        <v>3747</v>
      </c>
      <c r="D1500" s="1">
        <v>2023</v>
      </c>
      <c r="E1500" s="1" t="s">
        <v>31</v>
      </c>
      <c r="F1500" s="1">
        <v>4</v>
      </c>
      <c r="G1500" s="1" t="s">
        <v>32</v>
      </c>
      <c r="H1500" s="1" t="s">
        <v>56</v>
      </c>
      <c r="I1500" s="1">
        <v>169000</v>
      </c>
      <c r="J1500" s="1">
        <v>154000</v>
      </c>
      <c r="K1500" s="1">
        <v>15000</v>
      </c>
      <c r="L1500" s="1">
        <v>0</v>
      </c>
      <c r="M1500" s="1" t="s">
        <v>34</v>
      </c>
      <c r="N1500" s="1" t="s">
        <v>35</v>
      </c>
      <c r="O1500" s="1" t="s">
        <v>36</v>
      </c>
      <c r="P1500" s="1" t="s">
        <v>37</v>
      </c>
      <c r="Q1500" s="1" t="s">
        <v>38</v>
      </c>
      <c r="R1500" s="1" t="s">
        <v>3748</v>
      </c>
      <c r="S1500" s="3">
        <v>918479000000</v>
      </c>
      <c r="T1500" s="1" t="s">
        <v>98</v>
      </c>
      <c r="U1500" s="1">
        <v>71</v>
      </c>
      <c r="V1500" s="1">
        <v>64</v>
      </c>
      <c r="W1500" s="1" t="s">
        <v>41</v>
      </c>
      <c r="X1500" s="1">
        <v>748878</v>
      </c>
      <c r="Y1500" s="2">
        <v>38473</v>
      </c>
      <c r="Z1500" s="1">
        <v>-3.8210262828535599</v>
      </c>
      <c r="AA1500" s="1">
        <v>19</v>
      </c>
      <c r="AB1500" s="1">
        <v>676000</v>
      </c>
      <c r="AC1500" s="1">
        <f t="shared" si="23"/>
        <v>736000</v>
      </c>
    </row>
    <row r="1501" spans="1:29" x14ac:dyDescent="0.25">
      <c r="A1501" s="1" t="s">
        <v>3809</v>
      </c>
      <c r="B1501" s="1" t="s">
        <v>2686</v>
      </c>
      <c r="C1501" s="1" t="s">
        <v>2687</v>
      </c>
      <c r="D1501" s="1">
        <v>2023</v>
      </c>
      <c r="E1501" s="1" t="s">
        <v>45</v>
      </c>
      <c r="F1501" s="1">
        <v>2</v>
      </c>
      <c r="G1501" s="1" t="s">
        <v>46</v>
      </c>
      <c r="H1501" s="1" t="s">
        <v>62</v>
      </c>
      <c r="I1501" s="1">
        <v>92000</v>
      </c>
      <c r="J1501" s="1">
        <v>77000</v>
      </c>
      <c r="K1501" s="1">
        <v>15000</v>
      </c>
      <c r="L1501" s="1">
        <v>0</v>
      </c>
      <c r="M1501" s="1" t="s">
        <v>34</v>
      </c>
      <c r="N1501" s="1" t="s">
        <v>35</v>
      </c>
      <c r="O1501" s="1" t="s">
        <v>103</v>
      </c>
      <c r="P1501" s="1" t="s">
        <v>104</v>
      </c>
      <c r="Q1501" s="1" t="s">
        <v>38</v>
      </c>
      <c r="R1501" s="1" t="s">
        <v>3810</v>
      </c>
      <c r="S1501" s="3">
        <v>918481000000</v>
      </c>
      <c r="T1501" s="1" t="s">
        <v>98</v>
      </c>
      <c r="U1501" s="1">
        <v>71</v>
      </c>
      <c r="V1501" s="1">
        <v>71</v>
      </c>
      <c r="W1501" s="1" t="s">
        <v>41</v>
      </c>
      <c r="X1501" s="1">
        <v>681695</v>
      </c>
      <c r="Y1501" s="2">
        <v>36773</v>
      </c>
      <c r="Z1501" s="1">
        <v>-3.8210262828535599</v>
      </c>
      <c r="AA1501" s="1">
        <v>23</v>
      </c>
      <c r="AB1501" s="1">
        <v>184000</v>
      </c>
      <c r="AC1501" s="1">
        <f t="shared" si="23"/>
        <v>214000</v>
      </c>
    </row>
    <row r="1502" spans="1:29" x14ac:dyDescent="0.25">
      <c r="A1502" s="1" t="s">
        <v>3819</v>
      </c>
      <c r="B1502" s="1" t="s">
        <v>3820</v>
      </c>
      <c r="C1502" s="1" t="s">
        <v>3821</v>
      </c>
      <c r="D1502" s="1">
        <v>2023</v>
      </c>
      <c r="E1502" s="1" t="s">
        <v>45</v>
      </c>
      <c r="F1502" s="1">
        <v>2</v>
      </c>
      <c r="G1502" s="1" t="s">
        <v>46</v>
      </c>
      <c r="H1502" s="1" t="s">
        <v>47</v>
      </c>
      <c r="I1502" s="1">
        <v>92000</v>
      </c>
      <c r="J1502" s="1">
        <v>77000</v>
      </c>
      <c r="K1502" s="1">
        <v>15000</v>
      </c>
      <c r="L1502" s="1">
        <v>0</v>
      </c>
      <c r="M1502" s="1" t="s">
        <v>34</v>
      </c>
      <c r="N1502" s="1" t="s">
        <v>35</v>
      </c>
      <c r="O1502" s="1" t="s">
        <v>48</v>
      </c>
      <c r="P1502" s="1" t="s">
        <v>49</v>
      </c>
      <c r="Q1502" s="1" t="s">
        <v>38</v>
      </c>
      <c r="R1502" s="1" t="s">
        <v>3822</v>
      </c>
      <c r="S1502" s="3">
        <v>919822000000</v>
      </c>
      <c r="T1502" s="1" t="s">
        <v>86</v>
      </c>
      <c r="U1502" s="1">
        <v>71</v>
      </c>
      <c r="V1502" s="1">
        <v>63</v>
      </c>
      <c r="W1502" s="1" t="s">
        <v>41</v>
      </c>
      <c r="X1502" s="1">
        <v>551117</v>
      </c>
      <c r="Y1502" s="2">
        <v>35811</v>
      </c>
      <c r="Z1502" s="1">
        <v>-3.8210262828535599</v>
      </c>
      <c r="AA1502" s="1">
        <v>26</v>
      </c>
      <c r="AB1502" s="1">
        <v>184000</v>
      </c>
      <c r="AC1502" s="1">
        <f t="shared" si="23"/>
        <v>214000</v>
      </c>
    </row>
    <row r="1503" spans="1:29" x14ac:dyDescent="0.25">
      <c r="A1503" s="1" t="s">
        <v>3823</v>
      </c>
      <c r="B1503" s="1" t="s">
        <v>3276</v>
      </c>
      <c r="C1503" s="1" t="s">
        <v>3277</v>
      </c>
      <c r="D1503" s="1">
        <v>2023</v>
      </c>
      <c r="E1503" s="1" t="s">
        <v>31</v>
      </c>
      <c r="F1503" s="1">
        <v>4</v>
      </c>
      <c r="G1503" s="1" t="s">
        <v>32</v>
      </c>
      <c r="H1503" s="1" t="s">
        <v>102</v>
      </c>
      <c r="I1503" s="1">
        <v>169000</v>
      </c>
      <c r="J1503" s="1">
        <v>154000</v>
      </c>
      <c r="K1503" s="1">
        <v>15000</v>
      </c>
      <c r="L1503" s="1">
        <v>0</v>
      </c>
      <c r="M1503" s="1" t="s">
        <v>34</v>
      </c>
      <c r="N1503" s="1" t="s">
        <v>63</v>
      </c>
      <c r="O1503" s="1" t="s">
        <v>57</v>
      </c>
      <c r="P1503" s="1" t="s">
        <v>57</v>
      </c>
      <c r="Q1503" s="1" t="s">
        <v>38</v>
      </c>
      <c r="R1503" s="1" t="s">
        <v>3824</v>
      </c>
      <c r="S1503" s="3">
        <v>919336000000</v>
      </c>
      <c r="T1503" s="1" t="s">
        <v>86</v>
      </c>
      <c r="U1503" s="1">
        <v>71</v>
      </c>
      <c r="V1503" s="1">
        <v>70</v>
      </c>
      <c r="W1503" s="1" t="s">
        <v>52</v>
      </c>
      <c r="X1503" s="1">
        <v>388804</v>
      </c>
      <c r="Y1503" s="2">
        <v>37133</v>
      </c>
      <c r="Z1503" s="1">
        <v>-3.8210262828535599</v>
      </c>
      <c r="AA1503" s="1">
        <v>22</v>
      </c>
      <c r="AB1503" s="1">
        <v>676000</v>
      </c>
      <c r="AC1503" s="1">
        <f t="shared" si="23"/>
        <v>736000</v>
      </c>
    </row>
    <row r="1504" spans="1:29" x14ac:dyDescent="0.25">
      <c r="A1504" s="1" t="s">
        <v>3833</v>
      </c>
      <c r="B1504" s="1" t="s">
        <v>3754</v>
      </c>
      <c r="C1504" s="1" t="s">
        <v>3755</v>
      </c>
      <c r="D1504" s="1">
        <v>2023</v>
      </c>
      <c r="E1504" s="1" t="s">
        <v>45</v>
      </c>
      <c r="F1504" s="1">
        <v>2</v>
      </c>
      <c r="G1504" s="1" t="s">
        <v>46</v>
      </c>
      <c r="H1504" s="1" t="s">
        <v>90</v>
      </c>
      <c r="I1504" s="1">
        <v>92000</v>
      </c>
      <c r="J1504" s="1">
        <v>77000</v>
      </c>
      <c r="K1504" s="1">
        <v>15000</v>
      </c>
      <c r="L1504" s="1">
        <v>0</v>
      </c>
      <c r="M1504" s="1" t="s">
        <v>34</v>
      </c>
      <c r="N1504" s="1" t="s">
        <v>63</v>
      </c>
      <c r="O1504" s="1" t="s">
        <v>78</v>
      </c>
      <c r="P1504" s="1" t="s">
        <v>79</v>
      </c>
      <c r="Q1504" s="1" t="s">
        <v>38</v>
      </c>
      <c r="R1504" s="1" t="s">
        <v>3834</v>
      </c>
      <c r="S1504" s="3">
        <v>919096000000</v>
      </c>
      <c r="T1504" s="1" t="s">
        <v>51</v>
      </c>
      <c r="U1504" s="1">
        <v>70</v>
      </c>
      <c r="V1504" s="1">
        <v>92</v>
      </c>
      <c r="W1504" s="1" t="s">
        <v>41</v>
      </c>
      <c r="X1504" s="1">
        <v>192005</v>
      </c>
      <c r="Y1504" s="2">
        <v>37234</v>
      </c>
      <c r="Z1504" s="1">
        <v>-4.8210262828535599</v>
      </c>
      <c r="AA1504" s="1">
        <v>22</v>
      </c>
      <c r="AB1504" s="1">
        <v>184000</v>
      </c>
      <c r="AC1504" s="1">
        <f t="shared" si="23"/>
        <v>214000</v>
      </c>
    </row>
    <row r="1505" spans="1:29" x14ac:dyDescent="0.25">
      <c r="A1505" s="1" t="s">
        <v>3839</v>
      </c>
      <c r="B1505" s="1" t="s">
        <v>2464</v>
      </c>
      <c r="C1505" s="1" t="s">
        <v>2465</v>
      </c>
      <c r="D1505" s="1">
        <v>2023</v>
      </c>
      <c r="E1505" s="1" t="s">
        <v>45</v>
      </c>
      <c r="F1505" s="1">
        <v>2</v>
      </c>
      <c r="G1505" s="1" t="s">
        <v>46</v>
      </c>
      <c r="H1505" s="1" t="s">
        <v>102</v>
      </c>
      <c r="I1505" s="1">
        <v>92000</v>
      </c>
      <c r="J1505" s="1">
        <v>77000</v>
      </c>
      <c r="K1505" s="1">
        <v>15000</v>
      </c>
      <c r="L1505" s="1">
        <v>0</v>
      </c>
      <c r="M1505" s="1" t="s">
        <v>34</v>
      </c>
      <c r="N1505" s="1" t="s">
        <v>70</v>
      </c>
      <c r="O1505" s="1" t="s">
        <v>188</v>
      </c>
      <c r="P1505" s="1" t="s">
        <v>189</v>
      </c>
      <c r="Q1505" s="1" t="s">
        <v>38</v>
      </c>
      <c r="R1505" s="1" t="s">
        <v>3840</v>
      </c>
      <c r="S1505" s="3">
        <v>919251000000</v>
      </c>
      <c r="T1505" s="1" t="s">
        <v>86</v>
      </c>
      <c r="U1505" s="1">
        <v>70</v>
      </c>
      <c r="V1505" s="1">
        <v>82</v>
      </c>
      <c r="W1505" s="1" t="s">
        <v>41</v>
      </c>
      <c r="X1505" s="1">
        <v>670228</v>
      </c>
      <c r="Y1505" s="2">
        <v>35573</v>
      </c>
      <c r="Z1505" s="1">
        <v>-4.8210262828535599</v>
      </c>
      <c r="AA1505" s="1">
        <v>27</v>
      </c>
      <c r="AB1505" s="1">
        <v>184000</v>
      </c>
      <c r="AC1505" s="1">
        <f t="shared" si="23"/>
        <v>214000</v>
      </c>
    </row>
    <row r="1506" spans="1:29" x14ac:dyDescent="0.25">
      <c r="A1506" s="1" t="s">
        <v>3841</v>
      </c>
      <c r="B1506" s="1" t="s">
        <v>995</v>
      </c>
      <c r="C1506" s="1" t="s">
        <v>996</v>
      </c>
      <c r="D1506" s="1">
        <v>2023</v>
      </c>
      <c r="E1506" s="1" t="s">
        <v>45</v>
      </c>
      <c r="F1506" s="1">
        <v>2</v>
      </c>
      <c r="G1506" s="1" t="s">
        <v>46</v>
      </c>
      <c r="H1506" s="1" t="s">
        <v>102</v>
      </c>
      <c r="I1506" s="1">
        <v>92000</v>
      </c>
      <c r="J1506" s="1">
        <v>77000</v>
      </c>
      <c r="K1506" s="1">
        <v>15000</v>
      </c>
      <c r="L1506" s="1">
        <v>0</v>
      </c>
      <c r="M1506" s="1" t="s">
        <v>34</v>
      </c>
      <c r="N1506" s="1" t="s">
        <v>35</v>
      </c>
      <c r="O1506" s="1" t="s">
        <v>71</v>
      </c>
      <c r="P1506" s="1" t="s">
        <v>72</v>
      </c>
      <c r="Q1506" s="1" t="s">
        <v>38</v>
      </c>
      <c r="R1506" s="1" t="s">
        <v>3842</v>
      </c>
      <c r="S1506" s="3">
        <v>919055000000</v>
      </c>
      <c r="T1506" s="1" t="s">
        <v>98</v>
      </c>
      <c r="U1506" s="1">
        <v>70</v>
      </c>
      <c r="V1506" s="1">
        <v>71</v>
      </c>
      <c r="W1506" s="1" t="s">
        <v>41</v>
      </c>
      <c r="X1506" s="1">
        <v>439240</v>
      </c>
      <c r="Y1506" s="2">
        <v>35793</v>
      </c>
      <c r="Z1506" s="1">
        <v>-4.8210262828535599</v>
      </c>
      <c r="AA1506" s="1">
        <v>26</v>
      </c>
      <c r="AB1506" s="1">
        <v>184000</v>
      </c>
      <c r="AC1506" s="1">
        <f t="shared" si="23"/>
        <v>214000</v>
      </c>
    </row>
    <row r="1507" spans="1:29" x14ac:dyDescent="0.25">
      <c r="A1507" s="1" t="s">
        <v>3857</v>
      </c>
      <c r="B1507" s="1" t="s">
        <v>875</v>
      </c>
      <c r="C1507" s="1" t="s">
        <v>876</v>
      </c>
      <c r="D1507" s="1">
        <v>2023</v>
      </c>
      <c r="E1507" s="1" t="s">
        <v>45</v>
      </c>
      <c r="F1507" s="1">
        <v>2</v>
      </c>
      <c r="G1507" s="1" t="s">
        <v>46</v>
      </c>
      <c r="H1507" s="1" t="s">
        <v>102</v>
      </c>
      <c r="I1507" s="1">
        <v>92000</v>
      </c>
      <c r="J1507" s="1">
        <v>77000</v>
      </c>
      <c r="K1507" s="1">
        <v>15000</v>
      </c>
      <c r="L1507" s="1">
        <v>0</v>
      </c>
      <c r="M1507" s="1" t="s">
        <v>34</v>
      </c>
      <c r="N1507" s="1" t="s">
        <v>35</v>
      </c>
      <c r="O1507" s="1" t="s">
        <v>91</v>
      </c>
      <c r="P1507" s="1" t="s">
        <v>92</v>
      </c>
      <c r="Q1507" s="1" t="s">
        <v>38</v>
      </c>
      <c r="R1507" s="1" t="s">
        <v>3858</v>
      </c>
      <c r="S1507" s="3">
        <v>919361000000</v>
      </c>
      <c r="T1507" s="1" t="s">
        <v>74</v>
      </c>
      <c r="U1507" s="1">
        <v>70</v>
      </c>
      <c r="V1507" s="1">
        <v>60</v>
      </c>
      <c r="W1507" s="1" t="s">
        <v>52</v>
      </c>
      <c r="X1507" s="1">
        <v>465253</v>
      </c>
      <c r="Y1507" s="2">
        <v>35274</v>
      </c>
      <c r="Z1507" s="1">
        <v>-4.8210262828535599</v>
      </c>
      <c r="AA1507" s="1">
        <v>27</v>
      </c>
      <c r="AB1507" s="1">
        <v>184000</v>
      </c>
      <c r="AC1507" s="1">
        <f t="shared" si="23"/>
        <v>214000</v>
      </c>
    </row>
    <row r="1508" spans="1:29" x14ac:dyDescent="0.25">
      <c r="A1508" s="1" t="s">
        <v>3941</v>
      </c>
      <c r="B1508" s="1" t="s">
        <v>3942</v>
      </c>
      <c r="C1508" s="1" t="s">
        <v>3943</v>
      </c>
      <c r="D1508" s="1">
        <v>2023</v>
      </c>
      <c r="E1508" s="1" t="s">
        <v>31</v>
      </c>
      <c r="F1508" s="1">
        <v>4</v>
      </c>
      <c r="G1508" s="1" t="s">
        <v>32</v>
      </c>
      <c r="H1508" s="1" t="s">
        <v>102</v>
      </c>
      <c r="I1508" s="1">
        <v>169000</v>
      </c>
      <c r="J1508" s="1">
        <v>154000</v>
      </c>
      <c r="K1508" s="1">
        <v>15000</v>
      </c>
      <c r="L1508" s="1">
        <v>0</v>
      </c>
      <c r="M1508" s="1" t="s">
        <v>34</v>
      </c>
      <c r="N1508" s="1" t="s">
        <v>63</v>
      </c>
      <c r="O1508" s="1" t="s">
        <v>78</v>
      </c>
      <c r="P1508" s="1" t="s">
        <v>79</v>
      </c>
      <c r="Q1508" s="1" t="s">
        <v>38</v>
      </c>
      <c r="R1508" s="1" t="s">
        <v>3944</v>
      </c>
      <c r="S1508" s="3">
        <v>919090000000</v>
      </c>
      <c r="T1508" s="1" t="s">
        <v>40</v>
      </c>
      <c r="U1508" s="1">
        <v>70</v>
      </c>
      <c r="V1508" s="1">
        <v>70</v>
      </c>
      <c r="W1508" s="1" t="s">
        <v>52</v>
      </c>
      <c r="X1508" s="1">
        <v>795070</v>
      </c>
      <c r="Y1508" s="2">
        <v>38271</v>
      </c>
      <c r="Z1508" s="1">
        <v>-4.8210262828535599</v>
      </c>
      <c r="AA1508" s="1">
        <v>19</v>
      </c>
      <c r="AB1508" s="1">
        <v>676000</v>
      </c>
      <c r="AC1508" s="1">
        <f t="shared" si="23"/>
        <v>736000</v>
      </c>
    </row>
    <row r="1509" spans="1:29" x14ac:dyDescent="0.25">
      <c r="A1509" s="1" t="s">
        <v>3957</v>
      </c>
      <c r="B1509" s="1" t="s">
        <v>3958</v>
      </c>
      <c r="C1509" s="1" t="s">
        <v>3959</v>
      </c>
      <c r="D1509" s="1">
        <v>2023</v>
      </c>
      <c r="E1509" s="1" t="s">
        <v>31</v>
      </c>
      <c r="F1509" s="1">
        <v>4</v>
      </c>
      <c r="G1509" s="1" t="s">
        <v>32</v>
      </c>
      <c r="H1509" s="1" t="s">
        <v>151</v>
      </c>
      <c r="I1509" s="1">
        <v>169000</v>
      </c>
      <c r="J1509" s="1">
        <v>154000</v>
      </c>
      <c r="K1509" s="1">
        <v>15000</v>
      </c>
      <c r="L1509" s="1">
        <v>0</v>
      </c>
      <c r="M1509" s="1" t="s">
        <v>34</v>
      </c>
      <c r="N1509" s="1" t="s">
        <v>35</v>
      </c>
      <c r="O1509" s="1" t="s">
        <v>71</v>
      </c>
      <c r="P1509" s="1" t="s">
        <v>72</v>
      </c>
      <c r="Q1509" s="1" t="s">
        <v>38</v>
      </c>
      <c r="R1509" s="1" t="s">
        <v>3960</v>
      </c>
      <c r="S1509" s="3">
        <v>919449000000</v>
      </c>
      <c r="T1509" s="1" t="s">
        <v>40</v>
      </c>
      <c r="U1509" s="1">
        <v>70</v>
      </c>
      <c r="V1509" s="1">
        <v>92</v>
      </c>
      <c r="W1509" s="1" t="s">
        <v>41</v>
      </c>
      <c r="X1509" s="1">
        <v>404888</v>
      </c>
      <c r="Y1509" s="2">
        <v>36953</v>
      </c>
      <c r="Z1509" s="1">
        <v>-4.8210262828535599</v>
      </c>
      <c r="AA1509" s="1">
        <v>23</v>
      </c>
      <c r="AB1509" s="1">
        <v>676000</v>
      </c>
      <c r="AC1509" s="1">
        <f t="shared" si="23"/>
        <v>736000</v>
      </c>
    </row>
    <row r="1510" spans="1:29" x14ac:dyDescent="0.25">
      <c r="A1510" s="1" t="s">
        <v>4005</v>
      </c>
      <c r="B1510" s="1" t="s">
        <v>4006</v>
      </c>
      <c r="C1510" s="1" t="s">
        <v>4007</v>
      </c>
      <c r="D1510" s="1">
        <v>2023</v>
      </c>
      <c r="E1510" s="1" t="s">
        <v>31</v>
      </c>
      <c r="F1510" s="1">
        <v>4</v>
      </c>
      <c r="G1510" s="1" t="s">
        <v>32</v>
      </c>
      <c r="H1510" s="1" t="s">
        <v>90</v>
      </c>
      <c r="I1510" s="1">
        <v>169000</v>
      </c>
      <c r="J1510" s="1">
        <v>154000</v>
      </c>
      <c r="K1510" s="1">
        <v>15000</v>
      </c>
      <c r="L1510" s="1">
        <v>0</v>
      </c>
      <c r="M1510" s="1" t="s">
        <v>34</v>
      </c>
      <c r="N1510" s="1" t="s">
        <v>63</v>
      </c>
      <c r="O1510" s="1" t="s">
        <v>103</v>
      </c>
      <c r="P1510" s="1" t="s">
        <v>104</v>
      </c>
      <c r="Q1510" s="1" t="s">
        <v>38</v>
      </c>
      <c r="R1510" s="1" t="s">
        <v>4008</v>
      </c>
      <c r="S1510" s="3">
        <v>917797000000</v>
      </c>
      <c r="T1510" s="1" t="s">
        <v>74</v>
      </c>
      <c r="U1510" s="1">
        <v>69</v>
      </c>
      <c r="V1510" s="1">
        <v>68</v>
      </c>
      <c r="W1510" s="1" t="s">
        <v>41</v>
      </c>
      <c r="X1510" s="1">
        <v>131870</v>
      </c>
      <c r="Y1510" s="2">
        <v>37990</v>
      </c>
      <c r="Z1510" s="1">
        <v>-5.8210262828535599</v>
      </c>
      <c r="AA1510" s="1">
        <v>20</v>
      </c>
      <c r="AB1510" s="1">
        <v>676000</v>
      </c>
      <c r="AC1510" s="1">
        <f t="shared" si="23"/>
        <v>736000</v>
      </c>
    </row>
    <row r="1511" spans="1:29" x14ac:dyDescent="0.25">
      <c r="A1511" s="1" t="s">
        <v>4017</v>
      </c>
      <c r="B1511" s="1" t="s">
        <v>4018</v>
      </c>
      <c r="C1511" s="1" t="s">
        <v>4019</v>
      </c>
      <c r="D1511" s="1">
        <v>2023</v>
      </c>
      <c r="E1511" s="1" t="s">
        <v>31</v>
      </c>
      <c r="F1511" s="1">
        <v>4</v>
      </c>
      <c r="G1511" s="1" t="s">
        <v>32</v>
      </c>
      <c r="H1511" s="1" t="s">
        <v>151</v>
      </c>
      <c r="I1511" s="1">
        <v>169000</v>
      </c>
      <c r="J1511" s="1">
        <v>154000</v>
      </c>
      <c r="K1511" s="1">
        <v>15000</v>
      </c>
      <c r="L1511" s="1">
        <v>0</v>
      </c>
      <c r="M1511" s="1" t="s">
        <v>34</v>
      </c>
      <c r="N1511" s="1" t="s">
        <v>63</v>
      </c>
      <c r="O1511" s="1" t="s">
        <v>57</v>
      </c>
      <c r="P1511" s="1" t="s">
        <v>57</v>
      </c>
      <c r="Q1511" s="1" t="s">
        <v>38</v>
      </c>
      <c r="R1511" s="1" t="s">
        <v>4020</v>
      </c>
      <c r="S1511" s="3">
        <v>917284000000</v>
      </c>
      <c r="T1511" s="1" t="s">
        <v>51</v>
      </c>
      <c r="U1511" s="1">
        <v>69</v>
      </c>
      <c r="V1511" s="1">
        <v>60</v>
      </c>
      <c r="W1511" s="1" t="s">
        <v>52</v>
      </c>
      <c r="X1511" s="1">
        <v>777259</v>
      </c>
      <c r="Y1511" s="2">
        <v>36763</v>
      </c>
      <c r="Z1511" s="1">
        <v>-5.8210262828535599</v>
      </c>
      <c r="AA1511" s="1">
        <v>23</v>
      </c>
      <c r="AB1511" s="1">
        <v>676000</v>
      </c>
      <c r="AC1511" s="1">
        <f t="shared" si="23"/>
        <v>736000</v>
      </c>
    </row>
    <row r="1512" spans="1:29" x14ac:dyDescent="0.25">
      <c r="A1512" s="1" t="s">
        <v>4035</v>
      </c>
      <c r="B1512" s="1" t="s">
        <v>4036</v>
      </c>
      <c r="C1512" s="1" t="s">
        <v>4037</v>
      </c>
      <c r="D1512" s="1">
        <v>2023</v>
      </c>
      <c r="E1512" s="1" t="s">
        <v>31</v>
      </c>
      <c r="F1512" s="1">
        <v>4</v>
      </c>
      <c r="G1512" s="1" t="s">
        <v>32</v>
      </c>
      <c r="H1512" s="1" t="s">
        <v>62</v>
      </c>
      <c r="I1512" s="1">
        <v>169000</v>
      </c>
      <c r="J1512" s="1">
        <v>154000</v>
      </c>
      <c r="K1512" s="1">
        <v>15000</v>
      </c>
      <c r="L1512" s="1">
        <v>0</v>
      </c>
      <c r="M1512" s="1" t="s">
        <v>34</v>
      </c>
      <c r="N1512" s="1" t="s">
        <v>63</v>
      </c>
      <c r="O1512" s="1" t="s">
        <v>103</v>
      </c>
      <c r="P1512" s="1" t="s">
        <v>104</v>
      </c>
      <c r="Q1512" s="1" t="s">
        <v>38</v>
      </c>
      <c r="R1512" s="1" t="s">
        <v>4038</v>
      </c>
      <c r="S1512" s="3">
        <v>919006000000</v>
      </c>
      <c r="T1512" s="1" t="s">
        <v>51</v>
      </c>
      <c r="U1512" s="1">
        <v>69</v>
      </c>
      <c r="V1512" s="1">
        <v>84</v>
      </c>
      <c r="W1512" s="1" t="s">
        <v>41</v>
      </c>
      <c r="X1512" s="1">
        <v>438172</v>
      </c>
      <c r="Y1512" s="2">
        <v>38730</v>
      </c>
      <c r="Z1512" s="1">
        <v>-5.8210262828535599</v>
      </c>
      <c r="AA1512" s="1">
        <v>18</v>
      </c>
      <c r="AB1512" s="1">
        <v>676000</v>
      </c>
      <c r="AC1512" s="1">
        <f t="shared" si="23"/>
        <v>736000</v>
      </c>
    </row>
    <row r="1513" spans="1:29" x14ac:dyDescent="0.25">
      <c r="A1513" s="1" t="s">
        <v>4047</v>
      </c>
      <c r="B1513" s="1" t="s">
        <v>4048</v>
      </c>
      <c r="C1513" s="1" t="s">
        <v>4049</v>
      </c>
      <c r="D1513" s="1">
        <v>2023</v>
      </c>
      <c r="E1513" s="1" t="s">
        <v>31</v>
      </c>
      <c r="F1513" s="1">
        <v>4</v>
      </c>
      <c r="G1513" s="1" t="s">
        <v>32</v>
      </c>
      <c r="H1513" s="1" t="s">
        <v>56</v>
      </c>
      <c r="I1513" s="1">
        <v>169000</v>
      </c>
      <c r="J1513" s="1">
        <v>154000</v>
      </c>
      <c r="K1513" s="1">
        <v>15000</v>
      </c>
      <c r="L1513" s="1">
        <v>0</v>
      </c>
      <c r="M1513" s="1" t="s">
        <v>34</v>
      </c>
      <c r="N1513" s="1" t="s">
        <v>35</v>
      </c>
      <c r="O1513" s="1" t="s">
        <v>103</v>
      </c>
      <c r="P1513" s="1" t="s">
        <v>104</v>
      </c>
      <c r="Q1513" s="1" t="s">
        <v>38</v>
      </c>
      <c r="R1513" s="1" t="s">
        <v>4050</v>
      </c>
      <c r="S1513" s="3">
        <v>917579000000</v>
      </c>
      <c r="T1513" s="1" t="s">
        <v>40</v>
      </c>
      <c r="U1513" s="1">
        <v>69</v>
      </c>
      <c r="V1513" s="1">
        <v>84</v>
      </c>
      <c r="W1513" s="1" t="s">
        <v>52</v>
      </c>
      <c r="X1513" s="1">
        <v>429599</v>
      </c>
      <c r="Y1513" s="2">
        <v>38463</v>
      </c>
      <c r="Z1513" s="1">
        <v>-5.8210262828535599</v>
      </c>
      <c r="AA1513" s="1">
        <v>19</v>
      </c>
      <c r="AB1513" s="1">
        <v>676000</v>
      </c>
      <c r="AC1513" s="1">
        <f t="shared" si="23"/>
        <v>736000</v>
      </c>
    </row>
    <row r="1514" spans="1:29" x14ac:dyDescent="0.25">
      <c r="A1514" s="1" t="s">
        <v>3002</v>
      </c>
      <c r="B1514" s="1" t="s">
        <v>4051</v>
      </c>
      <c r="C1514" s="1" t="s">
        <v>4052</v>
      </c>
      <c r="D1514" s="1">
        <v>2023</v>
      </c>
      <c r="E1514" s="1" t="s">
        <v>31</v>
      </c>
      <c r="F1514" s="1">
        <v>4</v>
      </c>
      <c r="G1514" s="1" t="s">
        <v>32</v>
      </c>
      <c r="H1514" s="1" t="s">
        <v>102</v>
      </c>
      <c r="I1514" s="1">
        <v>169000</v>
      </c>
      <c r="J1514" s="1">
        <v>154000</v>
      </c>
      <c r="K1514" s="1">
        <v>15000</v>
      </c>
      <c r="L1514" s="1">
        <v>0</v>
      </c>
      <c r="M1514" s="1" t="s">
        <v>34</v>
      </c>
      <c r="N1514" s="1" t="s">
        <v>63</v>
      </c>
      <c r="O1514" s="1" t="s">
        <v>57</v>
      </c>
      <c r="P1514" s="1" t="s">
        <v>57</v>
      </c>
      <c r="Q1514" s="1" t="s">
        <v>38</v>
      </c>
      <c r="R1514" s="1" t="s">
        <v>4053</v>
      </c>
      <c r="S1514" s="3">
        <v>918399000000</v>
      </c>
      <c r="T1514" s="1" t="s">
        <v>40</v>
      </c>
      <c r="U1514" s="1">
        <v>69</v>
      </c>
      <c r="V1514" s="1">
        <v>75</v>
      </c>
      <c r="W1514" s="1" t="s">
        <v>52</v>
      </c>
      <c r="X1514" s="1">
        <v>110379</v>
      </c>
      <c r="Y1514" s="2">
        <v>38624</v>
      </c>
      <c r="Z1514" s="1">
        <v>-5.8210262828535599</v>
      </c>
      <c r="AA1514" s="1">
        <v>18</v>
      </c>
      <c r="AB1514" s="1">
        <v>676000</v>
      </c>
      <c r="AC1514" s="1">
        <f t="shared" si="23"/>
        <v>736000</v>
      </c>
    </row>
    <row r="1515" spans="1:29" x14ac:dyDescent="0.25">
      <c r="A1515" s="1" t="s">
        <v>4054</v>
      </c>
      <c r="B1515" s="1" t="s">
        <v>4055</v>
      </c>
      <c r="C1515" s="1" t="s">
        <v>4056</v>
      </c>
      <c r="D1515" s="1">
        <v>2023</v>
      </c>
      <c r="E1515" s="1" t="s">
        <v>31</v>
      </c>
      <c r="F1515" s="1">
        <v>4</v>
      </c>
      <c r="G1515" s="1" t="s">
        <v>32</v>
      </c>
      <c r="H1515" s="1" t="s">
        <v>33</v>
      </c>
      <c r="I1515" s="1">
        <v>169000</v>
      </c>
      <c r="J1515" s="1">
        <v>154000</v>
      </c>
      <c r="K1515" s="1">
        <v>15000</v>
      </c>
      <c r="L1515" s="1">
        <v>0</v>
      </c>
      <c r="M1515" s="1" t="s">
        <v>34</v>
      </c>
      <c r="N1515" s="1" t="s">
        <v>70</v>
      </c>
      <c r="O1515" s="1" t="s">
        <v>91</v>
      </c>
      <c r="P1515" s="1" t="s">
        <v>92</v>
      </c>
      <c r="Q1515" s="1" t="s">
        <v>38</v>
      </c>
      <c r="R1515" s="1" t="s">
        <v>4057</v>
      </c>
      <c r="S1515" s="3">
        <v>919919000000</v>
      </c>
      <c r="T1515" s="1" t="s">
        <v>74</v>
      </c>
      <c r="U1515" s="1">
        <v>69</v>
      </c>
      <c r="V1515" s="1">
        <v>72</v>
      </c>
      <c r="W1515" s="1" t="s">
        <v>41</v>
      </c>
      <c r="X1515" s="1">
        <v>381348</v>
      </c>
      <c r="Y1515" s="2">
        <v>38676</v>
      </c>
      <c r="Z1515" s="1">
        <v>-5.8210262828535599</v>
      </c>
      <c r="AA1515" s="1">
        <v>18</v>
      </c>
      <c r="AB1515" s="1">
        <v>676000</v>
      </c>
      <c r="AC1515" s="1">
        <f t="shared" si="23"/>
        <v>736000</v>
      </c>
    </row>
    <row r="1516" spans="1:29" x14ac:dyDescent="0.25">
      <c r="A1516" s="1" t="s">
        <v>4096</v>
      </c>
      <c r="B1516" s="1" t="s">
        <v>2597</v>
      </c>
      <c r="C1516" s="1" t="s">
        <v>2598</v>
      </c>
      <c r="D1516" s="1">
        <v>2023</v>
      </c>
      <c r="E1516" s="1" t="s">
        <v>45</v>
      </c>
      <c r="F1516" s="1">
        <v>2</v>
      </c>
      <c r="G1516" s="1" t="s">
        <v>46</v>
      </c>
      <c r="H1516" s="1" t="s">
        <v>102</v>
      </c>
      <c r="I1516" s="1">
        <v>92000</v>
      </c>
      <c r="J1516" s="1">
        <v>77000</v>
      </c>
      <c r="K1516" s="1">
        <v>15000</v>
      </c>
      <c r="L1516" s="1">
        <v>0</v>
      </c>
      <c r="M1516" s="1" t="s">
        <v>34</v>
      </c>
      <c r="N1516" s="1" t="s">
        <v>63</v>
      </c>
      <c r="O1516" s="1" t="s">
        <v>103</v>
      </c>
      <c r="P1516" s="1" t="s">
        <v>104</v>
      </c>
      <c r="Q1516" s="1" t="s">
        <v>38</v>
      </c>
      <c r="R1516" s="1" t="s">
        <v>4097</v>
      </c>
      <c r="S1516" s="3">
        <v>917169000000</v>
      </c>
      <c r="T1516" s="1" t="s">
        <v>74</v>
      </c>
      <c r="U1516" s="1">
        <v>69</v>
      </c>
      <c r="V1516" s="1">
        <v>79</v>
      </c>
      <c r="W1516" s="1" t="s">
        <v>41</v>
      </c>
      <c r="X1516" s="1">
        <v>452933</v>
      </c>
      <c r="Y1516" s="2">
        <v>36641</v>
      </c>
      <c r="Z1516" s="1">
        <v>-5.8210262828535599</v>
      </c>
      <c r="AA1516" s="1">
        <v>24</v>
      </c>
      <c r="AB1516" s="1">
        <v>184000</v>
      </c>
      <c r="AC1516" s="1">
        <f t="shared" si="23"/>
        <v>214000</v>
      </c>
    </row>
    <row r="1517" spans="1:29" x14ac:dyDescent="0.25">
      <c r="A1517" s="1" t="s">
        <v>4116</v>
      </c>
      <c r="B1517" s="1" t="s">
        <v>1697</v>
      </c>
      <c r="C1517" s="1" t="s">
        <v>1698</v>
      </c>
      <c r="D1517" s="1">
        <v>2023</v>
      </c>
      <c r="E1517" s="1" t="s">
        <v>45</v>
      </c>
      <c r="F1517" s="1">
        <v>2</v>
      </c>
      <c r="G1517" s="1" t="s">
        <v>46</v>
      </c>
      <c r="H1517" s="1" t="s">
        <v>47</v>
      </c>
      <c r="I1517" s="1">
        <v>92000</v>
      </c>
      <c r="J1517" s="1">
        <v>77000</v>
      </c>
      <c r="K1517" s="1">
        <v>15000</v>
      </c>
      <c r="L1517" s="1">
        <v>0</v>
      </c>
      <c r="M1517" s="1" t="s">
        <v>34</v>
      </c>
      <c r="N1517" s="1" t="s">
        <v>63</v>
      </c>
      <c r="O1517" s="1" t="s">
        <v>188</v>
      </c>
      <c r="P1517" s="1" t="s">
        <v>189</v>
      </c>
      <c r="Q1517" s="1" t="s">
        <v>38</v>
      </c>
      <c r="R1517" s="1" t="s">
        <v>4117</v>
      </c>
      <c r="S1517" s="3">
        <v>917395000000</v>
      </c>
      <c r="T1517" s="1" t="s">
        <v>40</v>
      </c>
      <c r="U1517" s="1">
        <v>69</v>
      </c>
      <c r="V1517" s="1">
        <v>87</v>
      </c>
      <c r="W1517" s="1" t="s">
        <v>41</v>
      </c>
      <c r="X1517" s="1">
        <v>761118</v>
      </c>
      <c r="Y1517" s="2">
        <v>36175</v>
      </c>
      <c r="Z1517" s="1">
        <v>-5.8210262828535599</v>
      </c>
      <c r="AA1517" s="1">
        <v>25</v>
      </c>
      <c r="AB1517" s="1">
        <v>184000</v>
      </c>
      <c r="AC1517" s="1">
        <f t="shared" si="23"/>
        <v>214000</v>
      </c>
    </row>
    <row r="1518" spans="1:29" x14ac:dyDescent="0.25">
      <c r="A1518" s="1" t="s">
        <v>4128</v>
      </c>
      <c r="B1518" s="1" t="s">
        <v>4129</v>
      </c>
      <c r="C1518" s="1" t="s">
        <v>4130</v>
      </c>
      <c r="D1518" s="1">
        <v>2023</v>
      </c>
      <c r="E1518" s="1" t="s">
        <v>31</v>
      </c>
      <c r="F1518" s="1">
        <v>4</v>
      </c>
      <c r="G1518" s="1" t="s">
        <v>32</v>
      </c>
      <c r="H1518" s="1" t="s">
        <v>113</v>
      </c>
      <c r="I1518" s="1">
        <v>169000</v>
      </c>
      <c r="J1518" s="1">
        <v>154000</v>
      </c>
      <c r="K1518" s="1">
        <v>15000</v>
      </c>
      <c r="L1518" s="1">
        <v>0</v>
      </c>
      <c r="M1518" s="1" t="s">
        <v>34</v>
      </c>
      <c r="N1518" s="1" t="s">
        <v>35</v>
      </c>
      <c r="O1518" s="1" t="s">
        <v>84</v>
      </c>
      <c r="P1518" s="1" t="s">
        <v>65</v>
      </c>
      <c r="Q1518" s="1" t="s">
        <v>38</v>
      </c>
      <c r="R1518" s="1" t="s">
        <v>4131</v>
      </c>
      <c r="S1518" s="3">
        <v>918480000000</v>
      </c>
      <c r="T1518" s="1" t="s">
        <v>86</v>
      </c>
      <c r="U1518" s="1">
        <v>69</v>
      </c>
      <c r="V1518" s="1">
        <v>60</v>
      </c>
      <c r="W1518" s="1" t="s">
        <v>41</v>
      </c>
      <c r="X1518" s="1">
        <v>262528</v>
      </c>
      <c r="Y1518" s="2">
        <v>37977</v>
      </c>
      <c r="Z1518" s="1">
        <v>-5.8210262828535599</v>
      </c>
      <c r="AA1518" s="1">
        <v>20</v>
      </c>
      <c r="AB1518" s="1">
        <v>676000</v>
      </c>
      <c r="AC1518" s="1">
        <f t="shared" si="23"/>
        <v>736000</v>
      </c>
    </row>
    <row r="1519" spans="1:29" x14ac:dyDescent="0.25">
      <c r="A1519" s="1" t="s">
        <v>4136</v>
      </c>
      <c r="B1519" s="1" t="s">
        <v>4137</v>
      </c>
      <c r="C1519" s="1" t="s">
        <v>4138</v>
      </c>
      <c r="D1519" s="1">
        <v>2023</v>
      </c>
      <c r="E1519" s="1" t="s">
        <v>31</v>
      </c>
      <c r="F1519" s="1">
        <v>4</v>
      </c>
      <c r="G1519" s="1" t="s">
        <v>32</v>
      </c>
      <c r="H1519" s="1" t="s">
        <v>90</v>
      </c>
      <c r="I1519" s="1">
        <v>169000</v>
      </c>
      <c r="J1519" s="1">
        <v>154000</v>
      </c>
      <c r="K1519" s="1">
        <v>15000</v>
      </c>
      <c r="L1519" s="1">
        <v>0</v>
      </c>
      <c r="M1519" s="1" t="s">
        <v>34</v>
      </c>
      <c r="N1519" s="1" t="s">
        <v>63</v>
      </c>
      <c r="O1519" s="1" t="s">
        <v>78</v>
      </c>
      <c r="P1519" s="1" t="s">
        <v>79</v>
      </c>
      <c r="Q1519" s="1" t="s">
        <v>38</v>
      </c>
      <c r="R1519" s="1" t="s">
        <v>4139</v>
      </c>
      <c r="S1519" s="3">
        <v>918598000000</v>
      </c>
      <c r="T1519" s="1" t="s">
        <v>86</v>
      </c>
      <c r="U1519" s="1">
        <v>69</v>
      </c>
      <c r="V1519" s="1">
        <v>72</v>
      </c>
      <c r="W1519" s="1" t="s">
        <v>41</v>
      </c>
      <c r="X1519" s="1">
        <v>166619</v>
      </c>
      <c r="Y1519" s="2">
        <v>38125</v>
      </c>
      <c r="Z1519" s="1">
        <v>-5.8210262828535599</v>
      </c>
      <c r="AA1519" s="1">
        <v>20</v>
      </c>
      <c r="AB1519" s="1">
        <v>676000</v>
      </c>
      <c r="AC1519" s="1">
        <f t="shared" si="23"/>
        <v>736000</v>
      </c>
    </row>
    <row r="1520" spans="1:29" x14ac:dyDescent="0.25">
      <c r="A1520" s="1" t="s">
        <v>4179</v>
      </c>
      <c r="B1520" s="1" t="s">
        <v>4180</v>
      </c>
      <c r="C1520" s="1" t="s">
        <v>4181</v>
      </c>
      <c r="D1520" s="1">
        <v>2023</v>
      </c>
      <c r="E1520" s="1" t="s">
        <v>31</v>
      </c>
      <c r="F1520" s="1">
        <v>4</v>
      </c>
      <c r="G1520" s="1" t="s">
        <v>32</v>
      </c>
      <c r="H1520" s="1" t="s">
        <v>56</v>
      </c>
      <c r="I1520" s="1">
        <v>169000</v>
      </c>
      <c r="J1520" s="1">
        <v>154000</v>
      </c>
      <c r="K1520" s="1">
        <v>15000</v>
      </c>
      <c r="L1520" s="1">
        <v>0</v>
      </c>
      <c r="M1520" s="1" t="s">
        <v>34</v>
      </c>
      <c r="N1520" s="1" t="s">
        <v>63</v>
      </c>
      <c r="O1520" s="1" t="s">
        <v>78</v>
      </c>
      <c r="P1520" s="1" t="s">
        <v>79</v>
      </c>
      <c r="Q1520" s="1" t="s">
        <v>38</v>
      </c>
      <c r="R1520" s="1" t="s">
        <v>4182</v>
      </c>
      <c r="S1520" s="3">
        <v>919627000000</v>
      </c>
      <c r="T1520" s="1" t="s">
        <v>86</v>
      </c>
      <c r="U1520" s="1">
        <v>68</v>
      </c>
      <c r="V1520" s="1">
        <v>84</v>
      </c>
      <c r="W1520" s="1" t="s">
        <v>41</v>
      </c>
      <c r="X1520" s="1">
        <v>706052</v>
      </c>
      <c r="Y1520" s="2">
        <v>37272</v>
      </c>
      <c r="Z1520" s="1">
        <v>-6.8210262828535599</v>
      </c>
      <c r="AA1520" s="1">
        <v>22</v>
      </c>
      <c r="AB1520" s="1">
        <v>676000</v>
      </c>
      <c r="AC1520" s="1">
        <f t="shared" si="23"/>
        <v>736000</v>
      </c>
    </row>
    <row r="1521" spans="1:29" x14ac:dyDescent="0.25">
      <c r="A1521" s="1" t="s">
        <v>4183</v>
      </c>
      <c r="B1521" s="1" t="s">
        <v>4184</v>
      </c>
      <c r="C1521" s="1" t="s">
        <v>4185</v>
      </c>
      <c r="D1521" s="1">
        <v>2023</v>
      </c>
      <c r="E1521" s="1" t="s">
        <v>31</v>
      </c>
      <c r="F1521" s="1">
        <v>4</v>
      </c>
      <c r="G1521" s="1" t="s">
        <v>32</v>
      </c>
      <c r="H1521" s="1" t="s">
        <v>62</v>
      </c>
      <c r="I1521" s="1">
        <v>169000</v>
      </c>
      <c r="J1521" s="1">
        <v>154000</v>
      </c>
      <c r="K1521" s="1">
        <v>15000</v>
      </c>
      <c r="L1521" s="1">
        <v>0</v>
      </c>
      <c r="M1521" s="1" t="s">
        <v>34</v>
      </c>
      <c r="N1521" s="1" t="s">
        <v>35</v>
      </c>
      <c r="O1521" s="1" t="s">
        <v>78</v>
      </c>
      <c r="P1521" s="1" t="s">
        <v>79</v>
      </c>
      <c r="Q1521" s="1" t="s">
        <v>38</v>
      </c>
      <c r="R1521" s="1" t="s">
        <v>4186</v>
      </c>
      <c r="S1521" s="3">
        <v>917403000000</v>
      </c>
      <c r="T1521" s="1" t="s">
        <v>86</v>
      </c>
      <c r="U1521" s="1">
        <v>68</v>
      </c>
      <c r="V1521" s="1">
        <v>74</v>
      </c>
      <c r="W1521" s="1" t="s">
        <v>52</v>
      </c>
      <c r="X1521" s="1">
        <v>128675</v>
      </c>
      <c r="Y1521" s="2">
        <v>37838</v>
      </c>
      <c r="Z1521" s="1">
        <v>-6.8210262828535599</v>
      </c>
      <c r="AA1521" s="1">
        <v>20</v>
      </c>
      <c r="AB1521" s="1">
        <v>676000</v>
      </c>
      <c r="AC1521" s="1">
        <f t="shared" si="23"/>
        <v>736000</v>
      </c>
    </row>
    <row r="1522" spans="1:29" x14ac:dyDescent="0.25">
      <c r="A1522" s="1" t="s">
        <v>4187</v>
      </c>
      <c r="B1522" s="1" t="s">
        <v>4188</v>
      </c>
      <c r="C1522" s="1" t="s">
        <v>4189</v>
      </c>
      <c r="D1522" s="1">
        <v>2023</v>
      </c>
      <c r="E1522" s="1" t="s">
        <v>31</v>
      </c>
      <c r="F1522" s="1">
        <v>4</v>
      </c>
      <c r="G1522" s="1" t="s">
        <v>32</v>
      </c>
      <c r="H1522" s="1" t="s">
        <v>102</v>
      </c>
      <c r="I1522" s="1">
        <v>169000</v>
      </c>
      <c r="J1522" s="1">
        <v>154000</v>
      </c>
      <c r="K1522" s="1">
        <v>15000</v>
      </c>
      <c r="L1522" s="1">
        <v>0</v>
      </c>
      <c r="M1522" s="1" t="s">
        <v>34</v>
      </c>
      <c r="N1522" s="1" t="s">
        <v>35</v>
      </c>
      <c r="O1522" s="1" t="s">
        <v>48</v>
      </c>
      <c r="P1522" s="1" t="s">
        <v>49</v>
      </c>
      <c r="Q1522" s="1" t="s">
        <v>38</v>
      </c>
      <c r="R1522" s="1" t="s">
        <v>4190</v>
      </c>
      <c r="S1522" s="3">
        <v>917591000000</v>
      </c>
      <c r="T1522" s="1" t="s">
        <v>98</v>
      </c>
      <c r="U1522" s="1">
        <v>68</v>
      </c>
      <c r="V1522" s="1">
        <v>91</v>
      </c>
      <c r="W1522" s="1" t="s">
        <v>41</v>
      </c>
      <c r="X1522" s="1">
        <v>434655</v>
      </c>
      <c r="Y1522" s="2">
        <v>38214</v>
      </c>
      <c r="Z1522" s="1">
        <v>-6.8210262828535599</v>
      </c>
      <c r="AA1522" s="1">
        <v>19</v>
      </c>
      <c r="AB1522" s="1">
        <v>676000</v>
      </c>
      <c r="AC1522" s="1">
        <f t="shared" si="23"/>
        <v>736000</v>
      </c>
    </row>
    <row r="1523" spans="1:29" x14ac:dyDescent="0.25">
      <c r="A1523" s="1" t="s">
        <v>4199</v>
      </c>
      <c r="B1523" s="1" t="s">
        <v>2601</v>
      </c>
      <c r="C1523" s="1" t="s">
        <v>2602</v>
      </c>
      <c r="D1523" s="1">
        <v>2023</v>
      </c>
      <c r="E1523" s="1" t="s">
        <v>45</v>
      </c>
      <c r="F1523" s="1">
        <v>2</v>
      </c>
      <c r="G1523" s="1" t="s">
        <v>46</v>
      </c>
      <c r="H1523" s="1" t="s">
        <v>90</v>
      </c>
      <c r="I1523" s="1">
        <v>92000</v>
      </c>
      <c r="J1523" s="1">
        <v>77000</v>
      </c>
      <c r="K1523" s="1">
        <v>15000</v>
      </c>
      <c r="L1523" s="1">
        <v>0</v>
      </c>
      <c r="M1523" s="1" t="s">
        <v>34</v>
      </c>
      <c r="N1523" s="1" t="s">
        <v>35</v>
      </c>
      <c r="O1523" s="1" t="s">
        <v>57</v>
      </c>
      <c r="P1523" s="1" t="s">
        <v>57</v>
      </c>
      <c r="Q1523" s="1" t="s">
        <v>38</v>
      </c>
      <c r="R1523" s="1" t="s">
        <v>4200</v>
      </c>
      <c r="S1523" s="3">
        <v>919552000000</v>
      </c>
      <c r="T1523" s="1" t="s">
        <v>86</v>
      </c>
      <c r="U1523" s="1">
        <v>68</v>
      </c>
      <c r="V1523" s="1">
        <v>90</v>
      </c>
      <c r="W1523" s="1" t="s">
        <v>41</v>
      </c>
      <c r="X1523" s="1">
        <v>391755</v>
      </c>
      <c r="Y1523" s="2">
        <v>35617</v>
      </c>
      <c r="Z1523" s="1">
        <v>-6.8210262828535599</v>
      </c>
      <c r="AA1523" s="1">
        <v>27</v>
      </c>
      <c r="AB1523" s="1">
        <v>184000</v>
      </c>
      <c r="AC1523" s="1">
        <f t="shared" si="23"/>
        <v>214000</v>
      </c>
    </row>
    <row r="1524" spans="1:29" x14ac:dyDescent="0.25">
      <c r="A1524" s="1" t="s">
        <v>4201</v>
      </c>
      <c r="B1524" s="1" t="s">
        <v>1876</v>
      </c>
      <c r="C1524" s="1" t="s">
        <v>1877</v>
      </c>
      <c r="D1524" s="1">
        <v>2023</v>
      </c>
      <c r="E1524" s="1" t="s">
        <v>45</v>
      </c>
      <c r="F1524" s="1">
        <v>2</v>
      </c>
      <c r="G1524" s="1" t="s">
        <v>46</v>
      </c>
      <c r="H1524" s="1" t="s">
        <v>102</v>
      </c>
      <c r="I1524" s="1">
        <v>92000</v>
      </c>
      <c r="J1524" s="1">
        <v>77000</v>
      </c>
      <c r="K1524" s="1">
        <v>15000</v>
      </c>
      <c r="L1524" s="1">
        <v>0</v>
      </c>
      <c r="M1524" s="1" t="s">
        <v>34</v>
      </c>
      <c r="N1524" s="1" t="s">
        <v>35</v>
      </c>
      <c r="O1524" s="1" t="s">
        <v>103</v>
      </c>
      <c r="P1524" s="1" t="s">
        <v>104</v>
      </c>
      <c r="Q1524" s="1" t="s">
        <v>38</v>
      </c>
      <c r="R1524" s="1" t="s">
        <v>4202</v>
      </c>
      <c r="S1524" s="3">
        <v>919144000000</v>
      </c>
      <c r="T1524" s="1" t="s">
        <v>86</v>
      </c>
      <c r="U1524" s="1">
        <v>68</v>
      </c>
      <c r="V1524" s="1">
        <v>63</v>
      </c>
      <c r="W1524" s="1" t="s">
        <v>41</v>
      </c>
      <c r="X1524" s="1">
        <v>727685</v>
      </c>
      <c r="Y1524" s="2">
        <v>36545</v>
      </c>
      <c r="Z1524" s="1">
        <v>-6.8210262828535599</v>
      </c>
      <c r="AA1524" s="1">
        <v>24</v>
      </c>
      <c r="AB1524" s="1">
        <v>184000</v>
      </c>
      <c r="AC1524" s="1">
        <f t="shared" si="23"/>
        <v>214000</v>
      </c>
    </row>
    <row r="1525" spans="1:29" x14ac:dyDescent="0.25">
      <c r="A1525" s="1" t="s">
        <v>4247</v>
      </c>
      <c r="B1525" s="1" t="s">
        <v>4220</v>
      </c>
      <c r="C1525" s="1" t="s">
        <v>4221</v>
      </c>
      <c r="D1525" s="1">
        <v>2023</v>
      </c>
      <c r="E1525" s="1" t="s">
        <v>31</v>
      </c>
      <c r="F1525" s="1">
        <v>4</v>
      </c>
      <c r="G1525" s="1" t="s">
        <v>32</v>
      </c>
      <c r="H1525" s="1" t="s">
        <v>113</v>
      </c>
      <c r="I1525" s="1">
        <v>169000</v>
      </c>
      <c r="J1525" s="1">
        <v>154000</v>
      </c>
      <c r="K1525" s="1">
        <v>15000</v>
      </c>
      <c r="L1525" s="1">
        <v>0</v>
      </c>
      <c r="M1525" s="1" t="s">
        <v>34</v>
      </c>
      <c r="N1525" s="1" t="s">
        <v>70</v>
      </c>
      <c r="O1525" s="1" t="s">
        <v>57</v>
      </c>
      <c r="P1525" s="1" t="s">
        <v>57</v>
      </c>
      <c r="Q1525" s="1" t="s">
        <v>38</v>
      </c>
      <c r="R1525" s="1" t="s">
        <v>4248</v>
      </c>
      <c r="S1525" s="3">
        <v>918631000000</v>
      </c>
      <c r="T1525" s="1" t="s">
        <v>74</v>
      </c>
      <c r="U1525" s="1">
        <v>68</v>
      </c>
      <c r="V1525" s="1">
        <v>70</v>
      </c>
      <c r="W1525" s="1" t="s">
        <v>52</v>
      </c>
      <c r="X1525" s="1">
        <v>345459</v>
      </c>
      <c r="Y1525" s="2">
        <v>37139</v>
      </c>
      <c r="Z1525" s="1">
        <v>-6.8210262828535599</v>
      </c>
      <c r="AA1525" s="1">
        <v>22</v>
      </c>
      <c r="AB1525" s="1">
        <v>676000</v>
      </c>
      <c r="AC1525" s="1">
        <f t="shared" si="23"/>
        <v>736000</v>
      </c>
    </row>
    <row r="1526" spans="1:29" x14ac:dyDescent="0.25">
      <c r="A1526" s="1" t="s">
        <v>4259</v>
      </c>
      <c r="B1526" s="1" t="s">
        <v>4260</v>
      </c>
      <c r="C1526" s="1" t="s">
        <v>4261</v>
      </c>
      <c r="D1526" s="1">
        <v>2023</v>
      </c>
      <c r="E1526" s="1" t="s">
        <v>31</v>
      </c>
      <c r="F1526" s="1">
        <v>4</v>
      </c>
      <c r="G1526" s="1" t="s">
        <v>32</v>
      </c>
      <c r="H1526" s="1" t="s">
        <v>122</v>
      </c>
      <c r="I1526" s="1">
        <v>169000</v>
      </c>
      <c r="J1526" s="1">
        <v>154000</v>
      </c>
      <c r="K1526" s="1">
        <v>15000</v>
      </c>
      <c r="L1526" s="1">
        <v>0</v>
      </c>
      <c r="M1526" s="1" t="s">
        <v>34</v>
      </c>
      <c r="N1526" s="1" t="s">
        <v>63</v>
      </c>
      <c r="O1526" s="1" t="s">
        <v>36</v>
      </c>
      <c r="P1526" s="1" t="s">
        <v>37</v>
      </c>
      <c r="Q1526" s="1" t="s">
        <v>38</v>
      </c>
      <c r="R1526" s="1" t="s">
        <v>4262</v>
      </c>
      <c r="S1526" s="3">
        <v>918518000000</v>
      </c>
      <c r="T1526" s="1" t="s">
        <v>98</v>
      </c>
      <c r="U1526" s="1">
        <v>68</v>
      </c>
      <c r="V1526" s="1">
        <v>91</v>
      </c>
      <c r="W1526" s="1" t="s">
        <v>41</v>
      </c>
      <c r="X1526" s="1">
        <v>475216</v>
      </c>
      <c r="Y1526" s="2">
        <v>37044</v>
      </c>
      <c r="Z1526" s="1">
        <v>-6.8210262828535599</v>
      </c>
      <c r="AA1526" s="1">
        <v>23</v>
      </c>
      <c r="AB1526" s="1">
        <v>676000</v>
      </c>
      <c r="AC1526" s="1">
        <f t="shared" si="23"/>
        <v>736000</v>
      </c>
    </row>
    <row r="1527" spans="1:29" x14ac:dyDescent="0.25">
      <c r="A1527" s="1" t="s">
        <v>4267</v>
      </c>
      <c r="B1527" s="1" t="s">
        <v>4268</v>
      </c>
      <c r="C1527" s="1" t="s">
        <v>4269</v>
      </c>
      <c r="D1527" s="1">
        <v>2023</v>
      </c>
      <c r="E1527" s="1" t="s">
        <v>31</v>
      </c>
      <c r="F1527" s="1">
        <v>4</v>
      </c>
      <c r="G1527" s="1" t="s">
        <v>32</v>
      </c>
      <c r="H1527" s="1" t="s">
        <v>113</v>
      </c>
      <c r="I1527" s="1">
        <v>169000</v>
      </c>
      <c r="J1527" s="1">
        <v>154000</v>
      </c>
      <c r="K1527" s="1">
        <v>15000</v>
      </c>
      <c r="L1527" s="1">
        <v>0</v>
      </c>
      <c r="M1527" s="1" t="s">
        <v>34</v>
      </c>
      <c r="N1527" s="1" t="s">
        <v>35</v>
      </c>
      <c r="O1527" s="1" t="s">
        <v>36</v>
      </c>
      <c r="P1527" s="1" t="s">
        <v>37</v>
      </c>
      <c r="Q1527" s="1" t="s">
        <v>38</v>
      </c>
      <c r="R1527" s="1" t="s">
        <v>4270</v>
      </c>
      <c r="S1527" s="3">
        <v>918882000000</v>
      </c>
      <c r="T1527" s="1" t="s">
        <v>51</v>
      </c>
      <c r="U1527" s="1">
        <v>68</v>
      </c>
      <c r="V1527" s="1">
        <v>74</v>
      </c>
      <c r="W1527" s="1" t="s">
        <v>41</v>
      </c>
      <c r="X1527" s="1">
        <v>608427</v>
      </c>
      <c r="Y1527" s="2">
        <v>37672</v>
      </c>
      <c r="Z1527" s="1">
        <v>-6.8210262828535599</v>
      </c>
      <c r="AA1527" s="1">
        <v>21</v>
      </c>
      <c r="AB1527" s="1">
        <v>676000</v>
      </c>
      <c r="AC1527" s="1">
        <f t="shared" si="23"/>
        <v>736000</v>
      </c>
    </row>
    <row r="1528" spans="1:29" x14ac:dyDescent="0.25">
      <c r="A1528" s="1" t="s">
        <v>4277</v>
      </c>
      <c r="B1528" s="1" t="s">
        <v>313</v>
      </c>
      <c r="C1528" s="1" t="s">
        <v>314</v>
      </c>
      <c r="D1528" s="1">
        <v>2023</v>
      </c>
      <c r="E1528" s="1" t="s">
        <v>45</v>
      </c>
      <c r="F1528" s="1">
        <v>2</v>
      </c>
      <c r="G1528" s="1" t="s">
        <v>46</v>
      </c>
      <c r="H1528" s="1" t="s">
        <v>90</v>
      </c>
      <c r="I1528" s="1">
        <v>92000</v>
      </c>
      <c r="J1528" s="1">
        <v>77000</v>
      </c>
      <c r="K1528" s="1">
        <v>15000</v>
      </c>
      <c r="L1528" s="1">
        <v>0</v>
      </c>
      <c r="M1528" s="1" t="s">
        <v>34</v>
      </c>
      <c r="N1528" s="1" t="s">
        <v>35</v>
      </c>
      <c r="O1528" s="1" t="s">
        <v>36</v>
      </c>
      <c r="P1528" s="1" t="s">
        <v>37</v>
      </c>
      <c r="Q1528" s="1" t="s">
        <v>38</v>
      </c>
      <c r="R1528" s="1" t="s">
        <v>4278</v>
      </c>
      <c r="S1528" s="3">
        <v>919564000000</v>
      </c>
      <c r="T1528" s="1" t="s">
        <v>40</v>
      </c>
      <c r="U1528" s="1">
        <v>68</v>
      </c>
      <c r="V1528" s="1">
        <v>65</v>
      </c>
      <c r="W1528" s="1" t="s">
        <v>52</v>
      </c>
      <c r="X1528" s="1">
        <v>530277</v>
      </c>
      <c r="Y1528" s="2">
        <v>36465</v>
      </c>
      <c r="Z1528" s="1">
        <v>-6.8210262828535599</v>
      </c>
      <c r="AA1528" s="1">
        <v>24</v>
      </c>
      <c r="AB1528" s="1">
        <v>184000</v>
      </c>
      <c r="AC1528" s="1">
        <f t="shared" si="23"/>
        <v>214000</v>
      </c>
    </row>
    <row r="1529" spans="1:29" x14ac:dyDescent="0.25">
      <c r="A1529" s="1" t="s">
        <v>4318</v>
      </c>
      <c r="B1529" s="1" t="s">
        <v>162</v>
      </c>
      <c r="C1529" s="1" t="s">
        <v>163</v>
      </c>
      <c r="D1529" s="1">
        <v>2023</v>
      </c>
      <c r="E1529" s="1" t="s">
        <v>31</v>
      </c>
      <c r="F1529" s="1">
        <v>4</v>
      </c>
      <c r="G1529" s="1" t="s">
        <v>32</v>
      </c>
      <c r="H1529" s="1" t="s">
        <v>122</v>
      </c>
      <c r="I1529" s="1">
        <v>169000</v>
      </c>
      <c r="J1529" s="1">
        <v>154000</v>
      </c>
      <c r="K1529" s="1">
        <v>15000</v>
      </c>
      <c r="L1529" s="1">
        <v>0</v>
      </c>
      <c r="M1529" s="1" t="s">
        <v>34</v>
      </c>
      <c r="N1529" s="1" t="s">
        <v>35</v>
      </c>
      <c r="O1529" s="1" t="s">
        <v>188</v>
      </c>
      <c r="P1529" s="1" t="s">
        <v>189</v>
      </c>
      <c r="Q1529" s="1" t="s">
        <v>38</v>
      </c>
      <c r="R1529" s="1" t="s">
        <v>4319</v>
      </c>
      <c r="S1529" s="3">
        <v>917323000000</v>
      </c>
      <c r="T1529" s="1" t="s">
        <v>98</v>
      </c>
      <c r="U1529" s="1">
        <v>67</v>
      </c>
      <c r="V1529" s="1">
        <v>89</v>
      </c>
      <c r="W1529" s="1" t="s">
        <v>41</v>
      </c>
      <c r="X1529" s="1">
        <v>470527</v>
      </c>
      <c r="Y1529" s="2">
        <v>38767</v>
      </c>
      <c r="Z1529" s="1">
        <v>-7.8210262828535599</v>
      </c>
      <c r="AA1529" s="1">
        <v>18</v>
      </c>
      <c r="AB1529" s="1">
        <v>676000</v>
      </c>
      <c r="AC1529" s="1">
        <f t="shared" si="23"/>
        <v>736000</v>
      </c>
    </row>
    <row r="1530" spans="1:29" x14ac:dyDescent="0.25">
      <c r="A1530" s="1" t="s">
        <v>4358</v>
      </c>
      <c r="B1530" s="1" t="s">
        <v>4051</v>
      </c>
      <c r="C1530" s="1" t="s">
        <v>4052</v>
      </c>
      <c r="D1530" s="1">
        <v>2023</v>
      </c>
      <c r="E1530" s="1" t="s">
        <v>45</v>
      </c>
      <c r="F1530" s="1">
        <v>2</v>
      </c>
      <c r="G1530" s="1" t="s">
        <v>46</v>
      </c>
      <c r="H1530" s="1" t="s">
        <v>113</v>
      </c>
      <c r="I1530" s="1">
        <v>92000</v>
      </c>
      <c r="J1530" s="1">
        <v>77000</v>
      </c>
      <c r="K1530" s="1">
        <v>15000</v>
      </c>
      <c r="L1530" s="1">
        <v>0</v>
      </c>
      <c r="M1530" s="1" t="s">
        <v>34</v>
      </c>
      <c r="N1530" s="1" t="s">
        <v>70</v>
      </c>
      <c r="O1530" s="1" t="s">
        <v>103</v>
      </c>
      <c r="P1530" s="1" t="s">
        <v>104</v>
      </c>
      <c r="Q1530" s="1" t="s">
        <v>38</v>
      </c>
      <c r="R1530" s="1" t="s">
        <v>4359</v>
      </c>
      <c r="S1530" s="3">
        <v>919289000000</v>
      </c>
      <c r="T1530" s="1" t="s">
        <v>74</v>
      </c>
      <c r="U1530" s="1">
        <v>67</v>
      </c>
      <c r="V1530" s="1">
        <v>79</v>
      </c>
      <c r="W1530" s="1" t="s">
        <v>52</v>
      </c>
      <c r="X1530" s="1">
        <v>718436</v>
      </c>
      <c r="Y1530" s="2">
        <v>36570</v>
      </c>
      <c r="Z1530" s="1">
        <v>-7.8210262828535599</v>
      </c>
      <c r="AA1530" s="1">
        <v>24</v>
      </c>
      <c r="AB1530" s="1">
        <v>184000</v>
      </c>
      <c r="AC1530" s="1">
        <f t="shared" si="23"/>
        <v>214000</v>
      </c>
    </row>
    <row r="1531" spans="1:29" x14ac:dyDescent="0.25">
      <c r="A1531" s="1" t="s">
        <v>4381</v>
      </c>
      <c r="B1531" s="1" t="s">
        <v>4382</v>
      </c>
      <c r="C1531" s="1" t="s">
        <v>4383</v>
      </c>
      <c r="D1531" s="1">
        <v>2023</v>
      </c>
      <c r="E1531" s="1" t="s">
        <v>45</v>
      </c>
      <c r="F1531" s="1">
        <v>2</v>
      </c>
      <c r="G1531" s="1" t="s">
        <v>46</v>
      </c>
      <c r="H1531" s="1" t="s">
        <v>62</v>
      </c>
      <c r="I1531" s="1">
        <v>92000</v>
      </c>
      <c r="J1531" s="1">
        <v>77000</v>
      </c>
      <c r="K1531" s="1">
        <v>15000</v>
      </c>
      <c r="L1531" s="1">
        <v>0</v>
      </c>
      <c r="M1531" s="1" t="s">
        <v>34</v>
      </c>
      <c r="N1531" s="1" t="s">
        <v>35</v>
      </c>
      <c r="O1531" s="1" t="s">
        <v>78</v>
      </c>
      <c r="P1531" s="1" t="s">
        <v>79</v>
      </c>
      <c r="Q1531" s="1" t="s">
        <v>38</v>
      </c>
      <c r="R1531" s="1" t="s">
        <v>4384</v>
      </c>
      <c r="S1531" s="3">
        <v>917292000000</v>
      </c>
      <c r="T1531" s="1" t="s">
        <v>51</v>
      </c>
      <c r="U1531" s="1">
        <v>67</v>
      </c>
      <c r="V1531" s="1">
        <v>87</v>
      </c>
      <c r="W1531" s="1" t="s">
        <v>41</v>
      </c>
      <c r="X1531" s="1">
        <v>738142</v>
      </c>
      <c r="Y1531" s="2">
        <v>35894</v>
      </c>
      <c r="Z1531" s="1">
        <v>-7.8210262828535599</v>
      </c>
      <c r="AA1531" s="1">
        <v>26</v>
      </c>
      <c r="AB1531" s="1">
        <v>184000</v>
      </c>
      <c r="AC1531" s="1">
        <f t="shared" si="23"/>
        <v>214000</v>
      </c>
    </row>
    <row r="1532" spans="1:29" x14ac:dyDescent="0.25">
      <c r="A1532" s="1" t="s">
        <v>4393</v>
      </c>
      <c r="B1532" s="1" t="s">
        <v>4394</v>
      </c>
      <c r="C1532" s="1" t="s">
        <v>4395</v>
      </c>
      <c r="D1532" s="1">
        <v>2023</v>
      </c>
      <c r="E1532" s="1" t="s">
        <v>31</v>
      </c>
      <c r="F1532" s="1">
        <v>4</v>
      </c>
      <c r="G1532" s="1" t="s">
        <v>32</v>
      </c>
      <c r="H1532" s="1" t="s">
        <v>113</v>
      </c>
      <c r="I1532" s="1">
        <v>169000</v>
      </c>
      <c r="J1532" s="1">
        <v>154000</v>
      </c>
      <c r="K1532" s="1">
        <v>15000</v>
      </c>
      <c r="L1532" s="1">
        <v>0</v>
      </c>
      <c r="M1532" s="1" t="s">
        <v>34</v>
      </c>
      <c r="N1532" s="1" t="s">
        <v>70</v>
      </c>
      <c r="O1532" s="1" t="s">
        <v>48</v>
      </c>
      <c r="P1532" s="1" t="s">
        <v>49</v>
      </c>
      <c r="Q1532" s="1" t="s">
        <v>38</v>
      </c>
      <c r="R1532" s="1" t="s">
        <v>4396</v>
      </c>
      <c r="S1532" s="3">
        <v>917157000000</v>
      </c>
      <c r="T1532" s="1" t="s">
        <v>40</v>
      </c>
      <c r="U1532" s="1">
        <v>67</v>
      </c>
      <c r="V1532" s="1">
        <v>92</v>
      </c>
      <c r="W1532" s="1" t="s">
        <v>41</v>
      </c>
      <c r="X1532" s="1">
        <v>699552</v>
      </c>
      <c r="Y1532" s="2">
        <v>37657</v>
      </c>
      <c r="Z1532" s="1">
        <v>-7.8210262828535599</v>
      </c>
      <c r="AA1532" s="1">
        <v>21</v>
      </c>
      <c r="AB1532" s="1">
        <v>676000</v>
      </c>
      <c r="AC1532" s="1">
        <f t="shared" si="23"/>
        <v>736000</v>
      </c>
    </row>
    <row r="1533" spans="1:29" x14ac:dyDescent="0.25">
      <c r="A1533" s="1" t="s">
        <v>4437</v>
      </c>
      <c r="B1533" s="1" t="s">
        <v>4438</v>
      </c>
      <c r="C1533" s="1" t="s">
        <v>4439</v>
      </c>
      <c r="D1533" s="1">
        <v>2023</v>
      </c>
      <c r="E1533" s="1" t="s">
        <v>31</v>
      </c>
      <c r="F1533" s="1">
        <v>4</v>
      </c>
      <c r="G1533" s="1" t="s">
        <v>32</v>
      </c>
      <c r="H1533" s="1" t="s">
        <v>102</v>
      </c>
      <c r="I1533" s="1">
        <v>169000</v>
      </c>
      <c r="J1533" s="1">
        <v>154000</v>
      </c>
      <c r="K1533" s="1">
        <v>15000</v>
      </c>
      <c r="L1533" s="1">
        <v>0</v>
      </c>
      <c r="M1533" s="1" t="s">
        <v>34</v>
      </c>
      <c r="N1533" s="1" t="s">
        <v>35</v>
      </c>
      <c r="O1533" s="1" t="s">
        <v>48</v>
      </c>
      <c r="P1533" s="1" t="s">
        <v>49</v>
      </c>
      <c r="Q1533" s="1" t="s">
        <v>38</v>
      </c>
      <c r="R1533" s="1" t="s">
        <v>4440</v>
      </c>
      <c r="S1533" s="3">
        <v>917730000000</v>
      </c>
      <c r="T1533" s="1" t="s">
        <v>40</v>
      </c>
      <c r="U1533" s="1">
        <v>67</v>
      </c>
      <c r="V1533" s="1">
        <v>72</v>
      </c>
      <c r="W1533" s="1" t="s">
        <v>52</v>
      </c>
      <c r="X1533" s="1">
        <v>490600</v>
      </c>
      <c r="Y1533" s="2">
        <v>37769</v>
      </c>
      <c r="Z1533" s="1">
        <v>-7.8210262828535599</v>
      </c>
      <c r="AA1533" s="1">
        <v>21</v>
      </c>
      <c r="AB1533" s="1">
        <v>676000</v>
      </c>
      <c r="AC1533" s="1">
        <f t="shared" si="23"/>
        <v>736000</v>
      </c>
    </row>
    <row r="1534" spans="1:29" x14ac:dyDescent="0.25">
      <c r="A1534" s="1" t="s">
        <v>4455</v>
      </c>
      <c r="B1534" s="1" t="s">
        <v>4456</v>
      </c>
      <c r="C1534" s="1" t="s">
        <v>4457</v>
      </c>
      <c r="D1534" s="1">
        <v>2023</v>
      </c>
      <c r="E1534" s="1" t="s">
        <v>31</v>
      </c>
      <c r="F1534" s="1">
        <v>4</v>
      </c>
      <c r="G1534" s="1" t="s">
        <v>32</v>
      </c>
      <c r="H1534" s="1" t="s">
        <v>90</v>
      </c>
      <c r="I1534" s="1">
        <v>169000</v>
      </c>
      <c r="J1534" s="1">
        <v>154000</v>
      </c>
      <c r="K1534" s="1">
        <v>15000</v>
      </c>
      <c r="L1534" s="1">
        <v>0</v>
      </c>
      <c r="M1534" s="1" t="s">
        <v>34</v>
      </c>
      <c r="N1534" s="1" t="s">
        <v>63</v>
      </c>
      <c r="O1534" s="1" t="s">
        <v>71</v>
      </c>
      <c r="P1534" s="1" t="s">
        <v>72</v>
      </c>
      <c r="Q1534" s="1" t="s">
        <v>38</v>
      </c>
      <c r="R1534" s="1" t="s">
        <v>4458</v>
      </c>
      <c r="S1534" s="3">
        <v>918840000000</v>
      </c>
      <c r="T1534" s="1" t="s">
        <v>40</v>
      </c>
      <c r="U1534" s="1">
        <v>67</v>
      </c>
      <c r="V1534" s="1">
        <v>70</v>
      </c>
      <c r="W1534" s="1" t="s">
        <v>41</v>
      </c>
      <c r="X1534" s="1">
        <v>136011</v>
      </c>
      <c r="Y1534" s="2">
        <v>37481</v>
      </c>
      <c r="Z1534" s="1">
        <v>-7.8210262828535599</v>
      </c>
      <c r="AA1534" s="1">
        <v>21</v>
      </c>
      <c r="AB1534" s="1">
        <v>676000</v>
      </c>
      <c r="AC1534" s="1">
        <f t="shared" si="23"/>
        <v>736000</v>
      </c>
    </row>
    <row r="1535" spans="1:29" x14ac:dyDescent="0.25">
      <c r="A1535" s="1" t="s">
        <v>4501</v>
      </c>
      <c r="B1535" s="1" t="s">
        <v>4502</v>
      </c>
      <c r="C1535" s="1" t="s">
        <v>4503</v>
      </c>
      <c r="D1535" s="1">
        <v>2023</v>
      </c>
      <c r="E1535" s="1" t="s">
        <v>31</v>
      </c>
      <c r="F1535" s="1">
        <v>4</v>
      </c>
      <c r="G1535" s="1" t="s">
        <v>32</v>
      </c>
      <c r="H1535" s="1" t="s">
        <v>122</v>
      </c>
      <c r="I1535" s="1">
        <v>169000</v>
      </c>
      <c r="J1535" s="1">
        <v>154000</v>
      </c>
      <c r="K1535" s="1">
        <v>15000</v>
      </c>
      <c r="L1535" s="1">
        <v>0</v>
      </c>
      <c r="M1535" s="1" t="s">
        <v>34</v>
      </c>
      <c r="N1535" s="1" t="s">
        <v>35</v>
      </c>
      <c r="O1535" s="1" t="s">
        <v>103</v>
      </c>
      <c r="P1535" s="1" t="s">
        <v>104</v>
      </c>
      <c r="Q1535" s="1" t="s">
        <v>38</v>
      </c>
      <c r="R1535" s="1" t="s">
        <v>4504</v>
      </c>
      <c r="S1535" s="3">
        <v>917228000000</v>
      </c>
      <c r="T1535" s="1" t="s">
        <v>98</v>
      </c>
      <c r="U1535" s="1">
        <v>66</v>
      </c>
      <c r="V1535" s="1">
        <v>76</v>
      </c>
      <c r="W1535" s="1" t="s">
        <v>52</v>
      </c>
      <c r="X1535" s="1">
        <v>349926</v>
      </c>
      <c r="Y1535" s="2">
        <v>37396</v>
      </c>
      <c r="Z1535" s="1">
        <v>-8.8210262828535608</v>
      </c>
      <c r="AA1535" s="1">
        <v>22</v>
      </c>
      <c r="AB1535" s="1">
        <v>676000</v>
      </c>
      <c r="AC1535" s="1">
        <f t="shared" si="23"/>
        <v>736000</v>
      </c>
    </row>
    <row r="1536" spans="1:29" x14ac:dyDescent="0.25">
      <c r="A1536" s="1" t="s">
        <v>4519</v>
      </c>
      <c r="B1536" s="1" t="s">
        <v>4520</v>
      </c>
      <c r="C1536" s="1" t="s">
        <v>4521</v>
      </c>
      <c r="D1536" s="1">
        <v>2023</v>
      </c>
      <c r="E1536" s="1" t="s">
        <v>31</v>
      </c>
      <c r="F1536" s="1">
        <v>4</v>
      </c>
      <c r="G1536" s="1" t="s">
        <v>32</v>
      </c>
      <c r="H1536" s="1" t="s">
        <v>210</v>
      </c>
      <c r="I1536" s="1">
        <v>169000</v>
      </c>
      <c r="J1536" s="1">
        <v>154000</v>
      </c>
      <c r="K1536" s="1">
        <v>15000</v>
      </c>
      <c r="L1536" s="1">
        <v>0</v>
      </c>
      <c r="M1536" s="1" t="s">
        <v>34</v>
      </c>
      <c r="N1536" s="1" t="s">
        <v>70</v>
      </c>
      <c r="O1536" s="1" t="s">
        <v>71</v>
      </c>
      <c r="P1536" s="1" t="s">
        <v>72</v>
      </c>
      <c r="Q1536" s="1" t="s">
        <v>38</v>
      </c>
      <c r="R1536" s="1" t="s">
        <v>4522</v>
      </c>
      <c r="S1536" s="3">
        <v>919227000000</v>
      </c>
      <c r="T1536" s="1" t="s">
        <v>86</v>
      </c>
      <c r="U1536" s="1">
        <v>66</v>
      </c>
      <c r="V1536" s="1">
        <v>74</v>
      </c>
      <c r="W1536" s="1" t="s">
        <v>41</v>
      </c>
      <c r="X1536" s="1">
        <v>765155</v>
      </c>
      <c r="Y1536" s="2">
        <v>38260</v>
      </c>
      <c r="Z1536" s="1">
        <v>-8.8210262828535608</v>
      </c>
      <c r="AA1536" s="1">
        <v>19</v>
      </c>
      <c r="AB1536" s="1">
        <v>676000</v>
      </c>
      <c r="AC1536" s="1">
        <f t="shared" si="23"/>
        <v>736000</v>
      </c>
    </row>
    <row r="1537" spans="1:29" x14ac:dyDescent="0.25">
      <c r="A1537" s="1" t="s">
        <v>4533</v>
      </c>
      <c r="B1537" s="1" t="s">
        <v>43</v>
      </c>
      <c r="C1537" s="1" t="s">
        <v>44</v>
      </c>
      <c r="D1537" s="1">
        <v>2023</v>
      </c>
      <c r="E1537" s="1" t="s">
        <v>31</v>
      </c>
      <c r="F1537" s="1">
        <v>4</v>
      </c>
      <c r="G1537" s="1" t="s">
        <v>32</v>
      </c>
      <c r="H1537" s="1" t="s">
        <v>33</v>
      </c>
      <c r="I1537" s="1">
        <v>169000</v>
      </c>
      <c r="J1537" s="1">
        <v>154000</v>
      </c>
      <c r="K1537" s="1">
        <v>15000</v>
      </c>
      <c r="L1537" s="1">
        <v>0</v>
      </c>
      <c r="M1537" s="1" t="s">
        <v>34</v>
      </c>
      <c r="N1537" s="1" t="s">
        <v>70</v>
      </c>
      <c r="O1537" s="1" t="s">
        <v>91</v>
      </c>
      <c r="P1537" s="1" t="s">
        <v>92</v>
      </c>
      <c r="Q1537" s="1" t="s">
        <v>38</v>
      </c>
      <c r="R1537" s="1" t="s">
        <v>4534</v>
      </c>
      <c r="S1537" s="3">
        <v>919921000000</v>
      </c>
      <c r="T1537" s="1" t="s">
        <v>74</v>
      </c>
      <c r="U1537" s="1">
        <v>66</v>
      </c>
      <c r="V1537" s="1">
        <v>78</v>
      </c>
      <c r="W1537" s="1" t="s">
        <v>41</v>
      </c>
      <c r="X1537" s="1">
        <v>259064</v>
      </c>
      <c r="Y1537" s="2">
        <v>37625</v>
      </c>
      <c r="Z1537" s="1">
        <v>-8.8210262828535608</v>
      </c>
      <c r="AA1537" s="1">
        <v>21</v>
      </c>
      <c r="AB1537" s="1">
        <v>676000</v>
      </c>
      <c r="AC1537" s="1">
        <f t="shared" si="23"/>
        <v>736000</v>
      </c>
    </row>
    <row r="1538" spans="1:29" x14ac:dyDescent="0.25">
      <c r="A1538" s="1" t="s">
        <v>4543</v>
      </c>
      <c r="B1538" s="1" t="s">
        <v>4544</v>
      </c>
      <c r="C1538" s="1" t="s">
        <v>4545</v>
      </c>
      <c r="D1538" s="1">
        <v>2023</v>
      </c>
      <c r="E1538" s="1" t="s">
        <v>31</v>
      </c>
      <c r="F1538" s="1">
        <v>4</v>
      </c>
      <c r="G1538" s="1" t="s">
        <v>32</v>
      </c>
      <c r="H1538" s="1" t="s">
        <v>56</v>
      </c>
      <c r="I1538" s="1">
        <v>169000</v>
      </c>
      <c r="J1538" s="1">
        <v>154000</v>
      </c>
      <c r="K1538" s="1">
        <v>15000</v>
      </c>
      <c r="L1538" s="1">
        <v>0</v>
      </c>
      <c r="M1538" s="1" t="s">
        <v>34</v>
      </c>
      <c r="N1538" s="1" t="s">
        <v>35</v>
      </c>
      <c r="O1538" s="1" t="s">
        <v>71</v>
      </c>
      <c r="P1538" s="1" t="s">
        <v>72</v>
      </c>
      <c r="Q1538" s="1" t="s">
        <v>38</v>
      </c>
      <c r="R1538" s="1" t="s">
        <v>4546</v>
      </c>
      <c r="S1538" s="3">
        <v>919647000000</v>
      </c>
      <c r="T1538" s="1" t="s">
        <v>74</v>
      </c>
      <c r="U1538" s="1">
        <v>66</v>
      </c>
      <c r="V1538" s="1">
        <v>72</v>
      </c>
      <c r="W1538" s="1" t="s">
        <v>41</v>
      </c>
      <c r="X1538" s="1">
        <v>559742</v>
      </c>
      <c r="Y1538" s="2">
        <v>38523</v>
      </c>
      <c r="Z1538" s="1">
        <v>-8.8210262828535608</v>
      </c>
      <c r="AA1538" s="1">
        <v>19</v>
      </c>
      <c r="AB1538" s="1">
        <v>676000</v>
      </c>
      <c r="AC1538" s="1">
        <f t="shared" si="23"/>
        <v>736000</v>
      </c>
    </row>
    <row r="1539" spans="1:29" x14ac:dyDescent="0.25">
      <c r="A1539" s="1" t="s">
        <v>4567</v>
      </c>
      <c r="B1539" s="1" t="s">
        <v>3049</v>
      </c>
      <c r="C1539" s="1" t="s">
        <v>3050</v>
      </c>
      <c r="D1539" s="1">
        <v>2023</v>
      </c>
      <c r="E1539" s="1" t="s">
        <v>31</v>
      </c>
      <c r="F1539" s="1">
        <v>4</v>
      </c>
      <c r="G1539" s="1" t="s">
        <v>32</v>
      </c>
      <c r="H1539" s="1" t="s">
        <v>102</v>
      </c>
      <c r="I1539" s="1">
        <v>169000</v>
      </c>
      <c r="J1539" s="1">
        <v>154000</v>
      </c>
      <c r="K1539" s="1">
        <v>15000</v>
      </c>
      <c r="L1539" s="1">
        <v>0</v>
      </c>
      <c r="M1539" s="1" t="s">
        <v>34</v>
      </c>
      <c r="N1539" s="1" t="s">
        <v>70</v>
      </c>
      <c r="O1539" s="1" t="s">
        <v>78</v>
      </c>
      <c r="P1539" s="1" t="s">
        <v>79</v>
      </c>
      <c r="Q1539" s="1" t="s">
        <v>38</v>
      </c>
      <c r="R1539" s="1" t="s">
        <v>4568</v>
      </c>
      <c r="S1539" s="3">
        <v>918378000000</v>
      </c>
      <c r="T1539" s="1" t="s">
        <v>40</v>
      </c>
      <c r="U1539" s="1">
        <v>66</v>
      </c>
      <c r="V1539" s="1">
        <v>77</v>
      </c>
      <c r="W1539" s="1" t="s">
        <v>52</v>
      </c>
      <c r="X1539" s="1">
        <v>461530</v>
      </c>
      <c r="Y1539" s="2">
        <v>37162</v>
      </c>
      <c r="Z1539" s="1">
        <v>-8.8210262828535608</v>
      </c>
      <c r="AA1539" s="1">
        <v>22</v>
      </c>
      <c r="AB1539" s="1">
        <v>676000</v>
      </c>
      <c r="AC1539" s="1">
        <f t="shared" si="23"/>
        <v>736000</v>
      </c>
    </row>
    <row r="1540" spans="1:29" x14ac:dyDescent="0.25">
      <c r="A1540" s="1" t="s">
        <v>4623</v>
      </c>
      <c r="B1540" s="1" t="s">
        <v>4624</v>
      </c>
      <c r="C1540" s="1" t="s">
        <v>4625</v>
      </c>
      <c r="D1540" s="1">
        <v>2023</v>
      </c>
      <c r="E1540" s="1" t="s">
        <v>31</v>
      </c>
      <c r="F1540" s="1">
        <v>4</v>
      </c>
      <c r="G1540" s="1" t="s">
        <v>32</v>
      </c>
      <c r="H1540" s="1" t="s">
        <v>62</v>
      </c>
      <c r="I1540" s="1">
        <v>169000</v>
      </c>
      <c r="J1540" s="1">
        <v>154000</v>
      </c>
      <c r="K1540" s="1">
        <v>15000</v>
      </c>
      <c r="L1540" s="1">
        <v>0</v>
      </c>
      <c r="M1540" s="1" t="s">
        <v>34</v>
      </c>
      <c r="N1540" s="1" t="s">
        <v>63</v>
      </c>
      <c r="O1540" s="1" t="s">
        <v>64</v>
      </c>
      <c r="P1540" s="1" t="s">
        <v>65</v>
      </c>
      <c r="Q1540" s="1" t="s">
        <v>38</v>
      </c>
      <c r="R1540" s="1" t="s">
        <v>4626</v>
      </c>
      <c r="S1540" s="3">
        <v>919929000000</v>
      </c>
      <c r="T1540" s="1" t="s">
        <v>74</v>
      </c>
      <c r="U1540" s="1">
        <v>66</v>
      </c>
      <c r="V1540" s="1">
        <v>89</v>
      </c>
      <c r="W1540" s="1" t="s">
        <v>52</v>
      </c>
      <c r="X1540" s="1">
        <v>476268</v>
      </c>
      <c r="Y1540" s="2">
        <v>37407</v>
      </c>
      <c r="Z1540" s="1">
        <v>-8.8210262828535608</v>
      </c>
      <c r="AA1540" s="1">
        <v>22</v>
      </c>
      <c r="AB1540" s="1">
        <v>676000</v>
      </c>
      <c r="AC1540" s="1">
        <f t="shared" si="23"/>
        <v>736000</v>
      </c>
    </row>
    <row r="1541" spans="1:29" x14ac:dyDescent="0.25">
      <c r="A1541" s="1" t="s">
        <v>4629</v>
      </c>
      <c r="B1541" s="1" t="s">
        <v>4630</v>
      </c>
      <c r="C1541" s="1" t="s">
        <v>4631</v>
      </c>
      <c r="D1541" s="1">
        <v>2023</v>
      </c>
      <c r="E1541" s="1" t="s">
        <v>31</v>
      </c>
      <c r="F1541" s="1">
        <v>4</v>
      </c>
      <c r="G1541" s="1" t="s">
        <v>32</v>
      </c>
      <c r="H1541" s="1" t="s">
        <v>113</v>
      </c>
      <c r="I1541" s="1">
        <v>169000</v>
      </c>
      <c r="J1541" s="1">
        <v>154000</v>
      </c>
      <c r="K1541" s="1">
        <v>15000</v>
      </c>
      <c r="L1541" s="1">
        <v>0</v>
      </c>
      <c r="M1541" s="1" t="s">
        <v>34</v>
      </c>
      <c r="N1541" s="1" t="s">
        <v>70</v>
      </c>
      <c r="O1541" s="1" t="s">
        <v>71</v>
      </c>
      <c r="P1541" s="1" t="s">
        <v>72</v>
      </c>
      <c r="Q1541" s="1" t="s">
        <v>38</v>
      </c>
      <c r="R1541" s="1" t="s">
        <v>4632</v>
      </c>
      <c r="S1541" s="3">
        <v>918628000000</v>
      </c>
      <c r="T1541" s="1" t="s">
        <v>74</v>
      </c>
      <c r="U1541" s="1">
        <v>65</v>
      </c>
      <c r="V1541" s="1">
        <v>74</v>
      </c>
      <c r="W1541" s="1" t="s">
        <v>41</v>
      </c>
      <c r="X1541" s="1">
        <v>790648</v>
      </c>
      <c r="Y1541" s="2">
        <v>37595</v>
      </c>
      <c r="Z1541" s="1">
        <v>-9.8210262828535608</v>
      </c>
      <c r="AA1541" s="1">
        <v>21</v>
      </c>
      <c r="AB1541" s="1">
        <v>676000</v>
      </c>
      <c r="AC1541" s="1">
        <f t="shared" si="23"/>
        <v>736000</v>
      </c>
    </row>
    <row r="1542" spans="1:29" x14ac:dyDescent="0.25">
      <c r="A1542" s="1" t="s">
        <v>4633</v>
      </c>
      <c r="B1542" s="1" t="s">
        <v>4634</v>
      </c>
      <c r="C1542" s="1" t="s">
        <v>4635</v>
      </c>
      <c r="D1542" s="1">
        <v>2023</v>
      </c>
      <c r="E1542" s="1" t="s">
        <v>31</v>
      </c>
      <c r="F1542" s="1">
        <v>4</v>
      </c>
      <c r="G1542" s="1" t="s">
        <v>32</v>
      </c>
      <c r="H1542" s="1" t="s">
        <v>113</v>
      </c>
      <c r="I1542" s="1">
        <v>169000</v>
      </c>
      <c r="J1542" s="1">
        <v>154000</v>
      </c>
      <c r="K1542" s="1">
        <v>15000</v>
      </c>
      <c r="L1542" s="1">
        <v>0</v>
      </c>
      <c r="M1542" s="1" t="s">
        <v>34</v>
      </c>
      <c r="N1542" s="1" t="s">
        <v>35</v>
      </c>
      <c r="O1542" s="1" t="s">
        <v>91</v>
      </c>
      <c r="P1542" s="1" t="s">
        <v>92</v>
      </c>
      <c r="Q1542" s="1" t="s">
        <v>38</v>
      </c>
      <c r="R1542" s="1" t="s">
        <v>4636</v>
      </c>
      <c r="S1542" s="3">
        <v>917579000000</v>
      </c>
      <c r="T1542" s="1" t="s">
        <v>74</v>
      </c>
      <c r="U1542" s="1">
        <v>65</v>
      </c>
      <c r="V1542" s="1">
        <v>65</v>
      </c>
      <c r="W1542" s="1" t="s">
        <v>52</v>
      </c>
      <c r="X1542" s="1">
        <v>725820</v>
      </c>
      <c r="Y1542" s="2">
        <v>38098</v>
      </c>
      <c r="Z1542" s="1">
        <v>-9.8210262828535608</v>
      </c>
      <c r="AA1542" s="1">
        <v>20</v>
      </c>
      <c r="AB1542" s="1">
        <v>676000</v>
      </c>
      <c r="AC1542" s="1">
        <f t="shared" ref="AC1542:AC1605" si="24">IF(F1542 = 2, AB1542+30000,AB1542+60000)</f>
        <v>736000</v>
      </c>
    </row>
    <row r="1543" spans="1:29" x14ac:dyDescent="0.25">
      <c r="A1543" s="1" t="s">
        <v>4641</v>
      </c>
      <c r="B1543" s="1" t="s">
        <v>2338</v>
      </c>
      <c r="C1543" s="1" t="s">
        <v>2339</v>
      </c>
      <c r="D1543" s="1">
        <v>2023</v>
      </c>
      <c r="E1543" s="1" t="s">
        <v>45</v>
      </c>
      <c r="F1543" s="1">
        <v>2</v>
      </c>
      <c r="G1543" s="1" t="s">
        <v>46</v>
      </c>
      <c r="H1543" s="1" t="s">
        <v>102</v>
      </c>
      <c r="I1543" s="1">
        <v>92000</v>
      </c>
      <c r="J1543" s="1">
        <v>77000</v>
      </c>
      <c r="K1543" s="1">
        <v>15000</v>
      </c>
      <c r="L1543" s="1">
        <v>0</v>
      </c>
      <c r="M1543" s="1" t="s">
        <v>34</v>
      </c>
      <c r="N1543" s="1" t="s">
        <v>70</v>
      </c>
      <c r="O1543" s="1" t="s">
        <v>188</v>
      </c>
      <c r="P1543" s="1" t="s">
        <v>189</v>
      </c>
      <c r="Q1543" s="1" t="s">
        <v>38</v>
      </c>
      <c r="R1543" s="1" t="s">
        <v>4642</v>
      </c>
      <c r="S1543" s="3">
        <v>919314000000</v>
      </c>
      <c r="T1543" s="1" t="s">
        <v>40</v>
      </c>
      <c r="U1543" s="1">
        <v>65</v>
      </c>
      <c r="V1543" s="1">
        <v>61</v>
      </c>
      <c r="W1543" s="1" t="s">
        <v>52</v>
      </c>
      <c r="X1543" s="1">
        <v>592556</v>
      </c>
      <c r="Y1543" s="2">
        <v>36744</v>
      </c>
      <c r="Z1543" s="1">
        <v>-9.8210262828535608</v>
      </c>
      <c r="AA1543" s="1">
        <v>23</v>
      </c>
      <c r="AB1543" s="1">
        <v>184000</v>
      </c>
      <c r="AC1543" s="1">
        <f t="shared" si="24"/>
        <v>214000</v>
      </c>
    </row>
    <row r="1544" spans="1:29" x14ac:dyDescent="0.25">
      <c r="A1544" s="1" t="s">
        <v>4647</v>
      </c>
      <c r="B1544" s="1" t="s">
        <v>4648</v>
      </c>
      <c r="C1544" s="1" t="s">
        <v>4649</v>
      </c>
      <c r="D1544" s="1">
        <v>2023</v>
      </c>
      <c r="E1544" s="1" t="s">
        <v>45</v>
      </c>
      <c r="F1544" s="1">
        <v>2</v>
      </c>
      <c r="G1544" s="1" t="s">
        <v>46</v>
      </c>
      <c r="H1544" s="1" t="s">
        <v>47</v>
      </c>
      <c r="I1544" s="1">
        <v>92000</v>
      </c>
      <c r="J1544" s="1">
        <v>77000</v>
      </c>
      <c r="K1544" s="1">
        <v>15000</v>
      </c>
      <c r="L1544" s="1">
        <v>0</v>
      </c>
      <c r="M1544" s="1" t="s">
        <v>34</v>
      </c>
      <c r="N1544" s="1" t="s">
        <v>63</v>
      </c>
      <c r="O1544" s="1" t="s">
        <v>71</v>
      </c>
      <c r="P1544" s="1" t="s">
        <v>72</v>
      </c>
      <c r="Q1544" s="1" t="s">
        <v>38</v>
      </c>
      <c r="R1544" s="1" t="s">
        <v>4650</v>
      </c>
      <c r="S1544" s="3">
        <v>917083000000</v>
      </c>
      <c r="T1544" s="1" t="s">
        <v>74</v>
      </c>
      <c r="U1544" s="1">
        <v>65</v>
      </c>
      <c r="V1544" s="1">
        <v>88</v>
      </c>
      <c r="W1544" s="1" t="s">
        <v>41</v>
      </c>
      <c r="X1544" s="1">
        <v>290911</v>
      </c>
      <c r="Y1544" s="2">
        <v>37360</v>
      </c>
      <c r="Z1544" s="1">
        <v>-9.8210262828535608</v>
      </c>
      <c r="AA1544" s="1">
        <v>22</v>
      </c>
      <c r="AB1544" s="1">
        <v>184000</v>
      </c>
      <c r="AC1544" s="1">
        <f t="shared" si="24"/>
        <v>214000</v>
      </c>
    </row>
    <row r="1545" spans="1:29" x14ac:dyDescent="0.25">
      <c r="A1545" s="1" t="s">
        <v>4651</v>
      </c>
      <c r="B1545" s="1" t="s">
        <v>4652</v>
      </c>
      <c r="C1545" s="1" t="s">
        <v>4653</v>
      </c>
      <c r="D1545" s="1">
        <v>2023</v>
      </c>
      <c r="E1545" s="1" t="s">
        <v>31</v>
      </c>
      <c r="F1545" s="1">
        <v>4</v>
      </c>
      <c r="G1545" s="1" t="s">
        <v>32</v>
      </c>
      <c r="H1545" s="1" t="s">
        <v>151</v>
      </c>
      <c r="I1545" s="1">
        <v>169000</v>
      </c>
      <c r="J1545" s="1">
        <v>154000</v>
      </c>
      <c r="K1545" s="1">
        <v>15000</v>
      </c>
      <c r="L1545" s="1">
        <v>0</v>
      </c>
      <c r="M1545" s="1" t="s">
        <v>34</v>
      </c>
      <c r="N1545" s="1" t="s">
        <v>35</v>
      </c>
      <c r="O1545" s="1" t="s">
        <v>78</v>
      </c>
      <c r="P1545" s="1" t="s">
        <v>79</v>
      </c>
      <c r="Q1545" s="1" t="s">
        <v>38</v>
      </c>
      <c r="R1545" s="1" t="s">
        <v>4654</v>
      </c>
      <c r="S1545" s="3">
        <v>919788000000</v>
      </c>
      <c r="T1545" s="1" t="s">
        <v>74</v>
      </c>
      <c r="U1545" s="1">
        <v>65</v>
      </c>
      <c r="V1545" s="1">
        <v>74</v>
      </c>
      <c r="W1545" s="1" t="s">
        <v>52</v>
      </c>
      <c r="X1545" s="1">
        <v>421348</v>
      </c>
      <c r="Y1545" s="2">
        <v>37205</v>
      </c>
      <c r="Z1545" s="1">
        <v>-9.8210262828535608</v>
      </c>
      <c r="AA1545" s="1">
        <v>22</v>
      </c>
      <c r="AB1545" s="1">
        <v>676000</v>
      </c>
      <c r="AC1545" s="1">
        <f t="shared" si="24"/>
        <v>736000</v>
      </c>
    </row>
    <row r="1546" spans="1:29" x14ac:dyDescent="0.25">
      <c r="A1546" s="1" t="s">
        <v>4655</v>
      </c>
      <c r="B1546" s="1" t="s">
        <v>1047</v>
      </c>
      <c r="C1546" s="1" t="s">
        <v>1048</v>
      </c>
      <c r="D1546" s="1">
        <v>2023</v>
      </c>
      <c r="E1546" s="1" t="s">
        <v>45</v>
      </c>
      <c r="F1546" s="1">
        <v>2</v>
      </c>
      <c r="G1546" s="1" t="s">
        <v>46</v>
      </c>
      <c r="H1546" s="1" t="s">
        <v>47</v>
      </c>
      <c r="I1546" s="1">
        <v>92000</v>
      </c>
      <c r="J1546" s="1">
        <v>77000</v>
      </c>
      <c r="K1546" s="1">
        <v>15000</v>
      </c>
      <c r="L1546" s="1">
        <v>0</v>
      </c>
      <c r="M1546" s="1" t="s">
        <v>34</v>
      </c>
      <c r="N1546" s="1" t="s">
        <v>35</v>
      </c>
      <c r="O1546" s="1" t="s">
        <v>64</v>
      </c>
      <c r="P1546" s="1" t="s">
        <v>65</v>
      </c>
      <c r="Q1546" s="1" t="s">
        <v>38</v>
      </c>
      <c r="R1546" s="1" t="s">
        <v>4656</v>
      </c>
      <c r="S1546" s="3">
        <v>918930000000</v>
      </c>
      <c r="T1546" s="1" t="s">
        <v>40</v>
      </c>
      <c r="U1546" s="1">
        <v>65</v>
      </c>
      <c r="V1546" s="1">
        <v>82</v>
      </c>
      <c r="W1546" s="1" t="s">
        <v>52</v>
      </c>
      <c r="X1546" s="1">
        <v>560178</v>
      </c>
      <c r="Y1546" s="2">
        <v>36951</v>
      </c>
      <c r="Z1546" s="1">
        <v>-9.8210262828535608</v>
      </c>
      <c r="AA1546" s="1">
        <v>23</v>
      </c>
      <c r="AB1546" s="1">
        <v>184000</v>
      </c>
      <c r="AC1546" s="1">
        <f t="shared" si="24"/>
        <v>214000</v>
      </c>
    </row>
    <row r="1547" spans="1:29" x14ac:dyDescent="0.25">
      <c r="A1547" s="1" t="s">
        <v>4667</v>
      </c>
      <c r="B1547" s="1" t="s">
        <v>555</v>
      </c>
      <c r="C1547" s="1" t="s">
        <v>556</v>
      </c>
      <c r="D1547" s="1">
        <v>2023</v>
      </c>
      <c r="E1547" s="1" t="s">
        <v>45</v>
      </c>
      <c r="F1547" s="1">
        <v>2</v>
      </c>
      <c r="G1547" s="1" t="s">
        <v>46</v>
      </c>
      <c r="H1547" s="1" t="s">
        <v>113</v>
      </c>
      <c r="I1547" s="1">
        <v>92000</v>
      </c>
      <c r="J1547" s="1">
        <v>77000</v>
      </c>
      <c r="K1547" s="1">
        <v>15000</v>
      </c>
      <c r="L1547" s="1">
        <v>0</v>
      </c>
      <c r="M1547" s="1" t="s">
        <v>34</v>
      </c>
      <c r="N1547" s="1" t="s">
        <v>63</v>
      </c>
      <c r="O1547" s="1" t="s">
        <v>71</v>
      </c>
      <c r="P1547" s="1" t="s">
        <v>72</v>
      </c>
      <c r="Q1547" s="1" t="s">
        <v>38</v>
      </c>
      <c r="R1547" s="1" t="s">
        <v>4668</v>
      </c>
      <c r="S1547" s="3">
        <v>918468000000</v>
      </c>
      <c r="T1547" s="1" t="s">
        <v>86</v>
      </c>
      <c r="U1547" s="1">
        <v>65</v>
      </c>
      <c r="V1547" s="1">
        <v>92</v>
      </c>
      <c r="W1547" s="1" t="s">
        <v>41</v>
      </c>
      <c r="X1547" s="1">
        <v>481739</v>
      </c>
      <c r="Y1547" s="2">
        <v>36543</v>
      </c>
      <c r="Z1547" s="1">
        <v>-9.8210262828535608</v>
      </c>
      <c r="AA1547" s="1">
        <v>24</v>
      </c>
      <c r="AB1547" s="1">
        <v>184000</v>
      </c>
      <c r="AC1547" s="1">
        <f t="shared" si="24"/>
        <v>214000</v>
      </c>
    </row>
    <row r="1548" spans="1:29" x14ac:dyDescent="0.25">
      <c r="A1548" s="1" t="s">
        <v>4696</v>
      </c>
      <c r="B1548" s="1" t="s">
        <v>4648</v>
      </c>
      <c r="C1548" s="1" t="s">
        <v>4649</v>
      </c>
      <c r="D1548" s="1">
        <v>2023</v>
      </c>
      <c r="E1548" s="1" t="s">
        <v>31</v>
      </c>
      <c r="F1548" s="1">
        <v>4</v>
      </c>
      <c r="G1548" s="1" t="s">
        <v>32</v>
      </c>
      <c r="H1548" s="1" t="s">
        <v>56</v>
      </c>
      <c r="I1548" s="1">
        <v>169000</v>
      </c>
      <c r="J1548" s="1">
        <v>154000</v>
      </c>
      <c r="K1548" s="1">
        <v>15000</v>
      </c>
      <c r="L1548" s="1">
        <v>0</v>
      </c>
      <c r="M1548" s="1" t="s">
        <v>34</v>
      </c>
      <c r="N1548" s="1" t="s">
        <v>63</v>
      </c>
      <c r="O1548" s="1" t="s">
        <v>48</v>
      </c>
      <c r="P1548" s="1" t="s">
        <v>49</v>
      </c>
      <c r="Q1548" s="1" t="s">
        <v>38</v>
      </c>
      <c r="R1548" s="1" t="s">
        <v>4697</v>
      </c>
      <c r="S1548" s="3">
        <v>917036000000</v>
      </c>
      <c r="T1548" s="1" t="s">
        <v>74</v>
      </c>
      <c r="U1548" s="1">
        <v>65</v>
      </c>
      <c r="V1548" s="1">
        <v>80</v>
      </c>
      <c r="W1548" s="1" t="s">
        <v>52</v>
      </c>
      <c r="X1548" s="1">
        <v>239875</v>
      </c>
      <c r="Y1548" s="2">
        <v>37713</v>
      </c>
      <c r="Z1548" s="1">
        <v>-9.8210262828535608</v>
      </c>
      <c r="AA1548" s="1">
        <v>21</v>
      </c>
      <c r="AB1548" s="1">
        <v>676000</v>
      </c>
      <c r="AC1548" s="1">
        <f t="shared" si="24"/>
        <v>736000</v>
      </c>
    </row>
    <row r="1549" spans="1:29" x14ac:dyDescent="0.25">
      <c r="A1549" s="1" t="s">
        <v>4712</v>
      </c>
      <c r="B1549" s="1" t="s">
        <v>4713</v>
      </c>
      <c r="C1549" s="1" t="s">
        <v>4714</v>
      </c>
      <c r="D1549" s="1">
        <v>2023</v>
      </c>
      <c r="E1549" s="1" t="s">
        <v>31</v>
      </c>
      <c r="F1549" s="1">
        <v>4</v>
      </c>
      <c r="G1549" s="1" t="s">
        <v>32</v>
      </c>
      <c r="H1549" s="1" t="s">
        <v>33</v>
      </c>
      <c r="I1549" s="1">
        <v>169000</v>
      </c>
      <c r="J1549" s="1">
        <v>154000</v>
      </c>
      <c r="K1549" s="1">
        <v>15000</v>
      </c>
      <c r="L1549" s="1">
        <v>0</v>
      </c>
      <c r="M1549" s="1" t="s">
        <v>34</v>
      </c>
      <c r="N1549" s="1" t="s">
        <v>63</v>
      </c>
      <c r="O1549" s="1" t="s">
        <v>48</v>
      </c>
      <c r="P1549" s="1" t="s">
        <v>49</v>
      </c>
      <c r="Q1549" s="1" t="s">
        <v>38</v>
      </c>
      <c r="R1549" s="1" t="s">
        <v>4715</v>
      </c>
      <c r="S1549" s="3">
        <v>918394000000</v>
      </c>
      <c r="T1549" s="1" t="s">
        <v>98</v>
      </c>
      <c r="U1549" s="1">
        <v>65</v>
      </c>
      <c r="V1549" s="1">
        <v>81</v>
      </c>
      <c r="W1549" s="1" t="s">
        <v>41</v>
      </c>
      <c r="X1549" s="1">
        <v>714669</v>
      </c>
      <c r="Y1549" s="2">
        <v>38172</v>
      </c>
      <c r="Z1549" s="1">
        <v>-9.8210262828535608</v>
      </c>
      <c r="AA1549" s="1">
        <v>20</v>
      </c>
      <c r="AB1549" s="1">
        <v>676000</v>
      </c>
      <c r="AC1549" s="1">
        <f t="shared" si="24"/>
        <v>736000</v>
      </c>
    </row>
    <row r="1550" spans="1:29" x14ac:dyDescent="0.25">
      <c r="A1550" s="1" t="s">
        <v>4722</v>
      </c>
      <c r="B1550" s="1" t="s">
        <v>4204</v>
      </c>
      <c r="C1550" s="1" t="s">
        <v>4205</v>
      </c>
      <c r="D1550" s="1">
        <v>2023</v>
      </c>
      <c r="E1550" s="1" t="s">
        <v>45</v>
      </c>
      <c r="F1550" s="1">
        <v>2</v>
      </c>
      <c r="G1550" s="1" t="s">
        <v>46</v>
      </c>
      <c r="H1550" s="1" t="s">
        <v>113</v>
      </c>
      <c r="I1550" s="1">
        <v>92000</v>
      </c>
      <c r="J1550" s="1">
        <v>77000</v>
      </c>
      <c r="K1550" s="1">
        <v>15000</v>
      </c>
      <c r="L1550" s="1">
        <v>0</v>
      </c>
      <c r="M1550" s="1" t="s">
        <v>34</v>
      </c>
      <c r="N1550" s="1" t="s">
        <v>70</v>
      </c>
      <c r="O1550" s="1" t="s">
        <v>71</v>
      </c>
      <c r="P1550" s="1" t="s">
        <v>72</v>
      </c>
      <c r="Q1550" s="1" t="s">
        <v>38</v>
      </c>
      <c r="R1550" s="1" t="s">
        <v>4723</v>
      </c>
      <c r="S1550" s="3">
        <v>917903000000</v>
      </c>
      <c r="T1550" s="1" t="s">
        <v>40</v>
      </c>
      <c r="U1550" s="1">
        <v>65</v>
      </c>
      <c r="V1550" s="1">
        <v>60</v>
      </c>
      <c r="W1550" s="1" t="s">
        <v>41</v>
      </c>
      <c r="X1550" s="1">
        <v>131737</v>
      </c>
      <c r="Y1550" s="2">
        <v>36039</v>
      </c>
      <c r="Z1550" s="1">
        <v>-9.8210262828535608</v>
      </c>
      <c r="AA1550" s="1">
        <v>25</v>
      </c>
      <c r="AB1550" s="1">
        <v>184000</v>
      </c>
      <c r="AC1550" s="1">
        <f t="shared" si="24"/>
        <v>214000</v>
      </c>
    </row>
    <row r="1551" spans="1:29" x14ac:dyDescent="0.25">
      <c r="A1551" s="1" t="s">
        <v>4740</v>
      </c>
      <c r="B1551" s="1" t="s">
        <v>4741</v>
      </c>
      <c r="C1551" s="1" t="s">
        <v>4742</v>
      </c>
      <c r="D1551" s="1">
        <v>2023</v>
      </c>
      <c r="E1551" s="1" t="s">
        <v>31</v>
      </c>
      <c r="F1551" s="1">
        <v>4</v>
      </c>
      <c r="G1551" s="1" t="s">
        <v>32</v>
      </c>
      <c r="H1551" s="1" t="s">
        <v>90</v>
      </c>
      <c r="I1551" s="1">
        <v>169000</v>
      </c>
      <c r="J1551" s="1">
        <v>154000</v>
      </c>
      <c r="K1551" s="1">
        <v>15000</v>
      </c>
      <c r="L1551" s="1">
        <v>0</v>
      </c>
      <c r="M1551" s="1" t="s">
        <v>34</v>
      </c>
      <c r="N1551" s="1" t="s">
        <v>35</v>
      </c>
      <c r="O1551" s="1" t="s">
        <v>36</v>
      </c>
      <c r="P1551" s="1" t="s">
        <v>37</v>
      </c>
      <c r="Q1551" s="1" t="s">
        <v>38</v>
      </c>
      <c r="R1551" s="1" t="s">
        <v>4743</v>
      </c>
      <c r="S1551" s="3">
        <v>917438000000</v>
      </c>
      <c r="T1551" s="1" t="s">
        <v>74</v>
      </c>
      <c r="U1551" s="1">
        <v>65</v>
      </c>
      <c r="V1551" s="1">
        <v>63</v>
      </c>
      <c r="W1551" s="1" t="s">
        <v>41</v>
      </c>
      <c r="X1551" s="1">
        <v>405960</v>
      </c>
      <c r="Y1551" s="2">
        <v>38374</v>
      </c>
      <c r="Z1551" s="1">
        <v>-9.8210262828535608</v>
      </c>
      <c r="AA1551" s="1">
        <v>19</v>
      </c>
      <c r="AB1551" s="1">
        <v>676000</v>
      </c>
      <c r="AC1551" s="1">
        <f t="shared" si="24"/>
        <v>736000</v>
      </c>
    </row>
    <row r="1552" spans="1:29" x14ac:dyDescent="0.25">
      <c r="A1552" s="1" t="s">
        <v>4746</v>
      </c>
      <c r="B1552" s="1" t="s">
        <v>4747</v>
      </c>
      <c r="C1552" s="1" t="s">
        <v>4748</v>
      </c>
      <c r="D1552" s="1">
        <v>2023</v>
      </c>
      <c r="E1552" s="1" t="s">
        <v>31</v>
      </c>
      <c r="F1552" s="1">
        <v>4</v>
      </c>
      <c r="G1552" s="1" t="s">
        <v>32</v>
      </c>
      <c r="H1552" s="1" t="s">
        <v>122</v>
      </c>
      <c r="I1552" s="1">
        <v>169000</v>
      </c>
      <c r="J1552" s="1">
        <v>154000</v>
      </c>
      <c r="K1552" s="1">
        <v>15000</v>
      </c>
      <c r="L1552" s="1">
        <v>0</v>
      </c>
      <c r="M1552" s="1" t="s">
        <v>34</v>
      </c>
      <c r="N1552" s="1" t="s">
        <v>63</v>
      </c>
      <c r="O1552" s="1" t="s">
        <v>84</v>
      </c>
      <c r="P1552" s="1" t="s">
        <v>65</v>
      </c>
      <c r="Q1552" s="1" t="s">
        <v>38</v>
      </c>
      <c r="R1552" s="1" t="s">
        <v>4749</v>
      </c>
      <c r="S1552" s="3">
        <v>917629000000</v>
      </c>
      <c r="T1552" s="1" t="s">
        <v>40</v>
      </c>
      <c r="U1552" s="1">
        <v>65</v>
      </c>
      <c r="V1552" s="1">
        <v>87</v>
      </c>
      <c r="W1552" s="1" t="s">
        <v>41</v>
      </c>
      <c r="X1552" s="1">
        <v>245513</v>
      </c>
      <c r="Y1552" s="2">
        <v>38660</v>
      </c>
      <c r="Z1552" s="1">
        <v>-9.8210262828535608</v>
      </c>
      <c r="AA1552" s="1">
        <v>18</v>
      </c>
      <c r="AB1552" s="1">
        <v>676000</v>
      </c>
      <c r="AC1552" s="1">
        <f t="shared" si="24"/>
        <v>736000</v>
      </c>
    </row>
    <row r="1553" spans="1:29" x14ac:dyDescent="0.25">
      <c r="A1553" s="1" t="s">
        <v>4754</v>
      </c>
      <c r="B1553" s="1" t="s">
        <v>1073</v>
      </c>
      <c r="C1553" s="1" t="s">
        <v>1074</v>
      </c>
      <c r="D1553" s="1">
        <v>2023</v>
      </c>
      <c r="E1553" s="1" t="s">
        <v>45</v>
      </c>
      <c r="F1553" s="1">
        <v>2</v>
      </c>
      <c r="G1553" s="1" t="s">
        <v>46</v>
      </c>
      <c r="H1553" s="1" t="s">
        <v>33</v>
      </c>
      <c r="I1553" s="1">
        <v>92000</v>
      </c>
      <c r="J1553" s="1">
        <v>77000</v>
      </c>
      <c r="K1553" s="1">
        <v>15000</v>
      </c>
      <c r="L1553" s="1">
        <v>0</v>
      </c>
      <c r="M1553" s="1" t="s">
        <v>34</v>
      </c>
      <c r="N1553" s="1" t="s">
        <v>35</v>
      </c>
      <c r="O1553" s="1" t="s">
        <v>57</v>
      </c>
      <c r="P1553" s="1" t="s">
        <v>57</v>
      </c>
      <c r="Q1553" s="1" t="s">
        <v>38</v>
      </c>
      <c r="R1553" s="1" t="s">
        <v>4755</v>
      </c>
      <c r="S1553" s="3">
        <v>918044000000</v>
      </c>
      <c r="T1553" s="1" t="s">
        <v>98</v>
      </c>
      <c r="U1553" s="1">
        <v>65</v>
      </c>
      <c r="V1553" s="1">
        <v>80</v>
      </c>
      <c r="W1553" s="1" t="s">
        <v>41</v>
      </c>
      <c r="X1553" s="1">
        <v>162737</v>
      </c>
      <c r="Y1553" s="2">
        <v>36401</v>
      </c>
      <c r="Z1553" s="1">
        <v>-9.8210262828535608</v>
      </c>
      <c r="AA1553" s="1">
        <v>24</v>
      </c>
      <c r="AB1553" s="1">
        <v>184000</v>
      </c>
      <c r="AC1553" s="1">
        <f t="shared" si="24"/>
        <v>214000</v>
      </c>
    </row>
    <row r="1554" spans="1:29" x14ac:dyDescent="0.25">
      <c r="A1554" s="1" t="s">
        <v>4760</v>
      </c>
      <c r="B1554" s="1" t="s">
        <v>4761</v>
      </c>
      <c r="C1554" s="1" t="s">
        <v>4762</v>
      </c>
      <c r="D1554" s="1">
        <v>2023</v>
      </c>
      <c r="E1554" s="1" t="s">
        <v>31</v>
      </c>
      <c r="F1554" s="1">
        <v>4</v>
      </c>
      <c r="G1554" s="1" t="s">
        <v>32</v>
      </c>
      <c r="H1554" s="1" t="s">
        <v>47</v>
      </c>
      <c r="I1554" s="1">
        <v>169000</v>
      </c>
      <c r="J1554" s="1">
        <v>154000</v>
      </c>
      <c r="K1554" s="1">
        <v>15000</v>
      </c>
      <c r="L1554" s="1">
        <v>0</v>
      </c>
      <c r="M1554" s="1" t="s">
        <v>34</v>
      </c>
      <c r="N1554" s="1" t="s">
        <v>63</v>
      </c>
      <c r="O1554" s="1" t="s">
        <v>36</v>
      </c>
      <c r="P1554" s="1" t="s">
        <v>37</v>
      </c>
      <c r="Q1554" s="1" t="s">
        <v>38</v>
      </c>
      <c r="R1554" s="1" t="s">
        <v>4763</v>
      </c>
      <c r="S1554" s="3">
        <v>919427000000</v>
      </c>
      <c r="T1554" s="1" t="s">
        <v>74</v>
      </c>
      <c r="U1554" s="1">
        <v>65</v>
      </c>
      <c r="V1554" s="1">
        <v>92</v>
      </c>
      <c r="W1554" s="1" t="s">
        <v>41</v>
      </c>
      <c r="X1554" s="1">
        <v>689993</v>
      </c>
      <c r="Y1554" s="2">
        <v>37689</v>
      </c>
      <c r="Z1554" s="1">
        <v>-9.8210262828535608</v>
      </c>
      <c r="AA1554" s="1">
        <v>21</v>
      </c>
      <c r="AB1554" s="1">
        <v>676000</v>
      </c>
      <c r="AC1554" s="1">
        <f t="shared" si="24"/>
        <v>736000</v>
      </c>
    </row>
    <row r="1555" spans="1:29" x14ac:dyDescent="0.25">
      <c r="A1555" s="1" t="s">
        <v>4816</v>
      </c>
      <c r="B1555" s="1" t="s">
        <v>2635</v>
      </c>
      <c r="C1555" s="1" t="s">
        <v>2636</v>
      </c>
      <c r="D1555" s="1">
        <v>2023</v>
      </c>
      <c r="E1555" s="1" t="s">
        <v>45</v>
      </c>
      <c r="F1555" s="1">
        <v>2</v>
      </c>
      <c r="G1555" s="1" t="s">
        <v>46</v>
      </c>
      <c r="H1555" s="1" t="s">
        <v>113</v>
      </c>
      <c r="I1555" s="1">
        <v>92000</v>
      </c>
      <c r="J1555" s="1">
        <v>77000</v>
      </c>
      <c r="K1555" s="1">
        <v>15000</v>
      </c>
      <c r="L1555" s="1">
        <v>0</v>
      </c>
      <c r="M1555" s="1" t="s">
        <v>34</v>
      </c>
      <c r="N1555" s="1" t="s">
        <v>70</v>
      </c>
      <c r="O1555" s="1" t="s">
        <v>36</v>
      </c>
      <c r="P1555" s="1" t="s">
        <v>37</v>
      </c>
      <c r="Q1555" s="1" t="s">
        <v>38</v>
      </c>
      <c r="R1555" s="1" t="s">
        <v>4817</v>
      </c>
      <c r="S1555" s="3">
        <v>919027000000</v>
      </c>
      <c r="T1555" s="1" t="s">
        <v>98</v>
      </c>
      <c r="U1555" s="1">
        <v>64</v>
      </c>
      <c r="V1555" s="1">
        <v>63</v>
      </c>
      <c r="W1555" s="1" t="s">
        <v>41</v>
      </c>
      <c r="X1555" s="1">
        <v>769205</v>
      </c>
      <c r="Y1555" s="2">
        <v>35353</v>
      </c>
      <c r="Z1555" s="1">
        <v>-10.8210262828535</v>
      </c>
      <c r="AA1555" s="1">
        <v>27</v>
      </c>
      <c r="AB1555" s="1">
        <v>184000</v>
      </c>
      <c r="AC1555" s="1">
        <f t="shared" si="24"/>
        <v>214000</v>
      </c>
    </row>
    <row r="1556" spans="1:29" x14ac:dyDescent="0.25">
      <c r="A1556" s="1" t="s">
        <v>4832</v>
      </c>
      <c r="B1556" s="1" t="s">
        <v>3181</v>
      </c>
      <c r="C1556" s="1" t="s">
        <v>3182</v>
      </c>
      <c r="D1556" s="1">
        <v>2023</v>
      </c>
      <c r="E1556" s="1" t="s">
        <v>31</v>
      </c>
      <c r="F1556" s="1">
        <v>4</v>
      </c>
      <c r="G1556" s="1" t="s">
        <v>32</v>
      </c>
      <c r="H1556" s="1" t="s">
        <v>62</v>
      </c>
      <c r="I1556" s="1">
        <v>169000</v>
      </c>
      <c r="J1556" s="1">
        <v>154000</v>
      </c>
      <c r="K1556" s="1">
        <v>15000</v>
      </c>
      <c r="L1556" s="1">
        <v>0</v>
      </c>
      <c r="M1556" s="1" t="s">
        <v>34</v>
      </c>
      <c r="N1556" s="1" t="s">
        <v>70</v>
      </c>
      <c r="O1556" s="1" t="s">
        <v>103</v>
      </c>
      <c r="P1556" s="1" t="s">
        <v>104</v>
      </c>
      <c r="Q1556" s="1" t="s">
        <v>38</v>
      </c>
      <c r="R1556" s="1" t="s">
        <v>4833</v>
      </c>
      <c r="S1556" s="3">
        <v>919634000000</v>
      </c>
      <c r="T1556" s="1" t="s">
        <v>86</v>
      </c>
      <c r="U1556" s="1">
        <v>64</v>
      </c>
      <c r="V1556" s="1">
        <v>85</v>
      </c>
      <c r="W1556" s="1" t="s">
        <v>52</v>
      </c>
      <c r="X1556" s="1">
        <v>191962</v>
      </c>
      <c r="Y1556" s="2">
        <v>37761</v>
      </c>
      <c r="Z1556" s="1">
        <v>-10.8210262828535</v>
      </c>
      <c r="AA1556" s="1">
        <v>21</v>
      </c>
      <c r="AB1556" s="1">
        <v>676000</v>
      </c>
      <c r="AC1556" s="1">
        <f t="shared" si="24"/>
        <v>736000</v>
      </c>
    </row>
    <row r="1557" spans="1:29" x14ac:dyDescent="0.25">
      <c r="A1557" s="1" t="s">
        <v>4834</v>
      </c>
      <c r="B1557" s="1" t="s">
        <v>2708</v>
      </c>
      <c r="C1557" s="1" t="s">
        <v>2709</v>
      </c>
      <c r="D1557" s="1">
        <v>2023</v>
      </c>
      <c r="E1557" s="1" t="s">
        <v>31</v>
      </c>
      <c r="F1557" s="1">
        <v>4</v>
      </c>
      <c r="G1557" s="1" t="s">
        <v>32</v>
      </c>
      <c r="H1557" s="1" t="s">
        <v>122</v>
      </c>
      <c r="I1557" s="1">
        <v>169000</v>
      </c>
      <c r="J1557" s="1">
        <v>154000</v>
      </c>
      <c r="K1557" s="1">
        <v>15000</v>
      </c>
      <c r="L1557" s="1">
        <v>0</v>
      </c>
      <c r="M1557" s="1" t="s">
        <v>34</v>
      </c>
      <c r="N1557" s="1" t="s">
        <v>63</v>
      </c>
      <c r="O1557" s="1" t="s">
        <v>84</v>
      </c>
      <c r="P1557" s="1" t="s">
        <v>65</v>
      </c>
      <c r="Q1557" s="1" t="s">
        <v>38</v>
      </c>
      <c r="R1557" s="1" t="s">
        <v>4835</v>
      </c>
      <c r="S1557" s="3">
        <v>919224000000</v>
      </c>
      <c r="T1557" s="1" t="s">
        <v>98</v>
      </c>
      <c r="U1557" s="1">
        <v>64</v>
      </c>
      <c r="V1557" s="1">
        <v>90</v>
      </c>
      <c r="W1557" s="1" t="s">
        <v>41</v>
      </c>
      <c r="X1557" s="1">
        <v>727725</v>
      </c>
      <c r="Y1557" s="2">
        <v>38130</v>
      </c>
      <c r="Z1557" s="1">
        <v>-10.8210262828535</v>
      </c>
      <c r="AA1557" s="1">
        <v>20</v>
      </c>
      <c r="AB1557" s="1">
        <v>676000</v>
      </c>
      <c r="AC1557" s="1">
        <f t="shared" si="24"/>
        <v>736000</v>
      </c>
    </row>
    <row r="1558" spans="1:29" x14ac:dyDescent="0.25">
      <c r="A1558" s="1" t="s">
        <v>4844</v>
      </c>
      <c r="B1558" s="1" t="s">
        <v>4845</v>
      </c>
      <c r="C1558" s="1" t="s">
        <v>4846</v>
      </c>
      <c r="D1558" s="1">
        <v>2023</v>
      </c>
      <c r="E1558" s="1" t="s">
        <v>31</v>
      </c>
      <c r="F1558" s="1">
        <v>4</v>
      </c>
      <c r="G1558" s="1" t="s">
        <v>32</v>
      </c>
      <c r="H1558" s="1" t="s">
        <v>62</v>
      </c>
      <c r="I1558" s="1">
        <v>169000</v>
      </c>
      <c r="J1558" s="1">
        <v>154000</v>
      </c>
      <c r="K1558" s="1">
        <v>15000</v>
      </c>
      <c r="L1558" s="1">
        <v>0</v>
      </c>
      <c r="M1558" s="1" t="s">
        <v>34</v>
      </c>
      <c r="N1558" s="1" t="s">
        <v>63</v>
      </c>
      <c r="O1558" s="1" t="s">
        <v>188</v>
      </c>
      <c r="P1558" s="1" t="s">
        <v>189</v>
      </c>
      <c r="Q1558" s="1" t="s">
        <v>38</v>
      </c>
      <c r="R1558" s="1" t="s">
        <v>4847</v>
      </c>
      <c r="S1558" s="3">
        <v>917262000000</v>
      </c>
      <c r="T1558" s="1" t="s">
        <v>40</v>
      </c>
      <c r="U1558" s="1">
        <v>64</v>
      </c>
      <c r="V1558" s="1">
        <v>72</v>
      </c>
      <c r="W1558" s="1" t="s">
        <v>52</v>
      </c>
      <c r="X1558" s="1">
        <v>192301</v>
      </c>
      <c r="Y1558" s="2">
        <v>37917</v>
      </c>
      <c r="Z1558" s="1">
        <v>-10.8210262828535</v>
      </c>
      <c r="AA1558" s="1">
        <v>20</v>
      </c>
      <c r="AB1558" s="1">
        <v>676000</v>
      </c>
      <c r="AC1558" s="1">
        <f t="shared" si="24"/>
        <v>736000</v>
      </c>
    </row>
    <row r="1559" spans="1:29" x14ac:dyDescent="0.25">
      <c r="A1559" s="1" t="s">
        <v>4874</v>
      </c>
      <c r="B1559" s="1" t="s">
        <v>4875</v>
      </c>
      <c r="C1559" s="1" t="s">
        <v>4876</v>
      </c>
      <c r="D1559" s="1">
        <v>2023</v>
      </c>
      <c r="E1559" s="1" t="s">
        <v>31</v>
      </c>
      <c r="F1559" s="1">
        <v>4</v>
      </c>
      <c r="G1559" s="1" t="s">
        <v>32</v>
      </c>
      <c r="H1559" s="1" t="s">
        <v>122</v>
      </c>
      <c r="I1559" s="1">
        <v>169000</v>
      </c>
      <c r="J1559" s="1">
        <v>154000</v>
      </c>
      <c r="K1559" s="1">
        <v>15000</v>
      </c>
      <c r="L1559" s="1">
        <v>0</v>
      </c>
      <c r="M1559" s="1" t="s">
        <v>34</v>
      </c>
      <c r="N1559" s="1" t="s">
        <v>35</v>
      </c>
      <c r="O1559" s="1" t="s">
        <v>48</v>
      </c>
      <c r="P1559" s="1" t="s">
        <v>49</v>
      </c>
      <c r="Q1559" s="1" t="s">
        <v>38</v>
      </c>
      <c r="R1559" s="1" t="s">
        <v>4877</v>
      </c>
      <c r="S1559" s="3">
        <v>917411000000</v>
      </c>
      <c r="T1559" s="1" t="s">
        <v>74</v>
      </c>
      <c r="U1559" s="1">
        <v>64</v>
      </c>
      <c r="V1559" s="1">
        <v>84</v>
      </c>
      <c r="W1559" s="1" t="s">
        <v>52</v>
      </c>
      <c r="X1559" s="1">
        <v>451274</v>
      </c>
      <c r="Y1559" s="2">
        <v>38255</v>
      </c>
      <c r="Z1559" s="1">
        <v>-10.8210262828535</v>
      </c>
      <c r="AA1559" s="1">
        <v>19</v>
      </c>
      <c r="AB1559" s="1">
        <v>676000</v>
      </c>
      <c r="AC1559" s="1">
        <f t="shared" si="24"/>
        <v>736000</v>
      </c>
    </row>
    <row r="1560" spans="1:29" x14ac:dyDescent="0.25">
      <c r="A1560" s="1" t="s">
        <v>4894</v>
      </c>
      <c r="B1560" s="1" t="s">
        <v>4895</v>
      </c>
      <c r="C1560" s="1" t="s">
        <v>4896</v>
      </c>
      <c r="D1560" s="1">
        <v>2023</v>
      </c>
      <c r="E1560" s="1" t="s">
        <v>31</v>
      </c>
      <c r="F1560" s="1">
        <v>4</v>
      </c>
      <c r="G1560" s="1" t="s">
        <v>32</v>
      </c>
      <c r="H1560" s="1" t="s">
        <v>122</v>
      </c>
      <c r="I1560" s="1">
        <v>169000</v>
      </c>
      <c r="J1560" s="1">
        <v>154000</v>
      </c>
      <c r="K1560" s="1">
        <v>15000</v>
      </c>
      <c r="L1560" s="1">
        <v>0</v>
      </c>
      <c r="M1560" s="1" t="s">
        <v>34</v>
      </c>
      <c r="N1560" s="1" t="s">
        <v>63</v>
      </c>
      <c r="O1560" s="1" t="s">
        <v>71</v>
      </c>
      <c r="P1560" s="1" t="s">
        <v>72</v>
      </c>
      <c r="Q1560" s="1" t="s">
        <v>38</v>
      </c>
      <c r="R1560" s="1" t="s">
        <v>4897</v>
      </c>
      <c r="S1560" s="3">
        <v>919373000000</v>
      </c>
      <c r="T1560" s="1" t="s">
        <v>86</v>
      </c>
      <c r="U1560" s="1">
        <v>64</v>
      </c>
      <c r="V1560" s="1">
        <v>76</v>
      </c>
      <c r="W1560" s="1" t="s">
        <v>41</v>
      </c>
      <c r="X1560" s="1">
        <v>398821</v>
      </c>
      <c r="Y1560" s="2">
        <v>36862</v>
      </c>
      <c r="Z1560" s="1">
        <v>-10.8210262828535</v>
      </c>
      <c r="AA1560" s="1">
        <v>23</v>
      </c>
      <c r="AB1560" s="1">
        <v>676000</v>
      </c>
      <c r="AC1560" s="1">
        <f t="shared" si="24"/>
        <v>736000</v>
      </c>
    </row>
    <row r="1561" spans="1:29" x14ac:dyDescent="0.25">
      <c r="A1561" s="1" t="s">
        <v>4902</v>
      </c>
      <c r="B1561" s="1" t="s">
        <v>4903</v>
      </c>
      <c r="C1561" s="1" t="s">
        <v>4904</v>
      </c>
      <c r="D1561" s="1">
        <v>2023</v>
      </c>
      <c r="E1561" s="1" t="s">
        <v>31</v>
      </c>
      <c r="F1561" s="1">
        <v>4</v>
      </c>
      <c r="G1561" s="1" t="s">
        <v>32</v>
      </c>
      <c r="H1561" s="1" t="s">
        <v>151</v>
      </c>
      <c r="I1561" s="1">
        <v>169000</v>
      </c>
      <c r="J1561" s="1">
        <v>154000</v>
      </c>
      <c r="K1561" s="1">
        <v>15000</v>
      </c>
      <c r="L1561" s="1">
        <v>0</v>
      </c>
      <c r="M1561" s="1" t="s">
        <v>34</v>
      </c>
      <c r="N1561" s="1" t="s">
        <v>63</v>
      </c>
      <c r="O1561" s="1" t="s">
        <v>91</v>
      </c>
      <c r="P1561" s="1" t="s">
        <v>92</v>
      </c>
      <c r="Q1561" s="1" t="s">
        <v>38</v>
      </c>
      <c r="R1561" s="1" t="s">
        <v>4905</v>
      </c>
      <c r="S1561" s="3">
        <v>918787000000</v>
      </c>
      <c r="T1561" s="1" t="s">
        <v>40</v>
      </c>
      <c r="U1561" s="1">
        <v>64</v>
      </c>
      <c r="V1561" s="1">
        <v>84</v>
      </c>
      <c r="W1561" s="1" t="s">
        <v>52</v>
      </c>
      <c r="X1561" s="1">
        <v>133678</v>
      </c>
      <c r="Y1561" s="2">
        <v>37079</v>
      </c>
      <c r="Z1561" s="1">
        <v>-10.8210262828535</v>
      </c>
      <c r="AA1561" s="1">
        <v>23</v>
      </c>
      <c r="AB1561" s="1">
        <v>676000</v>
      </c>
      <c r="AC1561" s="1">
        <f t="shared" si="24"/>
        <v>736000</v>
      </c>
    </row>
    <row r="1562" spans="1:29" x14ac:dyDescent="0.25">
      <c r="A1562" s="1" t="s">
        <v>4920</v>
      </c>
      <c r="B1562" s="1" t="s">
        <v>437</v>
      </c>
      <c r="C1562" s="1" t="s">
        <v>438</v>
      </c>
      <c r="D1562" s="1">
        <v>2023</v>
      </c>
      <c r="E1562" s="1" t="s">
        <v>31</v>
      </c>
      <c r="F1562" s="1">
        <v>4</v>
      </c>
      <c r="G1562" s="1" t="s">
        <v>32</v>
      </c>
      <c r="H1562" s="1" t="s">
        <v>113</v>
      </c>
      <c r="I1562" s="1">
        <v>169000</v>
      </c>
      <c r="J1562" s="1">
        <v>154000</v>
      </c>
      <c r="K1562" s="1">
        <v>15000</v>
      </c>
      <c r="L1562" s="1">
        <v>0</v>
      </c>
      <c r="M1562" s="1" t="s">
        <v>34</v>
      </c>
      <c r="N1562" s="1" t="s">
        <v>35</v>
      </c>
      <c r="O1562" s="1" t="s">
        <v>188</v>
      </c>
      <c r="P1562" s="1" t="s">
        <v>189</v>
      </c>
      <c r="Q1562" s="1" t="s">
        <v>38</v>
      </c>
      <c r="R1562" s="1" t="s">
        <v>4921</v>
      </c>
      <c r="S1562" s="3">
        <v>918197000000</v>
      </c>
      <c r="T1562" s="1" t="s">
        <v>74</v>
      </c>
      <c r="U1562" s="1">
        <v>64</v>
      </c>
      <c r="V1562" s="1">
        <v>73</v>
      </c>
      <c r="W1562" s="1" t="s">
        <v>52</v>
      </c>
      <c r="X1562" s="1">
        <v>578443</v>
      </c>
      <c r="Y1562" s="2">
        <v>38152</v>
      </c>
      <c r="Z1562" s="1">
        <v>-10.8210262828535</v>
      </c>
      <c r="AA1562" s="1">
        <v>20</v>
      </c>
      <c r="AB1562" s="1">
        <v>676000</v>
      </c>
      <c r="AC1562" s="1">
        <f t="shared" si="24"/>
        <v>736000</v>
      </c>
    </row>
    <row r="1563" spans="1:29" x14ac:dyDescent="0.25">
      <c r="A1563" s="1" t="s">
        <v>4972</v>
      </c>
      <c r="B1563" s="1" t="s">
        <v>301</v>
      </c>
      <c r="C1563" s="1" t="s">
        <v>302</v>
      </c>
      <c r="D1563" s="1">
        <v>2023</v>
      </c>
      <c r="E1563" s="1" t="s">
        <v>31</v>
      </c>
      <c r="F1563" s="1">
        <v>4</v>
      </c>
      <c r="G1563" s="1" t="s">
        <v>32</v>
      </c>
      <c r="H1563" s="1" t="s">
        <v>90</v>
      </c>
      <c r="I1563" s="1">
        <v>169000</v>
      </c>
      <c r="J1563" s="1">
        <v>154000</v>
      </c>
      <c r="K1563" s="1">
        <v>15000</v>
      </c>
      <c r="L1563" s="1">
        <v>0</v>
      </c>
      <c r="M1563" s="1" t="s">
        <v>34</v>
      </c>
      <c r="N1563" s="1" t="s">
        <v>63</v>
      </c>
      <c r="O1563" s="1" t="s">
        <v>57</v>
      </c>
      <c r="P1563" s="1" t="s">
        <v>57</v>
      </c>
      <c r="Q1563" s="1" t="s">
        <v>38</v>
      </c>
      <c r="R1563" s="1" t="s">
        <v>4973</v>
      </c>
      <c r="S1563" s="3">
        <v>917734000000</v>
      </c>
      <c r="T1563" s="1" t="s">
        <v>98</v>
      </c>
      <c r="U1563" s="1">
        <v>63</v>
      </c>
      <c r="V1563" s="1">
        <v>80</v>
      </c>
      <c r="W1563" s="1" t="s">
        <v>41</v>
      </c>
      <c r="X1563" s="1">
        <v>337523</v>
      </c>
      <c r="Y1563" s="2">
        <v>37475</v>
      </c>
      <c r="Z1563" s="1">
        <v>-11.8210262828535</v>
      </c>
      <c r="AA1563" s="1">
        <v>21</v>
      </c>
      <c r="AB1563" s="1">
        <v>676000</v>
      </c>
      <c r="AC1563" s="1">
        <f t="shared" si="24"/>
        <v>736000</v>
      </c>
    </row>
    <row r="1564" spans="1:29" x14ac:dyDescent="0.25">
      <c r="A1564" s="1" t="s">
        <v>4982</v>
      </c>
      <c r="B1564" s="1" t="s">
        <v>4983</v>
      </c>
      <c r="C1564" s="1" t="s">
        <v>4984</v>
      </c>
      <c r="D1564" s="1">
        <v>2023</v>
      </c>
      <c r="E1564" s="1" t="s">
        <v>31</v>
      </c>
      <c r="F1564" s="1">
        <v>4</v>
      </c>
      <c r="G1564" s="1" t="s">
        <v>32</v>
      </c>
      <c r="H1564" s="1" t="s">
        <v>62</v>
      </c>
      <c r="I1564" s="1">
        <v>169000</v>
      </c>
      <c r="J1564" s="1">
        <v>154000</v>
      </c>
      <c r="K1564" s="1">
        <v>15000</v>
      </c>
      <c r="L1564" s="1">
        <v>0</v>
      </c>
      <c r="M1564" s="1" t="s">
        <v>34</v>
      </c>
      <c r="N1564" s="1" t="s">
        <v>35</v>
      </c>
      <c r="O1564" s="1" t="s">
        <v>36</v>
      </c>
      <c r="P1564" s="1" t="s">
        <v>37</v>
      </c>
      <c r="Q1564" s="1" t="s">
        <v>38</v>
      </c>
      <c r="R1564" s="1" t="s">
        <v>4985</v>
      </c>
      <c r="S1564" s="3">
        <v>919507000000</v>
      </c>
      <c r="T1564" s="1" t="s">
        <v>51</v>
      </c>
      <c r="U1564" s="1">
        <v>63</v>
      </c>
      <c r="V1564" s="1">
        <v>77</v>
      </c>
      <c r="W1564" s="1" t="s">
        <v>52</v>
      </c>
      <c r="X1564" s="1">
        <v>457105</v>
      </c>
      <c r="Y1564" s="2">
        <v>38114</v>
      </c>
      <c r="Z1564" s="1">
        <v>-11.8210262828535</v>
      </c>
      <c r="AA1564" s="1">
        <v>20</v>
      </c>
      <c r="AB1564" s="1">
        <v>676000</v>
      </c>
      <c r="AC1564" s="1">
        <f t="shared" si="24"/>
        <v>736000</v>
      </c>
    </row>
    <row r="1565" spans="1:29" x14ac:dyDescent="0.25">
      <c r="A1565" s="1" t="s">
        <v>4994</v>
      </c>
      <c r="B1565" s="1" t="s">
        <v>2670</v>
      </c>
      <c r="C1565" s="1" t="s">
        <v>2671</v>
      </c>
      <c r="D1565" s="1">
        <v>2023</v>
      </c>
      <c r="E1565" s="1" t="s">
        <v>45</v>
      </c>
      <c r="F1565" s="1">
        <v>2</v>
      </c>
      <c r="G1565" s="1" t="s">
        <v>46</v>
      </c>
      <c r="H1565" s="1" t="s">
        <v>47</v>
      </c>
      <c r="I1565" s="1">
        <v>92000</v>
      </c>
      <c r="J1565" s="1">
        <v>77000</v>
      </c>
      <c r="K1565" s="1">
        <v>15000</v>
      </c>
      <c r="L1565" s="1">
        <v>0</v>
      </c>
      <c r="M1565" s="1" t="s">
        <v>34</v>
      </c>
      <c r="N1565" s="1" t="s">
        <v>63</v>
      </c>
      <c r="O1565" s="1" t="s">
        <v>64</v>
      </c>
      <c r="P1565" s="1" t="s">
        <v>65</v>
      </c>
      <c r="Q1565" s="1" t="s">
        <v>38</v>
      </c>
      <c r="R1565" s="1" t="s">
        <v>4995</v>
      </c>
      <c r="S1565" s="3">
        <v>917127000000</v>
      </c>
      <c r="T1565" s="1" t="s">
        <v>74</v>
      </c>
      <c r="U1565" s="1">
        <v>63</v>
      </c>
      <c r="V1565" s="1">
        <v>60</v>
      </c>
      <c r="W1565" s="1" t="s">
        <v>41</v>
      </c>
      <c r="X1565" s="1">
        <v>524178</v>
      </c>
      <c r="Y1565" s="2">
        <v>35574</v>
      </c>
      <c r="Z1565" s="1">
        <v>-11.8210262828535</v>
      </c>
      <c r="AA1565" s="1">
        <v>27</v>
      </c>
      <c r="AB1565" s="1">
        <v>184000</v>
      </c>
      <c r="AC1565" s="1">
        <f t="shared" si="24"/>
        <v>214000</v>
      </c>
    </row>
    <row r="1566" spans="1:29" x14ac:dyDescent="0.25">
      <c r="A1566" s="1" t="s">
        <v>4996</v>
      </c>
      <c r="B1566" s="1" t="s">
        <v>4997</v>
      </c>
      <c r="C1566" s="1" t="s">
        <v>4998</v>
      </c>
      <c r="D1566" s="1">
        <v>2023</v>
      </c>
      <c r="E1566" s="1" t="s">
        <v>31</v>
      </c>
      <c r="F1566" s="1">
        <v>4</v>
      </c>
      <c r="G1566" s="1" t="s">
        <v>32</v>
      </c>
      <c r="H1566" s="1" t="s">
        <v>47</v>
      </c>
      <c r="I1566" s="1">
        <v>169000</v>
      </c>
      <c r="J1566" s="1">
        <v>154000</v>
      </c>
      <c r="K1566" s="1">
        <v>15000</v>
      </c>
      <c r="L1566" s="1">
        <v>0</v>
      </c>
      <c r="M1566" s="1" t="s">
        <v>34</v>
      </c>
      <c r="N1566" s="1" t="s">
        <v>63</v>
      </c>
      <c r="O1566" s="1" t="s">
        <v>57</v>
      </c>
      <c r="P1566" s="1" t="s">
        <v>57</v>
      </c>
      <c r="Q1566" s="1" t="s">
        <v>38</v>
      </c>
      <c r="R1566" s="1" t="s">
        <v>4999</v>
      </c>
      <c r="S1566" s="3">
        <v>919039000000</v>
      </c>
      <c r="T1566" s="1" t="s">
        <v>51</v>
      </c>
      <c r="U1566" s="1">
        <v>63</v>
      </c>
      <c r="V1566" s="1">
        <v>80</v>
      </c>
      <c r="W1566" s="1" t="s">
        <v>41</v>
      </c>
      <c r="X1566" s="1">
        <v>748627</v>
      </c>
      <c r="Y1566" s="2">
        <v>38604</v>
      </c>
      <c r="Z1566" s="1">
        <v>-11.8210262828535</v>
      </c>
      <c r="AA1566" s="1">
        <v>18</v>
      </c>
      <c r="AB1566" s="1">
        <v>676000</v>
      </c>
      <c r="AC1566" s="1">
        <f t="shared" si="24"/>
        <v>736000</v>
      </c>
    </row>
    <row r="1567" spans="1:29" x14ac:dyDescent="0.25">
      <c r="A1567" s="1" t="s">
        <v>5006</v>
      </c>
      <c r="B1567" s="1" t="s">
        <v>5007</v>
      </c>
      <c r="C1567" s="1" t="s">
        <v>5008</v>
      </c>
      <c r="D1567" s="1">
        <v>2023</v>
      </c>
      <c r="E1567" s="1" t="s">
        <v>31</v>
      </c>
      <c r="F1567" s="1">
        <v>4</v>
      </c>
      <c r="G1567" s="1" t="s">
        <v>32</v>
      </c>
      <c r="H1567" s="1" t="s">
        <v>113</v>
      </c>
      <c r="I1567" s="1">
        <v>169000</v>
      </c>
      <c r="J1567" s="1">
        <v>154000</v>
      </c>
      <c r="K1567" s="1">
        <v>15000</v>
      </c>
      <c r="L1567" s="1">
        <v>0</v>
      </c>
      <c r="M1567" s="1" t="s">
        <v>34</v>
      </c>
      <c r="N1567" s="1" t="s">
        <v>70</v>
      </c>
      <c r="O1567" s="1" t="s">
        <v>57</v>
      </c>
      <c r="P1567" s="1" t="s">
        <v>57</v>
      </c>
      <c r="Q1567" s="1" t="s">
        <v>38</v>
      </c>
      <c r="R1567" s="1" t="s">
        <v>5009</v>
      </c>
      <c r="S1567" s="3">
        <v>917309000000</v>
      </c>
      <c r="T1567" s="1" t="s">
        <v>74</v>
      </c>
      <c r="U1567" s="1">
        <v>63</v>
      </c>
      <c r="V1567" s="1">
        <v>70</v>
      </c>
      <c r="W1567" s="1" t="s">
        <v>52</v>
      </c>
      <c r="X1567" s="1">
        <v>333904</v>
      </c>
      <c r="Y1567" s="2">
        <v>38237</v>
      </c>
      <c r="Z1567" s="1">
        <v>-11.8210262828535</v>
      </c>
      <c r="AA1567" s="1">
        <v>19</v>
      </c>
      <c r="AB1567" s="1">
        <v>676000</v>
      </c>
      <c r="AC1567" s="1">
        <f t="shared" si="24"/>
        <v>736000</v>
      </c>
    </row>
    <row r="1568" spans="1:29" x14ac:dyDescent="0.25">
      <c r="A1568" s="1" t="s">
        <v>5012</v>
      </c>
      <c r="B1568" s="1" t="s">
        <v>5013</v>
      </c>
      <c r="C1568" s="1" t="s">
        <v>5014</v>
      </c>
      <c r="D1568" s="1">
        <v>2023</v>
      </c>
      <c r="E1568" s="1" t="s">
        <v>31</v>
      </c>
      <c r="F1568" s="1">
        <v>4</v>
      </c>
      <c r="G1568" s="1" t="s">
        <v>32</v>
      </c>
      <c r="H1568" s="1" t="s">
        <v>210</v>
      </c>
      <c r="I1568" s="1">
        <v>169000</v>
      </c>
      <c r="J1568" s="1">
        <v>154000</v>
      </c>
      <c r="K1568" s="1">
        <v>15000</v>
      </c>
      <c r="L1568" s="1">
        <v>0</v>
      </c>
      <c r="M1568" s="1" t="s">
        <v>34</v>
      </c>
      <c r="N1568" s="1" t="s">
        <v>35</v>
      </c>
      <c r="O1568" s="1" t="s">
        <v>91</v>
      </c>
      <c r="P1568" s="1" t="s">
        <v>92</v>
      </c>
      <c r="Q1568" s="1" t="s">
        <v>38</v>
      </c>
      <c r="R1568" s="1" t="s">
        <v>5015</v>
      </c>
      <c r="S1568" s="3">
        <v>917931000000</v>
      </c>
      <c r="T1568" s="1" t="s">
        <v>51</v>
      </c>
      <c r="U1568" s="1">
        <v>63</v>
      </c>
      <c r="V1568" s="1">
        <v>81</v>
      </c>
      <c r="W1568" s="1" t="s">
        <v>41</v>
      </c>
      <c r="X1568" s="1">
        <v>436308</v>
      </c>
      <c r="Y1568" s="2">
        <v>38030</v>
      </c>
      <c r="Z1568" s="1">
        <v>-11.8210262828535</v>
      </c>
      <c r="AA1568" s="1">
        <v>20</v>
      </c>
      <c r="AB1568" s="1">
        <v>676000</v>
      </c>
      <c r="AC1568" s="1">
        <f t="shared" si="24"/>
        <v>736000</v>
      </c>
    </row>
    <row r="1569" spans="1:29" x14ac:dyDescent="0.25">
      <c r="A1569" s="1" t="s">
        <v>5018</v>
      </c>
      <c r="B1569" s="1" t="s">
        <v>5019</v>
      </c>
      <c r="C1569" s="1" t="s">
        <v>5020</v>
      </c>
      <c r="D1569" s="1">
        <v>2023</v>
      </c>
      <c r="E1569" s="1" t="s">
        <v>31</v>
      </c>
      <c r="F1569" s="1">
        <v>4</v>
      </c>
      <c r="G1569" s="1" t="s">
        <v>32</v>
      </c>
      <c r="H1569" s="1" t="s">
        <v>33</v>
      </c>
      <c r="I1569" s="1">
        <v>169000</v>
      </c>
      <c r="J1569" s="1">
        <v>154000</v>
      </c>
      <c r="K1569" s="1">
        <v>15000</v>
      </c>
      <c r="L1569" s="1">
        <v>0</v>
      </c>
      <c r="M1569" s="1" t="s">
        <v>34</v>
      </c>
      <c r="N1569" s="1" t="s">
        <v>70</v>
      </c>
      <c r="O1569" s="1" t="s">
        <v>36</v>
      </c>
      <c r="P1569" s="1" t="s">
        <v>37</v>
      </c>
      <c r="Q1569" s="1" t="s">
        <v>38</v>
      </c>
      <c r="R1569" s="1" t="s">
        <v>5021</v>
      </c>
      <c r="S1569" s="3">
        <v>918313000000</v>
      </c>
      <c r="T1569" s="1" t="s">
        <v>40</v>
      </c>
      <c r="U1569" s="1">
        <v>63</v>
      </c>
      <c r="V1569" s="1">
        <v>82</v>
      </c>
      <c r="W1569" s="1" t="s">
        <v>52</v>
      </c>
      <c r="X1569" s="1">
        <v>439977</v>
      </c>
      <c r="Y1569" s="2">
        <v>37685</v>
      </c>
      <c r="Z1569" s="1">
        <v>-11.8210262828535</v>
      </c>
      <c r="AA1569" s="1">
        <v>21</v>
      </c>
      <c r="AB1569" s="1">
        <v>676000</v>
      </c>
      <c r="AC1569" s="1">
        <f t="shared" si="24"/>
        <v>736000</v>
      </c>
    </row>
    <row r="1570" spans="1:29" x14ac:dyDescent="0.25">
      <c r="A1570" s="1" t="s">
        <v>5046</v>
      </c>
      <c r="B1570" s="1" t="s">
        <v>225</v>
      </c>
      <c r="C1570" s="1" t="s">
        <v>226</v>
      </c>
      <c r="D1570" s="1">
        <v>2023</v>
      </c>
      <c r="E1570" s="1" t="s">
        <v>45</v>
      </c>
      <c r="F1570" s="1">
        <v>2</v>
      </c>
      <c r="G1570" s="1" t="s">
        <v>46</v>
      </c>
      <c r="H1570" s="1" t="s">
        <v>90</v>
      </c>
      <c r="I1570" s="1">
        <v>92000</v>
      </c>
      <c r="J1570" s="1">
        <v>77000</v>
      </c>
      <c r="K1570" s="1">
        <v>15000</v>
      </c>
      <c r="L1570" s="1">
        <v>0</v>
      </c>
      <c r="M1570" s="1" t="s">
        <v>34</v>
      </c>
      <c r="N1570" s="1" t="s">
        <v>63</v>
      </c>
      <c r="O1570" s="1" t="s">
        <v>71</v>
      </c>
      <c r="P1570" s="1" t="s">
        <v>72</v>
      </c>
      <c r="Q1570" s="1" t="s">
        <v>38</v>
      </c>
      <c r="R1570" s="1" t="s">
        <v>5047</v>
      </c>
      <c r="S1570" s="3">
        <v>918845000000</v>
      </c>
      <c r="T1570" s="1" t="s">
        <v>51</v>
      </c>
      <c r="U1570" s="1">
        <v>63</v>
      </c>
      <c r="V1570" s="1">
        <v>79</v>
      </c>
      <c r="W1570" s="1" t="s">
        <v>52</v>
      </c>
      <c r="X1570" s="1">
        <v>350463</v>
      </c>
      <c r="Y1570" s="2">
        <v>36751</v>
      </c>
      <c r="Z1570" s="1">
        <v>-11.8210262828535</v>
      </c>
      <c r="AA1570" s="1">
        <v>23</v>
      </c>
      <c r="AB1570" s="1">
        <v>184000</v>
      </c>
      <c r="AC1570" s="1">
        <f t="shared" si="24"/>
        <v>214000</v>
      </c>
    </row>
    <row r="1571" spans="1:29" x14ac:dyDescent="0.25">
      <c r="A1571" s="1" t="s">
        <v>5095</v>
      </c>
      <c r="B1571" s="1" t="s">
        <v>5096</v>
      </c>
      <c r="C1571" s="1" t="s">
        <v>5097</v>
      </c>
      <c r="D1571" s="1">
        <v>2023</v>
      </c>
      <c r="E1571" s="1" t="s">
        <v>31</v>
      </c>
      <c r="F1571" s="1">
        <v>4</v>
      </c>
      <c r="G1571" s="1" t="s">
        <v>32</v>
      </c>
      <c r="H1571" s="1" t="s">
        <v>210</v>
      </c>
      <c r="I1571" s="1">
        <v>169000</v>
      </c>
      <c r="J1571" s="1">
        <v>154000</v>
      </c>
      <c r="K1571" s="1">
        <v>15000</v>
      </c>
      <c r="L1571" s="1">
        <v>0</v>
      </c>
      <c r="M1571" s="1" t="s">
        <v>34</v>
      </c>
      <c r="N1571" s="1" t="s">
        <v>63</v>
      </c>
      <c r="O1571" s="1" t="s">
        <v>48</v>
      </c>
      <c r="P1571" s="1" t="s">
        <v>49</v>
      </c>
      <c r="Q1571" s="1" t="s">
        <v>38</v>
      </c>
      <c r="R1571" s="1" t="s">
        <v>5098</v>
      </c>
      <c r="S1571" s="3">
        <v>917152000000</v>
      </c>
      <c r="T1571" s="1" t="s">
        <v>74</v>
      </c>
      <c r="U1571" s="1">
        <v>63</v>
      </c>
      <c r="V1571" s="1">
        <v>84</v>
      </c>
      <c r="W1571" s="1" t="s">
        <v>41</v>
      </c>
      <c r="X1571" s="1">
        <v>523394</v>
      </c>
      <c r="Y1571" s="2">
        <v>38447</v>
      </c>
      <c r="Z1571" s="1">
        <v>-11.8210262828535</v>
      </c>
      <c r="AA1571" s="1">
        <v>19</v>
      </c>
      <c r="AB1571" s="1">
        <v>676000</v>
      </c>
      <c r="AC1571" s="1">
        <f t="shared" si="24"/>
        <v>736000</v>
      </c>
    </row>
    <row r="1572" spans="1:29" x14ac:dyDescent="0.25">
      <c r="A1572" s="1" t="s">
        <v>5141</v>
      </c>
      <c r="B1572" s="1" t="s">
        <v>5142</v>
      </c>
      <c r="C1572" s="1" t="s">
        <v>5143</v>
      </c>
      <c r="D1572" s="1">
        <v>2023</v>
      </c>
      <c r="E1572" s="1" t="s">
        <v>31</v>
      </c>
      <c r="F1572" s="1">
        <v>4</v>
      </c>
      <c r="G1572" s="1" t="s">
        <v>32</v>
      </c>
      <c r="H1572" s="1" t="s">
        <v>47</v>
      </c>
      <c r="I1572" s="1">
        <v>169000</v>
      </c>
      <c r="J1572" s="1">
        <v>154000</v>
      </c>
      <c r="K1572" s="1">
        <v>15000</v>
      </c>
      <c r="L1572" s="1">
        <v>0</v>
      </c>
      <c r="M1572" s="1" t="s">
        <v>34</v>
      </c>
      <c r="N1572" s="1" t="s">
        <v>70</v>
      </c>
      <c r="O1572" s="1" t="s">
        <v>71</v>
      </c>
      <c r="P1572" s="1" t="s">
        <v>72</v>
      </c>
      <c r="Q1572" s="1" t="s">
        <v>38</v>
      </c>
      <c r="R1572" s="1" t="s">
        <v>5144</v>
      </c>
      <c r="S1572" s="3">
        <v>917026000000</v>
      </c>
      <c r="T1572" s="1" t="s">
        <v>98</v>
      </c>
      <c r="U1572" s="1">
        <v>63</v>
      </c>
      <c r="V1572" s="1">
        <v>63</v>
      </c>
      <c r="W1572" s="1" t="s">
        <v>41</v>
      </c>
      <c r="X1572" s="1">
        <v>704034</v>
      </c>
      <c r="Y1572" s="2">
        <v>37491</v>
      </c>
      <c r="Z1572" s="1">
        <v>-11.8210262828535</v>
      </c>
      <c r="AA1572" s="1">
        <v>21</v>
      </c>
      <c r="AB1572" s="1">
        <v>676000</v>
      </c>
      <c r="AC1572" s="1">
        <f t="shared" si="24"/>
        <v>736000</v>
      </c>
    </row>
    <row r="1573" spans="1:29" x14ac:dyDescent="0.25">
      <c r="A1573" s="1" t="s">
        <v>5149</v>
      </c>
      <c r="B1573" s="1" t="s">
        <v>154</v>
      </c>
      <c r="C1573" s="1" t="s">
        <v>155</v>
      </c>
      <c r="D1573" s="1">
        <v>2023</v>
      </c>
      <c r="E1573" s="1" t="s">
        <v>31</v>
      </c>
      <c r="F1573" s="1">
        <v>4</v>
      </c>
      <c r="G1573" s="1" t="s">
        <v>32</v>
      </c>
      <c r="H1573" s="1" t="s">
        <v>151</v>
      </c>
      <c r="I1573" s="1">
        <v>169000</v>
      </c>
      <c r="J1573" s="1">
        <v>154000</v>
      </c>
      <c r="K1573" s="1">
        <v>15000</v>
      </c>
      <c r="L1573" s="1">
        <v>0</v>
      </c>
      <c r="M1573" s="1" t="s">
        <v>34</v>
      </c>
      <c r="N1573" s="1" t="s">
        <v>35</v>
      </c>
      <c r="O1573" s="1" t="s">
        <v>103</v>
      </c>
      <c r="P1573" s="1" t="s">
        <v>104</v>
      </c>
      <c r="Q1573" s="1" t="s">
        <v>38</v>
      </c>
      <c r="R1573" s="1" t="s">
        <v>5150</v>
      </c>
      <c r="S1573" s="3">
        <v>917414000000</v>
      </c>
      <c r="T1573" s="1" t="s">
        <v>74</v>
      </c>
      <c r="U1573" s="1">
        <v>63</v>
      </c>
      <c r="V1573" s="1">
        <v>88</v>
      </c>
      <c r="W1573" s="1" t="s">
        <v>41</v>
      </c>
      <c r="X1573" s="1">
        <v>103416</v>
      </c>
      <c r="Y1573" s="2">
        <v>37958</v>
      </c>
      <c r="Z1573" s="1">
        <v>-11.8210262828535</v>
      </c>
      <c r="AA1573" s="1">
        <v>20</v>
      </c>
      <c r="AB1573" s="1">
        <v>676000</v>
      </c>
      <c r="AC1573" s="1">
        <f t="shared" si="24"/>
        <v>736000</v>
      </c>
    </row>
    <row r="1574" spans="1:29" x14ac:dyDescent="0.25">
      <c r="A1574" s="1" t="s">
        <v>5151</v>
      </c>
      <c r="B1574" s="1" t="s">
        <v>5152</v>
      </c>
      <c r="C1574" s="1" t="s">
        <v>5153</v>
      </c>
      <c r="D1574" s="1">
        <v>2023</v>
      </c>
      <c r="E1574" s="1" t="s">
        <v>31</v>
      </c>
      <c r="F1574" s="1">
        <v>4</v>
      </c>
      <c r="G1574" s="1" t="s">
        <v>32</v>
      </c>
      <c r="H1574" s="1" t="s">
        <v>113</v>
      </c>
      <c r="I1574" s="1">
        <v>169000</v>
      </c>
      <c r="J1574" s="1">
        <v>154000</v>
      </c>
      <c r="K1574" s="1">
        <v>15000</v>
      </c>
      <c r="L1574" s="1">
        <v>0</v>
      </c>
      <c r="M1574" s="1" t="s">
        <v>34</v>
      </c>
      <c r="N1574" s="1" t="s">
        <v>70</v>
      </c>
      <c r="O1574" s="1" t="s">
        <v>71</v>
      </c>
      <c r="P1574" s="1" t="s">
        <v>72</v>
      </c>
      <c r="Q1574" s="1" t="s">
        <v>38</v>
      </c>
      <c r="R1574" s="1" t="s">
        <v>5154</v>
      </c>
      <c r="S1574" s="3">
        <v>917053000000</v>
      </c>
      <c r="T1574" s="1" t="s">
        <v>74</v>
      </c>
      <c r="U1574" s="1">
        <v>63</v>
      </c>
      <c r="V1574" s="1">
        <v>86</v>
      </c>
      <c r="W1574" s="1" t="s">
        <v>41</v>
      </c>
      <c r="X1574" s="1">
        <v>593925</v>
      </c>
      <c r="Y1574" s="2">
        <v>37769</v>
      </c>
      <c r="Z1574" s="1">
        <v>-11.8210262828535</v>
      </c>
      <c r="AA1574" s="1">
        <v>21</v>
      </c>
      <c r="AB1574" s="1">
        <v>676000</v>
      </c>
      <c r="AC1574" s="1">
        <f t="shared" si="24"/>
        <v>736000</v>
      </c>
    </row>
    <row r="1575" spans="1:29" x14ac:dyDescent="0.25">
      <c r="A1575" s="1" t="s">
        <v>5187</v>
      </c>
      <c r="B1575" s="1" t="s">
        <v>5188</v>
      </c>
      <c r="C1575" s="1" t="s">
        <v>5189</v>
      </c>
      <c r="D1575" s="1">
        <v>2023</v>
      </c>
      <c r="E1575" s="1" t="s">
        <v>31</v>
      </c>
      <c r="F1575" s="1">
        <v>4</v>
      </c>
      <c r="G1575" s="1" t="s">
        <v>32</v>
      </c>
      <c r="H1575" s="1" t="s">
        <v>90</v>
      </c>
      <c r="I1575" s="1">
        <v>169000</v>
      </c>
      <c r="J1575" s="1">
        <v>154000</v>
      </c>
      <c r="K1575" s="1">
        <v>15000</v>
      </c>
      <c r="L1575" s="1">
        <v>0</v>
      </c>
      <c r="M1575" s="1" t="s">
        <v>34</v>
      </c>
      <c r="N1575" s="1" t="s">
        <v>63</v>
      </c>
      <c r="O1575" s="1" t="s">
        <v>57</v>
      </c>
      <c r="P1575" s="1" t="s">
        <v>57</v>
      </c>
      <c r="Q1575" s="1" t="s">
        <v>38</v>
      </c>
      <c r="R1575" s="1" t="s">
        <v>5190</v>
      </c>
      <c r="S1575" s="3">
        <v>919428000000</v>
      </c>
      <c r="T1575" s="1" t="s">
        <v>74</v>
      </c>
      <c r="U1575" s="1">
        <v>62</v>
      </c>
      <c r="V1575" s="1">
        <v>77</v>
      </c>
      <c r="W1575" s="1" t="s">
        <v>41</v>
      </c>
      <c r="X1575" s="1">
        <v>494731</v>
      </c>
      <c r="Y1575" s="2">
        <v>36828</v>
      </c>
      <c r="Z1575" s="1">
        <v>-12.8210262828535</v>
      </c>
      <c r="AA1575" s="1">
        <v>23</v>
      </c>
      <c r="AB1575" s="1">
        <v>676000</v>
      </c>
      <c r="AC1575" s="1">
        <f t="shared" si="24"/>
        <v>736000</v>
      </c>
    </row>
    <row r="1576" spans="1:29" x14ac:dyDescent="0.25">
      <c r="A1576" s="1" t="s">
        <v>5191</v>
      </c>
      <c r="B1576" s="1" t="s">
        <v>5192</v>
      </c>
      <c r="C1576" s="1" t="s">
        <v>5193</v>
      </c>
      <c r="D1576" s="1">
        <v>2023</v>
      </c>
      <c r="E1576" s="1" t="s">
        <v>31</v>
      </c>
      <c r="F1576" s="1">
        <v>4</v>
      </c>
      <c r="G1576" s="1" t="s">
        <v>32</v>
      </c>
      <c r="H1576" s="1" t="s">
        <v>33</v>
      </c>
      <c r="I1576" s="1">
        <v>169000</v>
      </c>
      <c r="J1576" s="1">
        <v>154000</v>
      </c>
      <c r="K1576" s="1">
        <v>15000</v>
      </c>
      <c r="L1576" s="1">
        <v>0</v>
      </c>
      <c r="M1576" s="1" t="s">
        <v>34</v>
      </c>
      <c r="N1576" s="1" t="s">
        <v>35</v>
      </c>
      <c r="O1576" s="1" t="s">
        <v>78</v>
      </c>
      <c r="P1576" s="1" t="s">
        <v>79</v>
      </c>
      <c r="Q1576" s="1" t="s">
        <v>38</v>
      </c>
      <c r="R1576" s="1" t="s">
        <v>5194</v>
      </c>
      <c r="S1576" s="3">
        <v>917365000000</v>
      </c>
      <c r="T1576" s="1" t="s">
        <v>51</v>
      </c>
      <c r="U1576" s="1">
        <v>62</v>
      </c>
      <c r="V1576" s="1">
        <v>69</v>
      </c>
      <c r="W1576" s="1" t="s">
        <v>41</v>
      </c>
      <c r="X1576" s="1">
        <v>733950</v>
      </c>
      <c r="Y1576" s="2">
        <v>38540</v>
      </c>
      <c r="Z1576" s="1">
        <v>-12.8210262828535</v>
      </c>
      <c r="AA1576" s="1">
        <v>19</v>
      </c>
      <c r="AB1576" s="1">
        <v>676000</v>
      </c>
      <c r="AC1576" s="1">
        <f t="shared" si="24"/>
        <v>736000</v>
      </c>
    </row>
    <row r="1577" spans="1:29" x14ac:dyDescent="0.25">
      <c r="A1577" s="1" t="s">
        <v>5207</v>
      </c>
      <c r="B1577" s="1" t="s">
        <v>5208</v>
      </c>
      <c r="C1577" s="1" t="s">
        <v>5209</v>
      </c>
      <c r="D1577" s="1">
        <v>2023</v>
      </c>
      <c r="E1577" s="1" t="s">
        <v>31</v>
      </c>
      <c r="F1577" s="1">
        <v>4</v>
      </c>
      <c r="G1577" s="1" t="s">
        <v>32</v>
      </c>
      <c r="H1577" s="1" t="s">
        <v>47</v>
      </c>
      <c r="I1577" s="1">
        <v>169000</v>
      </c>
      <c r="J1577" s="1">
        <v>154000</v>
      </c>
      <c r="K1577" s="1">
        <v>15000</v>
      </c>
      <c r="L1577" s="1">
        <v>0</v>
      </c>
      <c r="M1577" s="1" t="s">
        <v>34</v>
      </c>
      <c r="N1577" s="1" t="s">
        <v>63</v>
      </c>
      <c r="O1577" s="1" t="s">
        <v>188</v>
      </c>
      <c r="P1577" s="1" t="s">
        <v>189</v>
      </c>
      <c r="Q1577" s="1" t="s">
        <v>38</v>
      </c>
      <c r="R1577" s="1" t="s">
        <v>5210</v>
      </c>
      <c r="S1577" s="3">
        <v>917094000000</v>
      </c>
      <c r="T1577" s="1" t="s">
        <v>74</v>
      </c>
      <c r="U1577" s="1">
        <v>62</v>
      </c>
      <c r="V1577" s="1">
        <v>87</v>
      </c>
      <c r="W1577" s="1" t="s">
        <v>52</v>
      </c>
      <c r="X1577" s="1">
        <v>244624</v>
      </c>
      <c r="Y1577" s="2">
        <v>38010</v>
      </c>
      <c r="Z1577" s="1">
        <v>-12.8210262828535</v>
      </c>
      <c r="AA1577" s="1">
        <v>20</v>
      </c>
      <c r="AB1577" s="1">
        <v>676000</v>
      </c>
      <c r="AC1577" s="1">
        <f t="shared" si="24"/>
        <v>736000</v>
      </c>
    </row>
    <row r="1578" spans="1:29" x14ac:dyDescent="0.25">
      <c r="A1578" s="1" t="s">
        <v>5219</v>
      </c>
      <c r="B1578" s="1" t="s">
        <v>5220</v>
      </c>
      <c r="C1578" s="1" t="s">
        <v>5221</v>
      </c>
      <c r="D1578" s="1">
        <v>2023</v>
      </c>
      <c r="E1578" s="1" t="s">
        <v>31</v>
      </c>
      <c r="F1578" s="1">
        <v>4</v>
      </c>
      <c r="G1578" s="1" t="s">
        <v>32</v>
      </c>
      <c r="H1578" s="1" t="s">
        <v>62</v>
      </c>
      <c r="I1578" s="1">
        <v>169000</v>
      </c>
      <c r="J1578" s="1">
        <v>154000</v>
      </c>
      <c r="K1578" s="1">
        <v>15000</v>
      </c>
      <c r="L1578" s="1">
        <v>0</v>
      </c>
      <c r="M1578" s="1" t="s">
        <v>34</v>
      </c>
      <c r="N1578" s="1" t="s">
        <v>63</v>
      </c>
      <c r="O1578" s="1" t="s">
        <v>84</v>
      </c>
      <c r="P1578" s="1" t="s">
        <v>65</v>
      </c>
      <c r="Q1578" s="1" t="s">
        <v>38</v>
      </c>
      <c r="R1578" s="1" t="s">
        <v>5222</v>
      </c>
      <c r="S1578" s="3">
        <v>918734000000</v>
      </c>
      <c r="T1578" s="1" t="s">
        <v>51</v>
      </c>
      <c r="U1578" s="1">
        <v>62</v>
      </c>
      <c r="V1578" s="1">
        <v>70</v>
      </c>
      <c r="W1578" s="1" t="s">
        <v>52</v>
      </c>
      <c r="X1578" s="1">
        <v>658449</v>
      </c>
      <c r="Y1578" s="2">
        <v>37543</v>
      </c>
      <c r="Z1578" s="1">
        <v>-12.8210262828535</v>
      </c>
      <c r="AA1578" s="1">
        <v>21</v>
      </c>
      <c r="AB1578" s="1">
        <v>676000</v>
      </c>
      <c r="AC1578" s="1">
        <f t="shared" si="24"/>
        <v>736000</v>
      </c>
    </row>
    <row r="1579" spans="1:29" x14ac:dyDescent="0.25">
      <c r="A1579" s="1" t="s">
        <v>5227</v>
      </c>
      <c r="B1579" s="1" t="s">
        <v>5228</v>
      </c>
      <c r="C1579" s="1" t="s">
        <v>5229</v>
      </c>
      <c r="D1579" s="1">
        <v>2023</v>
      </c>
      <c r="E1579" s="1" t="s">
        <v>31</v>
      </c>
      <c r="F1579" s="1">
        <v>4</v>
      </c>
      <c r="G1579" s="1" t="s">
        <v>32</v>
      </c>
      <c r="H1579" s="1" t="s">
        <v>62</v>
      </c>
      <c r="I1579" s="1">
        <v>169000</v>
      </c>
      <c r="J1579" s="1">
        <v>154000</v>
      </c>
      <c r="K1579" s="1">
        <v>15000</v>
      </c>
      <c r="L1579" s="1">
        <v>0</v>
      </c>
      <c r="M1579" s="1" t="s">
        <v>34</v>
      </c>
      <c r="N1579" s="1" t="s">
        <v>70</v>
      </c>
      <c r="O1579" s="1" t="s">
        <v>103</v>
      </c>
      <c r="P1579" s="1" t="s">
        <v>104</v>
      </c>
      <c r="Q1579" s="1" t="s">
        <v>38</v>
      </c>
      <c r="R1579" s="1" t="s">
        <v>5230</v>
      </c>
      <c r="S1579" s="3">
        <v>917240000000</v>
      </c>
      <c r="T1579" s="1" t="s">
        <v>40</v>
      </c>
      <c r="U1579" s="1">
        <v>62</v>
      </c>
      <c r="V1579" s="1">
        <v>72</v>
      </c>
      <c r="W1579" s="1" t="s">
        <v>41</v>
      </c>
      <c r="X1579" s="1">
        <v>277295</v>
      </c>
      <c r="Y1579" s="2">
        <v>37668</v>
      </c>
      <c r="Z1579" s="1">
        <v>-12.8210262828535</v>
      </c>
      <c r="AA1579" s="1">
        <v>21</v>
      </c>
      <c r="AB1579" s="1">
        <v>676000</v>
      </c>
      <c r="AC1579" s="1">
        <f t="shared" si="24"/>
        <v>736000</v>
      </c>
    </row>
    <row r="1580" spans="1:29" x14ac:dyDescent="0.25">
      <c r="A1580" s="1" t="s">
        <v>5243</v>
      </c>
      <c r="B1580" s="1" t="s">
        <v>5244</v>
      </c>
      <c r="C1580" s="1" t="s">
        <v>5245</v>
      </c>
      <c r="D1580" s="1">
        <v>2023</v>
      </c>
      <c r="E1580" s="1" t="s">
        <v>31</v>
      </c>
      <c r="F1580" s="1">
        <v>4</v>
      </c>
      <c r="G1580" s="1" t="s">
        <v>32</v>
      </c>
      <c r="H1580" s="1" t="s">
        <v>33</v>
      </c>
      <c r="I1580" s="1">
        <v>169000</v>
      </c>
      <c r="J1580" s="1">
        <v>154000</v>
      </c>
      <c r="K1580" s="1">
        <v>15000</v>
      </c>
      <c r="L1580" s="1">
        <v>0</v>
      </c>
      <c r="M1580" s="1" t="s">
        <v>34</v>
      </c>
      <c r="N1580" s="1" t="s">
        <v>70</v>
      </c>
      <c r="O1580" s="1" t="s">
        <v>78</v>
      </c>
      <c r="P1580" s="1" t="s">
        <v>79</v>
      </c>
      <c r="Q1580" s="1" t="s">
        <v>38</v>
      </c>
      <c r="R1580" s="1" t="s">
        <v>5246</v>
      </c>
      <c r="S1580" s="3">
        <v>917874000000</v>
      </c>
      <c r="T1580" s="1" t="s">
        <v>51</v>
      </c>
      <c r="U1580" s="1">
        <v>62</v>
      </c>
      <c r="V1580" s="1">
        <v>90</v>
      </c>
      <c r="W1580" s="1" t="s">
        <v>41</v>
      </c>
      <c r="X1580" s="1">
        <v>415728</v>
      </c>
      <c r="Y1580" s="2">
        <v>37755</v>
      </c>
      <c r="Z1580" s="1">
        <v>-12.8210262828535</v>
      </c>
      <c r="AA1580" s="1">
        <v>21</v>
      </c>
      <c r="AB1580" s="1">
        <v>676000</v>
      </c>
      <c r="AC1580" s="1">
        <f t="shared" si="24"/>
        <v>736000</v>
      </c>
    </row>
    <row r="1581" spans="1:29" x14ac:dyDescent="0.25">
      <c r="A1581" s="1" t="s">
        <v>5255</v>
      </c>
      <c r="B1581" s="1" t="s">
        <v>5256</v>
      </c>
      <c r="C1581" s="1" t="s">
        <v>5257</v>
      </c>
      <c r="D1581" s="1">
        <v>2023</v>
      </c>
      <c r="E1581" s="1" t="s">
        <v>31</v>
      </c>
      <c r="F1581" s="1">
        <v>4</v>
      </c>
      <c r="G1581" s="1" t="s">
        <v>32</v>
      </c>
      <c r="H1581" s="1" t="s">
        <v>122</v>
      </c>
      <c r="I1581" s="1">
        <v>169000</v>
      </c>
      <c r="J1581" s="1">
        <v>154000</v>
      </c>
      <c r="K1581" s="1">
        <v>15000</v>
      </c>
      <c r="L1581" s="1">
        <v>0</v>
      </c>
      <c r="M1581" s="1" t="s">
        <v>34</v>
      </c>
      <c r="N1581" s="1" t="s">
        <v>70</v>
      </c>
      <c r="O1581" s="1" t="s">
        <v>57</v>
      </c>
      <c r="P1581" s="1" t="s">
        <v>57</v>
      </c>
      <c r="Q1581" s="1" t="s">
        <v>38</v>
      </c>
      <c r="R1581" s="1" t="s">
        <v>5258</v>
      </c>
      <c r="S1581" s="3">
        <v>919945000000</v>
      </c>
      <c r="T1581" s="1" t="s">
        <v>40</v>
      </c>
      <c r="U1581" s="1">
        <v>62</v>
      </c>
      <c r="V1581" s="1">
        <v>84</v>
      </c>
      <c r="W1581" s="1" t="s">
        <v>41</v>
      </c>
      <c r="X1581" s="1">
        <v>446177</v>
      </c>
      <c r="Y1581" s="2">
        <v>36960</v>
      </c>
      <c r="Z1581" s="1">
        <v>-12.8210262828535</v>
      </c>
      <c r="AA1581" s="1">
        <v>23</v>
      </c>
      <c r="AB1581" s="1">
        <v>676000</v>
      </c>
      <c r="AC1581" s="1">
        <f t="shared" si="24"/>
        <v>736000</v>
      </c>
    </row>
    <row r="1582" spans="1:29" x14ac:dyDescent="0.25">
      <c r="A1582" s="1" t="s">
        <v>5275</v>
      </c>
      <c r="B1582" s="1" t="s">
        <v>5276</v>
      </c>
      <c r="C1582" s="1" t="s">
        <v>5277</v>
      </c>
      <c r="D1582" s="1">
        <v>2023</v>
      </c>
      <c r="E1582" s="1" t="s">
        <v>31</v>
      </c>
      <c r="F1582" s="1">
        <v>4</v>
      </c>
      <c r="G1582" s="1" t="s">
        <v>32</v>
      </c>
      <c r="H1582" s="1" t="s">
        <v>47</v>
      </c>
      <c r="I1582" s="1">
        <v>169000</v>
      </c>
      <c r="J1582" s="1">
        <v>154000</v>
      </c>
      <c r="K1582" s="1">
        <v>15000</v>
      </c>
      <c r="L1582" s="1">
        <v>0</v>
      </c>
      <c r="M1582" s="1" t="s">
        <v>34</v>
      </c>
      <c r="N1582" s="1" t="s">
        <v>70</v>
      </c>
      <c r="O1582" s="1" t="s">
        <v>64</v>
      </c>
      <c r="P1582" s="1" t="s">
        <v>65</v>
      </c>
      <c r="Q1582" s="1" t="s">
        <v>38</v>
      </c>
      <c r="R1582" s="1" t="s">
        <v>5278</v>
      </c>
      <c r="S1582" s="3">
        <v>917803000000</v>
      </c>
      <c r="T1582" s="1" t="s">
        <v>86</v>
      </c>
      <c r="U1582" s="1">
        <v>62</v>
      </c>
      <c r="V1582" s="1">
        <v>87</v>
      </c>
      <c r="W1582" s="1" t="s">
        <v>41</v>
      </c>
      <c r="X1582" s="1">
        <v>218588</v>
      </c>
      <c r="Y1582" s="2">
        <v>36846</v>
      </c>
      <c r="Z1582" s="1">
        <v>-12.8210262828535</v>
      </c>
      <c r="AA1582" s="1">
        <v>23</v>
      </c>
      <c r="AB1582" s="1">
        <v>676000</v>
      </c>
      <c r="AC1582" s="1">
        <f t="shared" si="24"/>
        <v>736000</v>
      </c>
    </row>
    <row r="1583" spans="1:29" x14ac:dyDescent="0.25">
      <c r="A1583" s="1" t="s">
        <v>5279</v>
      </c>
      <c r="B1583" s="1" t="s">
        <v>851</v>
      </c>
      <c r="C1583" s="1" t="s">
        <v>852</v>
      </c>
      <c r="D1583" s="1">
        <v>2023</v>
      </c>
      <c r="E1583" s="1" t="s">
        <v>45</v>
      </c>
      <c r="F1583" s="1">
        <v>2</v>
      </c>
      <c r="G1583" s="1" t="s">
        <v>46</v>
      </c>
      <c r="H1583" s="1" t="s">
        <v>113</v>
      </c>
      <c r="I1583" s="1">
        <v>92000</v>
      </c>
      <c r="J1583" s="1">
        <v>77000</v>
      </c>
      <c r="K1583" s="1">
        <v>15000</v>
      </c>
      <c r="L1583" s="1">
        <v>0</v>
      </c>
      <c r="M1583" s="1" t="s">
        <v>34</v>
      </c>
      <c r="N1583" s="1" t="s">
        <v>35</v>
      </c>
      <c r="O1583" s="1" t="s">
        <v>78</v>
      </c>
      <c r="P1583" s="1" t="s">
        <v>79</v>
      </c>
      <c r="Q1583" s="1" t="s">
        <v>38</v>
      </c>
      <c r="R1583" s="1" t="s">
        <v>5280</v>
      </c>
      <c r="S1583" s="3">
        <v>917618000000</v>
      </c>
      <c r="T1583" s="1" t="s">
        <v>40</v>
      </c>
      <c r="U1583" s="1">
        <v>62</v>
      </c>
      <c r="V1583" s="1">
        <v>66</v>
      </c>
      <c r="W1583" s="1" t="s">
        <v>41</v>
      </c>
      <c r="X1583" s="1">
        <v>245087</v>
      </c>
      <c r="Y1583" s="2">
        <v>36769</v>
      </c>
      <c r="Z1583" s="1">
        <v>-12.8210262828535</v>
      </c>
      <c r="AA1583" s="1">
        <v>23</v>
      </c>
      <c r="AB1583" s="1">
        <v>184000</v>
      </c>
      <c r="AC1583" s="1">
        <f t="shared" si="24"/>
        <v>214000</v>
      </c>
    </row>
    <row r="1584" spans="1:29" x14ac:dyDescent="0.25">
      <c r="A1584" s="1" t="s">
        <v>5289</v>
      </c>
      <c r="B1584" s="1" t="s">
        <v>5290</v>
      </c>
      <c r="C1584" s="1" t="s">
        <v>5291</v>
      </c>
      <c r="D1584" s="1">
        <v>2023</v>
      </c>
      <c r="E1584" s="1" t="s">
        <v>31</v>
      </c>
      <c r="F1584" s="1">
        <v>4</v>
      </c>
      <c r="G1584" s="1" t="s">
        <v>32</v>
      </c>
      <c r="H1584" s="1" t="s">
        <v>47</v>
      </c>
      <c r="I1584" s="1">
        <v>169000</v>
      </c>
      <c r="J1584" s="1">
        <v>154000</v>
      </c>
      <c r="K1584" s="1">
        <v>15000</v>
      </c>
      <c r="L1584" s="1">
        <v>0</v>
      </c>
      <c r="M1584" s="1" t="s">
        <v>34</v>
      </c>
      <c r="N1584" s="1" t="s">
        <v>63</v>
      </c>
      <c r="O1584" s="1" t="s">
        <v>71</v>
      </c>
      <c r="P1584" s="1" t="s">
        <v>72</v>
      </c>
      <c r="Q1584" s="1" t="s">
        <v>38</v>
      </c>
      <c r="R1584" s="1" t="s">
        <v>5292</v>
      </c>
      <c r="S1584" s="3">
        <v>918634000000</v>
      </c>
      <c r="T1584" s="1" t="s">
        <v>40</v>
      </c>
      <c r="U1584" s="1">
        <v>62</v>
      </c>
      <c r="V1584" s="1">
        <v>66</v>
      </c>
      <c r="W1584" s="1" t="s">
        <v>52</v>
      </c>
      <c r="X1584" s="1">
        <v>366407</v>
      </c>
      <c r="Y1584" s="2">
        <v>38514</v>
      </c>
      <c r="Z1584" s="1">
        <v>-12.8210262828535</v>
      </c>
      <c r="AA1584" s="1">
        <v>19</v>
      </c>
      <c r="AB1584" s="1">
        <v>676000</v>
      </c>
      <c r="AC1584" s="1">
        <f t="shared" si="24"/>
        <v>736000</v>
      </c>
    </row>
    <row r="1585" spans="1:29" x14ac:dyDescent="0.25">
      <c r="A1585" s="1" t="s">
        <v>5306</v>
      </c>
      <c r="B1585" s="1" t="s">
        <v>4879</v>
      </c>
      <c r="C1585" s="1" t="s">
        <v>4880</v>
      </c>
      <c r="D1585" s="1">
        <v>2023</v>
      </c>
      <c r="E1585" s="1" t="s">
        <v>31</v>
      </c>
      <c r="F1585" s="1">
        <v>4</v>
      </c>
      <c r="G1585" s="1" t="s">
        <v>32</v>
      </c>
      <c r="H1585" s="1" t="s">
        <v>151</v>
      </c>
      <c r="I1585" s="1">
        <v>169000</v>
      </c>
      <c r="J1585" s="1">
        <v>154000</v>
      </c>
      <c r="K1585" s="1">
        <v>15000</v>
      </c>
      <c r="L1585" s="1">
        <v>0</v>
      </c>
      <c r="M1585" s="1" t="s">
        <v>34</v>
      </c>
      <c r="N1585" s="1" t="s">
        <v>70</v>
      </c>
      <c r="O1585" s="1" t="s">
        <v>36</v>
      </c>
      <c r="P1585" s="1" t="s">
        <v>37</v>
      </c>
      <c r="Q1585" s="1" t="s">
        <v>38</v>
      </c>
      <c r="R1585" s="1" t="s">
        <v>5307</v>
      </c>
      <c r="S1585" s="3">
        <v>918673000000</v>
      </c>
      <c r="T1585" s="1" t="s">
        <v>40</v>
      </c>
      <c r="U1585" s="1">
        <v>62</v>
      </c>
      <c r="V1585" s="1">
        <v>72</v>
      </c>
      <c r="W1585" s="1" t="s">
        <v>52</v>
      </c>
      <c r="X1585" s="1">
        <v>366825</v>
      </c>
      <c r="Y1585" s="2">
        <v>37740</v>
      </c>
      <c r="Z1585" s="1">
        <v>-12.8210262828535</v>
      </c>
      <c r="AA1585" s="1">
        <v>21</v>
      </c>
      <c r="AB1585" s="1">
        <v>676000</v>
      </c>
      <c r="AC1585" s="1">
        <f t="shared" si="24"/>
        <v>736000</v>
      </c>
    </row>
    <row r="1586" spans="1:29" x14ac:dyDescent="0.25">
      <c r="A1586" s="1" t="s">
        <v>5308</v>
      </c>
      <c r="B1586" s="1" t="s">
        <v>975</v>
      </c>
      <c r="C1586" s="1" t="s">
        <v>976</v>
      </c>
      <c r="D1586" s="1">
        <v>2023</v>
      </c>
      <c r="E1586" s="1" t="s">
        <v>31</v>
      </c>
      <c r="F1586" s="1">
        <v>4</v>
      </c>
      <c r="G1586" s="1" t="s">
        <v>32</v>
      </c>
      <c r="H1586" s="1" t="s">
        <v>210</v>
      </c>
      <c r="I1586" s="1">
        <v>169000</v>
      </c>
      <c r="J1586" s="1">
        <v>154000</v>
      </c>
      <c r="K1586" s="1">
        <v>15000</v>
      </c>
      <c r="L1586" s="1">
        <v>0</v>
      </c>
      <c r="M1586" s="1" t="s">
        <v>34</v>
      </c>
      <c r="N1586" s="1" t="s">
        <v>63</v>
      </c>
      <c r="O1586" s="1" t="s">
        <v>57</v>
      </c>
      <c r="P1586" s="1" t="s">
        <v>57</v>
      </c>
      <c r="Q1586" s="1" t="s">
        <v>38</v>
      </c>
      <c r="R1586" s="1" t="s">
        <v>5309</v>
      </c>
      <c r="S1586" s="3">
        <v>919597000000</v>
      </c>
      <c r="T1586" s="1" t="s">
        <v>40</v>
      </c>
      <c r="U1586" s="1">
        <v>62</v>
      </c>
      <c r="V1586" s="1">
        <v>70</v>
      </c>
      <c r="W1586" s="1" t="s">
        <v>41</v>
      </c>
      <c r="X1586" s="1">
        <v>581421</v>
      </c>
      <c r="Y1586" s="2">
        <v>37040</v>
      </c>
      <c r="Z1586" s="1">
        <v>-12.8210262828535</v>
      </c>
      <c r="AA1586" s="1">
        <v>23</v>
      </c>
      <c r="AB1586" s="1">
        <v>676000</v>
      </c>
      <c r="AC1586" s="1">
        <f t="shared" si="24"/>
        <v>736000</v>
      </c>
    </row>
    <row r="1587" spans="1:29" x14ac:dyDescent="0.25">
      <c r="A1587" s="1" t="s">
        <v>5310</v>
      </c>
      <c r="B1587" s="1" t="s">
        <v>4552</v>
      </c>
      <c r="C1587" s="1" t="s">
        <v>4553</v>
      </c>
      <c r="D1587" s="1">
        <v>2023</v>
      </c>
      <c r="E1587" s="1" t="s">
        <v>45</v>
      </c>
      <c r="F1587" s="1">
        <v>2</v>
      </c>
      <c r="G1587" s="1" t="s">
        <v>46</v>
      </c>
      <c r="H1587" s="1" t="s">
        <v>62</v>
      </c>
      <c r="I1587" s="1">
        <v>92000</v>
      </c>
      <c r="J1587" s="1">
        <v>77000</v>
      </c>
      <c r="K1587" s="1">
        <v>15000</v>
      </c>
      <c r="L1587" s="1">
        <v>0</v>
      </c>
      <c r="M1587" s="1" t="s">
        <v>34</v>
      </c>
      <c r="N1587" s="1" t="s">
        <v>70</v>
      </c>
      <c r="O1587" s="1" t="s">
        <v>188</v>
      </c>
      <c r="P1587" s="1" t="s">
        <v>189</v>
      </c>
      <c r="Q1587" s="1" t="s">
        <v>38</v>
      </c>
      <c r="R1587" s="1" t="s">
        <v>5311</v>
      </c>
      <c r="S1587" s="3">
        <v>918317000000</v>
      </c>
      <c r="T1587" s="1" t="s">
        <v>86</v>
      </c>
      <c r="U1587" s="1">
        <v>62</v>
      </c>
      <c r="V1587" s="1">
        <v>86</v>
      </c>
      <c r="W1587" s="1" t="s">
        <v>41</v>
      </c>
      <c r="X1587" s="1">
        <v>267299</v>
      </c>
      <c r="Y1587" s="2">
        <v>36555</v>
      </c>
      <c r="Z1587" s="1">
        <v>-12.8210262828535</v>
      </c>
      <c r="AA1587" s="1">
        <v>24</v>
      </c>
      <c r="AB1587" s="1">
        <v>184000</v>
      </c>
      <c r="AC1587" s="1">
        <f t="shared" si="24"/>
        <v>214000</v>
      </c>
    </row>
    <row r="1588" spans="1:29" x14ac:dyDescent="0.25">
      <c r="A1588" s="1" t="s">
        <v>5355</v>
      </c>
      <c r="B1588" s="1" t="s">
        <v>4268</v>
      </c>
      <c r="C1588" s="1" t="s">
        <v>4269</v>
      </c>
      <c r="D1588" s="1">
        <v>2023</v>
      </c>
      <c r="E1588" s="1" t="s">
        <v>45</v>
      </c>
      <c r="F1588" s="1">
        <v>2</v>
      </c>
      <c r="G1588" s="1" t="s">
        <v>46</v>
      </c>
      <c r="H1588" s="1" t="s">
        <v>90</v>
      </c>
      <c r="I1588" s="1">
        <v>92000</v>
      </c>
      <c r="J1588" s="1">
        <v>77000</v>
      </c>
      <c r="K1588" s="1">
        <v>15000</v>
      </c>
      <c r="L1588" s="1">
        <v>0</v>
      </c>
      <c r="M1588" s="1" t="s">
        <v>34</v>
      </c>
      <c r="N1588" s="1" t="s">
        <v>63</v>
      </c>
      <c r="O1588" s="1" t="s">
        <v>188</v>
      </c>
      <c r="P1588" s="1" t="s">
        <v>189</v>
      </c>
      <c r="Q1588" s="1" t="s">
        <v>38</v>
      </c>
      <c r="R1588" s="1" t="s">
        <v>5356</v>
      </c>
      <c r="S1588" s="3">
        <v>918004000000</v>
      </c>
      <c r="T1588" s="1" t="s">
        <v>51</v>
      </c>
      <c r="U1588" s="1">
        <v>61</v>
      </c>
      <c r="V1588" s="1">
        <v>87</v>
      </c>
      <c r="W1588" s="1" t="s">
        <v>41</v>
      </c>
      <c r="X1588" s="1">
        <v>758764</v>
      </c>
      <c r="Y1588" s="2">
        <v>35721</v>
      </c>
      <c r="Z1588" s="1">
        <v>-13.8210262828535</v>
      </c>
      <c r="AA1588" s="1">
        <v>26</v>
      </c>
      <c r="AB1588" s="1">
        <v>184000</v>
      </c>
      <c r="AC1588" s="1">
        <f t="shared" si="24"/>
        <v>214000</v>
      </c>
    </row>
    <row r="1589" spans="1:29" x14ac:dyDescent="0.25">
      <c r="A1589" s="1" t="s">
        <v>5357</v>
      </c>
      <c r="B1589" s="1" t="s">
        <v>5358</v>
      </c>
      <c r="C1589" s="1" t="s">
        <v>5359</v>
      </c>
      <c r="D1589" s="1">
        <v>2023</v>
      </c>
      <c r="E1589" s="1" t="s">
        <v>31</v>
      </c>
      <c r="F1589" s="1">
        <v>4</v>
      </c>
      <c r="G1589" s="1" t="s">
        <v>32</v>
      </c>
      <c r="H1589" s="1" t="s">
        <v>113</v>
      </c>
      <c r="I1589" s="1">
        <v>169000</v>
      </c>
      <c r="J1589" s="1">
        <v>154000</v>
      </c>
      <c r="K1589" s="1">
        <v>15000</v>
      </c>
      <c r="L1589" s="1">
        <v>0</v>
      </c>
      <c r="M1589" s="1" t="s">
        <v>34</v>
      </c>
      <c r="N1589" s="1" t="s">
        <v>63</v>
      </c>
      <c r="O1589" s="1" t="s">
        <v>103</v>
      </c>
      <c r="P1589" s="1" t="s">
        <v>104</v>
      </c>
      <c r="Q1589" s="1" t="s">
        <v>38</v>
      </c>
      <c r="R1589" s="1" t="s">
        <v>5360</v>
      </c>
      <c r="S1589" s="3">
        <v>917427000000</v>
      </c>
      <c r="T1589" s="1" t="s">
        <v>98</v>
      </c>
      <c r="U1589" s="1">
        <v>61</v>
      </c>
      <c r="V1589" s="1">
        <v>88</v>
      </c>
      <c r="W1589" s="1" t="s">
        <v>52</v>
      </c>
      <c r="X1589" s="1">
        <v>406336</v>
      </c>
      <c r="Y1589" s="2">
        <v>37251</v>
      </c>
      <c r="Z1589" s="1">
        <v>-13.8210262828535</v>
      </c>
      <c r="AA1589" s="1">
        <v>22</v>
      </c>
      <c r="AB1589" s="1">
        <v>676000</v>
      </c>
      <c r="AC1589" s="1">
        <f t="shared" si="24"/>
        <v>736000</v>
      </c>
    </row>
    <row r="1590" spans="1:29" x14ac:dyDescent="0.25">
      <c r="A1590" s="1" t="s">
        <v>5383</v>
      </c>
      <c r="B1590" s="1" t="s">
        <v>2234</v>
      </c>
      <c r="C1590" s="1" t="s">
        <v>2235</v>
      </c>
      <c r="D1590" s="1">
        <v>2023</v>
      </c>
      <c r="E1590" s="1" t="s">
        <v>45</v>
      </c>
      <c r="F1590" s="1">
        <v>2</v>
      </c>
      <c r="G1590" s="1" t="s">
        <v>46</v>
      </c>
      <c r="H1590" s="1" t="s">
        <v>33</v>
      </c>
      <c r="I1590" s="1">
        <v>92000</v>
      </c>
      <c r="J1590" s="1">
        <v>77000</v>
      </c>
      <c r="K1590" s="1">
        <v>15000</v>
      </c>
      <c r="L1590" s="1">
        <v>0</v>
      </c>
      <c r="M1590" s="1" t="s">
        <v>34</v>
      </c>
      <c r="N1590" s="1" t="s">
        <v>35</v>
      </c>
      <c r="O1590" s="1" t="s">
        <v>78</v>
      </c>
      <c r="P1590" s="1" t="s">
        <v>79</v>
      </c>
      <c r="Q1590" s="1" t="s">
        <v>38</v>
      </c>
      <c r="R1590" s="1" t="s">
        <v>5384</v>
      </c>
      <c r="S1590" s="3">
        <v>917772000000</v>
      </c>
      <c r="T1590" s="1" t="s">
        <v>40</v>
      </c>
      <c r="U1590" s="1">
        <v>61</v>
      </c>
      <c r="V1590" s="1">
        <v>84</v>
      </c>
      <c r="W1590" s="1" t="s">
        <v>52</v>
      </c>
      <c r="X1590" s="1">
        <v>346163</v>
      </c>
      <c r="Y1590" s="2">
        <v>35840</v>
      </c>
      <c r="Z1590" s="1">
        <v>-13.8210262828535</v>
      </c>
      <c r="AA1590" s="1">
        <v>26</v>
      </c>
      <c r="AB1590" s="1">
        <v>184000</v>
      </c>
      <c r="AC1590" s="1">
        <f t="shared" si="24"/>
        <v>214000</v>
      </c>
    </row>
    <row r="1591" spans="1:29" x14ac:dyDescent="0.25">
      <c r="A1591" s="1" t="s">
        <v>5393</v>
      </c>
      <c r="B1591" s="1" t="s">
        <v>5394</v>
      </c>
      <c r="C1591" s="1" t="s">
        <v>5395</v>
      </c>
      <c r="D1591" s="1">
        <v>2023</v>
      </c>
      <c r="E1591" s="1" t="s">
        <v>31</v>
      </c>
      <c r="F1591" s="1">
        <v>4</v>
      </c>
      <c r="G1591" s="1" t="s">
        <v>32</v>
      </c>
      <c r="H1591" s="1" t="s">
        <v>90</v>
      </c>
      <c r="I1591" s="1">
        <v>169000</v>
      </c>
      <c r="J1591" s="1">
        <v>154000</v>
      </c>
      <c r="K1591" s="1">
        <v>15000</v>
      </c>
      <c r="L1591" s="1">
        <v>0</v>
      </c>
      <c r="M1591" s="1" t="s">
        <v>34</v>
      </c>
      <c r="N1591" s="1" t="s">
        <v>35</v>
      </c>
      <c r="O1591" s="1" t="s">
        <v>48</v>
      </c>
      <c r="P1591" s="1" t="s">
        <v>49</v>
      </c>
      <c r="Q1591" s="1" t="s">
        <v>38</v>
      </c>
      <c r="R1591" s="1" t="s">
        <v>5396</v>
      </c>
      <c r="S1591" s="3">
        <v>918846000000</v>
      </c>
      <c r="T1591" s="1" t="s">
        <v>74</v>
      </c>
      <c r="U1591" s="1">
        <v>61</v>
      </c>
      <c r="V1591" s="1">
        <v>65</v>
      </c>
      <c r="W1591" s="1" t="s">
        <v>41</v>
      </c>
      <c r="X1591" s="1">
        <v>639438</v>
      </c>
      <c r="Y1591" s="2">
        <v>38006</v>
      </c>
      <c r="Z1591" s="1">
        <v>-13.8210262828535</v>
      </c>
      <c r="AA1591" s="1">
        <v>20</v>
      </c>
      <c r="AB1591" s="1">
        <v>676000</v>
      </c>
      <c r="AC1591" s="1">
        <f t="shared" si="24"/>
        <v>736000</v>
      </c>
    </row>
    <row r="1592" spans="1:29" x14ac:dyDescent="0.25">
      <c r="A1592" s="1" t="s">
        <v>5397</v>
      </c>
      <c r="B1592" s="1" t="s">
        <v>5398</v>
      </c>
      <c r="C1592" s="1" t="s">
        <v>5399</v>
      </c>
      <c r="D1592" s="1">
        <v>2023</v>
      </c>
      <c r="E1592" s="1" t="s">
        <v>31</v>
      </c>
      <c r="F1592" s="1">
        <v>4</v>
      </c>
      <c r="G1592" s="1" t="s">
        <v>32</v>
      </c>
      <c r="H1592" s="1" t="s">
        <v>56</v>
      </c>
      <c r="I1592" s="1">
        <v>169000</v>
      </c>
      <c r="J1592" s="1">
        <v>154000</v>
      </c>
      <c r="K1592" s="1">
        <v>15000</v>
      </c>
      <c r="L1592" s="1">
        <v>0</v>
      </c>
      <c r="M1592" s="1" t="s">
        <v>34</v>
      </c>
      <c r="N1592" s="1" t="s">
        <v>63</v>
      </c>
      <c r="O1592" s="1" t="s">
        <v>84</v>
      </c>
      <c r="P1592" s="1" t="s">
        <v>65</v>
      </c>
      <c r="Q1592" s="1" t="s">
        <v>38</v>
      </c>
      <c r="R1592" s="1" t="s">
        <v>5400</v>
      </c>
      <c r="S1592" s="3">
        <v>917098000000</v>
      </c>
      <c r="T1592" s="1" t="s">
        <v>51</v>
      </c>
      <c r="U1592" s="1">
        <v>61</v>
      </c>
      <c r="V1592" s="1">
        <v>68</v>
      </c>
      <c r="W1592" s="1" t="s">
        <v>52</v>
      </c>
      <c r="X1592" s="1">
        <v>375004</v>
      </c>
      <c r="Y1592" s="2">
        <v>38038</v>
      </c>
      <c r="Z1592" s="1">
        <v>-13.8210262828535</v>
      </c>
      <c r="AA1592" s="1">
        <v>20</v>
      </c>
      <c r="AB1592" s="1">
        <v>676000</v>
      </c>
      <c r="AC1592" s="1">
        <f t="shared" si="24"/>
        <v>736000</v>
      </c>
    </row>
    <row r="1593" spans="1:29" x14ac:dyDescent="0.25">
      <c r="A1593" s="1" t="s">
        <v>5419</v>
      </c>
      <c r="B1593" s="1" t="s">
        <v>5420</v>
      </c>
      <c r="C1593" s="1" t="s">
        <v>5421</v>
      </c>
      <c r="D1593" s="1">
        <v>2023</v>
      </c>
      <c r="E1593" s="1" t="s">
        <v>31</v>
      </c>
      <c r="F1593" s="1">
        <v>4</v>
      </c>
      <c r="G1593" s="1" t="s">
        <v>32</v>
      </c>
      <c r="H1593" s="1" t="s">
        <v>33</v>
      </c>
      <c r="I1593" s="1">
        <v>169000</v>
      </c>
      <c r="J1593" s="1">
        <v>154000</v>
      </c>
      <c r="K1593" s="1">
        <v>15000</v>
      </c>
      <c r="L1593" s="1">
        <v>0</v>
      </c>
      <c r="M1593" s="1" t="s">
        <v>34</v>
      </c>
      <c r="N1593" s="1" t="s">
        <v>70</v>
      </c>
      <c r="O1593" s="1" t="s">
        <v>64</v>
      </c>
      <c r="P1593" s="1" t="s">
        <v>65</v>
      </c>
      <c r="Q1593" s="1" t="s">
        <v>38</v>
      </c>
      <c r="R1593" s="1" t="s">
        <v>5422</v>
      </c>
      <c r="S1593" s="3">
        <v>918131000000</v>
      </c>
      <c r="T1593" s="1" t="s">
        <v>74</v>
      </c>
      <c r="U1593" s="1">
        <v>61</v>
      </c>
      <c r="V1593" s="1">
        <v>63</v>
      </c>
      <c r="W1593" s="1" t="s">
        <v>52</v>
      </c>
      <c r="X1593" s="1">
        <v>506367</v>
      </c>
      <c r="Y1593" s="2">
        <v>37893</v>
      </c>
      <c r="Z1593" s="1">
        <v>-13.8210262828535</v>
      </c>
      <c r="AA1593" s="1">
        <v>20</v>
      </c>
      <c r="AB1593" s="1">
        <v>676000</v>
      </c>
      <c r="AC1593" s="1">
        <f t="shared" si="24"/>
        <v>736000</v>
      </c>
    </row>
    <row r="1594" spans="1:29" x14ac:dyDescent="0.25">
      <c r="A1594" s="1" t="s">
        <v>5427</v>
      </c>
      <c r="B1594" s="1" t="s">
        <v>2585</v>
      </c>
      <c r="C1594" s="1" t="s">
        <v>2586</v>
      </c>
      <c r="D1594" s="1">
        <v>2023</v>
      </c>
      <c r="E1594" s="1" t="s">
        <v>31</v>
      </c>
      <c r="F1594" s="1">
        <v>4</v>
      </c>
      <c r="G1594" s="1" t="s">
        <v>32</v>
      </c>
      <c r="H1594" s="1" t="s">
        <v>56</v>
      </c>
      <c r="I1594" s="1">
        <v>169000</v>
      </c>
      <c r="J1594" s="1">
        <v>154000</v>
      </c>
      <c r="K1594" s="1">
        <v>15000</v>
      </c>
      <c r="L1594" s="1">
        <v>0</v>
      </c>
      <c r="M1594" s="1" t="s">
        <v>34</v>
      </c>
      <c r="N1594" s="1" t="s">
        <v>70</v>
      </c>
      <c r="O1594" s="1" t="s">
        <v>36</v>
      </c>
      <c r="P1594" s="1" t="s">
        <v>37</v>
      </c>
      <c r="Q1594" s="1" t="s">
        <v>38</v>
      </c>
      <c r="R1594" s="1" t="s">
        <v>5428</v>
      </c>
      <c r="S1594" s="3">
        <v>919897000000</v>
      </c>
      <c r="T1594" s="1" t="s">
        <v>51</v>
      </c>
      <c r="U1594" s="1">
        <v>61</v>
      </c>
      <c r="V1594" s="1">
        <v>81</v>
      </c>
      <c r="W1594" s="1" t="s">
        <v>52</v>
      </c>
      <c r="X1594" s="1">
        <v>720817</v>
      </c>
      <c r="Y1594" s="2">
        <v>37391</v>
      </c>
      <c r="Z1594" s="1">
        <v>-13.8210262828535</v>
      </c>
      <c r="AA1594" s="1">
        <v>22</v>
      </c>
      <c r="AB1594" s="1">
        <v>676000</v>
      </c>
      <c r="AC1594" s="1">
        <f t="shared" si="24"/>
        <v>736000</v>
      </c>
    </row>
    <row r="1595" spans="1:29" x14ac:dyDescent="0.25">
      <c r="A1595" s="1" t="s">
        <v>5453</v>
      </c>
      <c r="B1595" s="1" t="s">
        <v>943</v>
      </c>
      <c r="C1595" s="1" t="s">
        <v>944</v>
      </c>
      <c r="D1595" s="1">
        <v>2023</v>
      </c>
      <c r="E1595" s="1" t="s">
        <v>31</v>
      </c>
      <c r="F1595" s="1">
        <v>4</v>
      </c>
      <c r="G1595" s="1" t="s">
        <v>32</v>
      </c>
      <c r="H1595" s="1" t="s">
        <v>210</v>
      </c>
      <c r="I1595" s="1">
        <v>169000</v>
      </c>
      <c r="J1595" s="1">
        <v>154000</v>
      </c>
      <c r="K1595" s="1">
        <v>15000</v>
      </c>
      <c r="L1595" s="1">
        <v>0</v>
      </c>
      <c r="M1595" s="1" t="s">
        <v>34</v>
      </c>
      <c r="N1595" s="1" t="s">
        <v>63</v>
      </c>
      <c r="O1595" s="1" t="s">
        <v>84</v>
      </c>
      <c r="P1595" s="1" t="s">
        <v>65</v>
      </c>
      <c r="Q1595" s="1" t="s">
        <v>38</v>
      </c>
      <c r="R1595" s="1" t="s">
        <v>5454</v>
      </c>
      <c r="S1595" s="3">
        <v>917955000000</v>
      </c>
      <c r="T1595" s="1" t="s">
        <v>51</v>
      </c>
      <c r="U1595" s="1">
        <v>61</v>
      </c>
      <c r="V1595" s="1">
        <v>85</v>
      </c>
      <c r="W1595" s="1" t="s">
        <v>41</v>
      </c>
      <c r="X1595" s="1">
        <v>583887</v>
      </c>
      <c r="Y1595" s="2">
        <v>37317</v>
      </c>
      <c r="Z1595" s="1">
        <v>-13.8210262828535</v>
      </c>
      <c r="AA1595" s="1">
        <v>22</v>
      </c>
      <c r="AB1595" s="1">
        <v>676000</v>
      </c>
      <c r="AC1595" s="1">
        <f t="shared" si="24"/>
        <v>736000</v>
      </c>
    </row>
    <row r="1596" spans="1:29" x14ac:dyDescent="0.25">
      <c r="A1596" s="1" t="s">
        <v>5487</v>
      </c>
      <c r="B1596" s="1" t="s">
        <v>5488</v>
      </c>
      <c r="C1596" s="1" t="s">
        <v>5489</v>
      </c>
      <c r="D1596" s="1">
        <v>2023</v>
      </c>
      <c r="E1596" s="1" t="s">
        <v>31</v>
      </c>
      <c r="F1596" s="1">
        <v>4</v>
      </c>
      <c r="G1596" s="1" t="s">
        <v>32</v>
      </c>
      <c r="H1596" s="1" t="s">
        <v>90</v>
      </c>
      <c r="I1596" s="1">
        <v>169000</v>
      </c>
      <c r="J1596" s="1">
        <v>154000</v>
      </c>
      <c r="K1596" s="1">
        <v>15000</v>
      </c>
      <c r="L1596" s="1">
        <v>0</v>
      </c>
      <c r="M1596" s="1" t="s">
        <v>34</v>
      </c>
      <c r="N1596" s="1" t="s">
        <v>35</v>
      </c>
      <c r="O1596" s="1" t="s">
        <v>57</v>
      </c>
      <c r="P1596" s="1" t="s">
        <v>57</v>
      </c>
      <c r="Q1596" s="1" t="s">
        <v>38</v>
      </c>
      <c r="R1596" s="1" t="s">
        <v>5490</v>
      </c>
      <c r="S1596" s="3">
        <v>917088000000</v>
      </c>
      <c r="T1596" s="1" t="s">
        <v>98</v>
      </c>
      <c r="U1596" s="1">
        <v>60</v>
      </c>
      <c r="V1596" s="1">
        <v>87</v>
      </c>
      <c r="W1596" s="1" t="s">
        <v>52</v>
      </c>
      <c r="X1596" s="1">
        <v>757278</v>
      </c>
      <c r="Y1596" s="2">
        <v>38834</v>
      </c>
      <c r="Z1596" s="1">
        <v>-14.8210262828535</v>
      </c>
      <c r="AA1596" s="1">
        <v>18</v>
      </c>
      <c r="AB1596" s="1">
        <v>676000</v>
      </c>
      <c r="AC1596" s="1">
        <f t="shared" si="24"/>
        <v>736000</v>
      </c>
    </row>
    <row r="1597" spans="1:29" x14ac:dyDescent="0.25">
      <c r="A1597" s="1" t="s">
        <v>5509</v>
      </c>
      <c r="B1597" s="1" t="s">
        <v>4370</v>
      </c>
      <c r="C1597" s="1" t="s">
        <v>4371</v>
      </c>
      <c r="D1597" s="1">
        <v>2023</v>
      </c>
      <c r="E1597" s="1" t="s">
        <v>45</v>
      </c>
      <c r="F1597" s="1">
        <v>2</v>
      </c>
      <c r="G1597" s="1" t="s">
        <v>46</v>
      </c>
      <c r="H1597" s="1" t="s">
        <v>113</v>
      </c>
      <c r="I1597" s="1">
        <v>92000</v>
      </c>
      <c r="J1597" s="1">
        <v>77000</v>
      </c>
      <c r="K1597" s="1">
        <v>15000</v>
      </c>
      <c r="L1597" s="1">
        <v>0</v>
      </c>
      <c r="M1597" s="1" t="s">
        <v>34</v>
      </c>
      <c r="N1597" s="1" t="s">
        <v>35</v>
      </c>
      <c r="O1597" s="1" t="s">
        <v>36</v>
      </c>
      <c r="P1597" s="1" t="s">
        <v>37</v>
      </c>
      <c r="Q1597" s="1" t="s">
        <v>38</v>
      </c>
      <c r="R1597" s="1" t="s">
        <v>5510</v>
      </c>
      <c r="S1597" s="3">
        <v>918447000000</v>
      </c>
      <c r="T1597" s="1" t="s">
        <v>51</v>
      </c>
      <c r="U1597" s="1">
        <v>60</v>
      </c>
      <c r="V1597" s="1">
        <v>87</v>
      </c>
      <c r="W1597" s="1" t="s">
        <v>41</v>
      </c>
      <c r="X1597" s="1">
        <v>115250</v>
      </c>
      <c r="Y1597" s="2">
        <v>35384</v>
      </c>
      <c r="Z1597" s="1">
        <v>-14.8210262828535</v>
      </c>
      <c r="AA1597" s="1">
        <v>27</v>
      </c>
      <c r="AB1597" s="1">
        <v>184000</v>
      </c>
      <c r="AC1597" s="1">
        <f t="shared" si="24"/>
        <v>214000</v>
      </c>
    </row>
    <row r="1598" spans="1:29" x14ac:dyDescent="0.25">
      <c r="A1598" s="1" t="s">
        <v>5533</v>
      </c>
      <c r="B1598" s="1" t="s">
        <v>5534</v>
      </c>
      <c r="C1598" s="1" t="s">
        <v>5535</v>
      </c>
      <c r="D1598" s="1">
        <v>2023</v>
      </c>
      <c r="E1598" s="1" t="s">
        <v>31</v>
      </c>
      <c r="F1598" s="1">
        <v>4</v>
      </c>
      <c r="G1598" s="1" t="s">
        <v>32</v>
      </c>
      <c r="H1598" s="1" t="s">
        <v>122</v>
      </c>
      <c r="I1598" s="1">
        <v>169000</v>
      </c>
      <c r="J1598" s="1">
        <v>154000</v>
      </c>
      <c r="K1598" s="1">
        <v>15000</v>
      </c>
      <c r="L1598" s="1">
        <v>0</v>
      </c>
      <c r="M1598" s="1" t="s">
        <v>34</v>
      </c>
      <c r="N1598" s="1" t="s">
        <v>63</v>
      </c>
      <c r="O1598" s="1" t="s">
        <v>71</v>
      </c>
      <c r="P1598" s="1" t="s">
        <v>72</v>
      </c>
      <c r="Q1598" s="1" t="s">
        <v>38</v>
      </c>
      <c r="R1598" s="1" t="s">
        <v>5536</v>
      </c>
      <c r="S1598" s="3">
        <v>919950000000</v>
      </c>
      <c r="T1598" s="1" t="s">
        <v>86</v>
      </c>
      <c r="U1598" s="1">
        <v>60</v>
      </c>
      <c r="V1598" s="1">
        <v>85</v>
      </c>
      <c r="W1598" s="1" t="s">
        <v>52</v>
      </c>
      <c r="X1598" s="1">
        <v>762842</v>
      </c>
      <c r="Y1598" s="2">
        <v>38645</v>
      </c>
      <c r="Z1598" s="1">
        <v>-14.8210262828535</v>
      </c>
      <c r="AA1598" s="1">
        <v>18</v>
      </c>
      <c r="AB1598" s="1">
        <v>676000</v>
      </c>
      <c r="AC1598" s="1">
        <f t="shared" si="24"/>
        <v>736000</v>
      </c>
    </row>
    <row r="1599" spans="1:29" x14ac:dyDescent="0.25">
      <c r="A1599" s="1" t="s">
        <v>5539</v>
      </c>
      <c r="B1599" s="1" t="s">
        <v>5540</v>
      </c>
      <c r="C1599" s="1" t="s">
        <v>5541</v>
      </c>
      <c r="D1599" s="1">
        <v>2023</v>
      </c>
      <c r="E1599" s="1" t="s">
        <v>31</v>
      </c>
      <c r="F1599" s="1">
        <v>4</v>
      </c>
      <c r="G1599" s="1" t="s">
        <v>32</v>
      </c>
      <c r="H1599" s="1" t="s">
        <v>102</v>
      </c>
      <c r="I1599" s="1">
        <v>169000</v>
      </c>
      <c r="J1599" s="1">
        <v>154000</v>
      </c>
      <c r="K1599" s="1">
        <v>15000</v>
      </c>
      <c r="L1599" s="1">
        <v>0</v>
      </c>
      <c r="M1599" s="1" t="s">
        <v>34</v>
      </c>
      <c r="N1599" s="1" t="s">
        <v>70</v>
      </c>
      <c r="O1599" s="1" t="s">
        <v>84</v>
      </c>
      <c r="P1599" s="1" t="s">
        <v>65</v>
      </c>
      <c r="Q1599" s="1" t="s">
        <v>38</v>
      </c>
      <c r="R1599" s="1" t="s">
        <v>5542</v>
      </c>
      <c r="S1599" s="3">
        <v>919380000000</v>
      </c>
      <c r="T1599" s="1" t="s">
        <v>86</v>
      </c>
      <c r="U1599" s="1">
        <v>60</v>
      </c>
      <c r="V1599" s="1">
        <v>84</v>
      </c>
      <c r="W1599" s="1" t="s">
        <v>52</v>
      </c>
      <c r="X1599" s="1">
        <v>581910</v>
      </c>
      <c r="Y1599" s="2">
        <v>37542</v>
      </c>
      <c r="Z1599" s="1">
        <v>-14.8210262828535</v>
      </c>
      <c r="AA1599" s="1">
        <v>21</v>
      </c>
      <c r="AB1599" s="1">
        <v>676000</v>
      </c>
      <c r="AC1599" s="1">
        <f t="shared" si="24"/>
        <v>736000</v>
      </c>
    </row>
    <row r="1600" spans="1:29" x14ac:dyDescent="0.25">
      <c r="A1600" s="1" t="s">
        <v>5549</v>
      </c>
      <c r="B1600" s="1" t="s">
        <v>5550</v>
      </c>
      <c r="C1600" s="1" t="s">
        <v>5551</v>
      </c>
      <c r="D1600" s="1">
        <v>2023</v>
      </c>
      <c r="E1600" s="1" t="s">
        <v>31</v>
      </c>
      <c r="F1600" s="1">
        <v>4</v>
      </c>
      <c r="G1600" s="1" t="s">
        <v>32</v>
      </c>
      <c r="H1600" s="1" t="s">
        <v>47</v>
      </c>
      <c r="I1600" s="1">
        <v>169000</v>
      </c>
      <c r="J1600" s="1">
        <v>154000</v>
      </c>
      <c r="K1600" s="1">
        <v>15000</v>
      </c>
      <c r="L1600" s="1">
        <v>0</v>
      </c>
      <c r="M1600" s="1" t="s">
        <v>34</v>
      </c>
      <c r="N1600" s="1" t="s">
        <v>63</v>
      </c>
      <c r="O1600" s="1" t="s">
        <v>188</v>
      </c>
      <c r="P1600" s="1" t="s">
        <v>189</v>
      </c>
      <c r="Q1600" s="1" t="s">
        <v>38</v>
      </c>
      <c r="R1600" s="1" t="s">
        <v>5552</v>
      </c>
      <c r="S1600" s="3">
        <v>918487000000</v>
      </c>
      <c r="T1600" s="1" t="s">
        <v>74</v>
      </c>
      <c r="U1600" s="1">
        <v>60</v>
      </c>
      <c r="V1600" s="1">
        <v>61</v>
      </c>
      <c r="W1600" s="1" t="s">
        <v>52</v>
      </c>
      <c r="X1600" s="1">
        <v>786466</v>
      </c>
      <c r="Y1600" s="2">
        <v>38520</v>
      </c>
      <c r="Z1600" s="1">
        <v>-14.8210262828535</v>
      </c>
      <c r="AA1600" s="1">
        <v>19</v>
      </c>
      <c r="AB1600" s="1">
        <v>676000</v>
      </c>
      <c r="AC1600" s="1">
        <f t="shared" si="24"/>
        <v>736000</v>
      </c>
    </row>
    <row r="1601" spans="1:29" x14ac:dyDescent="0.25">
      <c r="A1601" s="1" t="s">
        <v>5591</v>
      </c>
      <c r="B1601" s="1" t="s">
        <v>3978</v>
      </c>
      <c r="C1601" s="1" t="s">
        <v>3979</v>
      </c>
      <c r="D1601" s="1">
        <v>2023</v>
      </c>
      <c r="E1601" s="1" t="s">
        <v>31</v>
      </c>
      <c r="F1601" s="1">
        <v>4</v>
      </c>
      <c r="G1601" s="1" t="s">
        <v>32</v>
      </c>
      <c r="H1601" s="1" t="s">
        <v>56</v>
      </c>
      <c r="I1601" s="1">
        <v>169000</v>
      </c>
      <c r="J1601" s="1">
        <v>154000</v>
      </c>
      <c r="K1601" s="1">
        <v>15000</v>
      </c>
      <c r="L1601" s="1">
        <v>0</v>
      </c>
      <c r="M1601" s="1" t="s">
        <v>34</v>
      </c>
      <c r="N1601" s="1" t="s">
        <v>70</v>
      </c>
      <c r="O1601" s="1" t="s">
        <v>36</v>
      </c>
      <c r="P1601" s="1" t="s">
        <v>37</v>
      </c>
      <c r="Q1601" s="1" t="s">
        <v>38</v>
      </c>
      <c r="R1601" s="1" t="s">
        <v>5592</v>
      </c>
      <c r="S1601" s="3">
        <v>917882000000</v>
      </c>
      <c r="T1601" s="1" t="s">
        <v>86</v>
      </c>
      <c r="U1601" s="1">
        <v>60</v>
      </c>
      <c r="V1601" s="1">
        <v>91</v>
      </c>
      <c r="W1601" s="1" t="s">
        <v>52</v>
      </c>
      <c r="X1601" s="1">
        <v>560102</v>
      </c>
      <c r="Y1601" s="2">
        <v>37482</v>
      </c>
      <c r="Z1601" s="1">
        <v>-14.8210262828535</v>
      </c>
      <c r="AA1601" s="1">
        <v>21</v>
      </c>
      <c r="AB1601" s="1">
        <v>676000</v>
      </c>
      <c r="AC1601" s="1">
        <f t="shared" si="24"/>
        <v>736000</v>
      </c>
    </row>
    <row r="1602" spans="1:29" x14ac:dyDescent="0.25">
      <c r="A1602" s="1" t="s">
        <v>5605</v>
      </c>
      <c r="B1602" s="1" t="s">
        <v>5606</v>
      </c>
      <c r="C1602" s="1" t="s">
        <v>5607</v>
      </c>
      <c r="D1602" s="1">
        <v>2023</v>
      </c>
      <c r="E1602" s="1" t="s">
        <v>31</v>
      </c>
      <c r="F1602" s="1">
        <v>4</v>
      </c>
      <c r="G1602" s="1" t="s">
        <v>32</v>
      </c>
      <c r="H1602" s="1" t="s">
        <v>33</v>
      </c>
      <c r="I1602" s="1">
        <v>169000</v>
      </c>
      <c r="J1602" s="1">
        <v>154000</v>
      </c>
      <c r="K1602" s="1">
        <v>15000</v>
      </c>
      <c r="L1602" s="1">
        <v>0</v>
      </c>
      <c r="M1602" s="1" t="s">
        <v>34</v>
      </c>
      <c r="N1602" s="1" t="s">
        <v>63</v>
      </c>
      <c r="O1602" s="1" t="s">
        <v>78</v>
      </c>
      <c r="P1602" s="1" t="s">
        <v>79</v>
      </c>
      <c r="Q1602" s="1" t="s">
        <v>38</v>
      </c>
      <c r="R1602" s="1" t="s">
        <v>5608</v>
      </c>
      <c r="S1602" s="3">
        <v>918837000000</v>
      </c>
      <c r="T1602" s="1" t="s">
        <v>40</v>
      </c>
      <c r="U1602" s="1">
        <v>60</v>
      </c>
      <c r="V1602" s="1">
        <v>77</v>
      </c>
      <c r="W1602" s="1" t="s">
        <v>52</v>
      </c>
      <c r="X1602" s="1">
        <v>164638</v>
      </c>
      <c r="Y1602" s="2">
        <v>38701</v>
      </c>
      <c r="Z1602" s="1">
        <v>-14.8210262828535</v>
      </c>
      <c r="AA1602" s="1">
        <v>18</v>
      </c>
      <c r="AB1602" s="1">
        <v>676000</v>
      </c>
      <c r="AC1602" s="1">
        <f t="shared" si="24"/>
        <v>736000</v>
      </c>
    </row>
    <row r="1603" spans="1:29" x14ac:dyDescent="0.25">
      <c r="A1603" s="1" t="s">
        <v>5631</v>
      </c>
      <c r="B1603" s="1" t="s">
        <v>5632</v>
      </c>
      <c r="C1603" s="1" t="s">
        <v>5633</v>
      </c>
      <c r="D1603" s="1">
        <v>2023</v>
      </c>
      <c r="E1603" s="1" t="s">
        <v>31</v>
      </c>
      <c r="F1603" s="1">
        <v>4</v>
      </c>
      <c r="G1603" s="1" t="s">
        <v>32</v>
      </c>
      <c r="H1603" s="1" t="s">
        <v>102</v>
      </c>
      <c r="I1603" s="1">
        <v>169000</v>
      </c>
      <c r="J1603" s="1">
        <v>154000</v>
      </c>
      <c r="K1603" s="1">
        <v>15000</v>
      </c>
      <c r="L1603" s="1">
        <v>0</v>
      </c>
      <c r="M1603" s="1" t="s">
        <v>34</v>
      </c>
      <c r="N1603" s="1" t="s">
        <v>70</v>
      </c>
      <c r="O1603" s="1" t="s">
        <v>103</v>
      </c>
      <c r="P1603" s="1" t="s">
        <v>104</v>
      </c>
      <c r="Q1603" s="1" t="s">
        <v>38</v>
      </c>
      <c r="R1603" s="1" t="s">
        <v>5634</v>
      </c>
      <c r="S1603" s="3">
        <v>918693000000</v>
      </c>
      <c r="T1603" s="1" t="s">
        <v>86</v>
      </c>
      <c r="U1603" s="1">
        <v>60</v>
      </c>
      <c r="V1603" s="1">
        <v>70</v>
      </c>
      <c r="W1603" s="1" t="s">
        <v>41</v>
      </c>
      <c r="X1603" s="1">
        <v>675330</v>
      </c>
      <c r="Y1603" s="2">
        <v>36786</v>
      </c>
      <c r="Z1603" s="1">
        <v>-14.8210262828535</v>
      </c>
      <c r="AA1603" s="1">
        <v>23</v>
      </c>
      <c r="AB1603" s="1">
        <v>676000</v>
      </c>
      <c r="AC1603" s="1">
        <f t="shared" si="24"/>
        <v>736000</v>
      </c>
    </row>
  </sheetData>
  <mergeCells count="1">
    <mergeCell ref="D1:F3"/>
  </mergeCell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8"/>
  <sheetViews>
    <sheetView workbookViewId="0">
      <selection sqref="A1:AC8"/>
    </sheetView>
  </sheetViews>
  <sheetFormatPr defaultRowHeight="15" x14ac:dyDescent="0.25"/>
  <cols>
    <col min="1" max="1" width="15.85546875" customWidth="1"/>
    <col min="2" max="2" width="12.42578125" customWidth="1"/>
    <col min="3" max="3" width="20.7109375" customWidth="1"/>
    <col min="5" max="5" width="15" customWidth="1"/>
    <col min="6" max="6" width="17.5703125" customWidth="1"/>
    <col min="8" max="8" width="15.42578125" customWidth="1"/>
    <col min="9" max="9" width="23.85546875" customWidth="1"/>
    <col min="10" max="10" width="13.28515625" customWidth="1"/>
    <col min="11" max="11" width="12.42578125" customWidth="1"/>
    <col min="12" max="12" width="12.140625" customWidth="1"/>
    <col min="13" max="13" width="23.7109375" customWidth="1"/>
    <col min="14" max="14" width="12.5703125" customWidth="1"/>
    <col min="17" max="17" width="10.140625" customWidth="1"/>
    <col min="20" max="20" width="16.7109375" customWidth="1"/>
    <col min="21" max="22" width="17.42578125" customWidth="1"/>
    <col min="23" max="23" width="19.140625" customWidth="1"/>
    <col min="24" max="24" width="16.42578125" customWidth="1"/>
    <col min="25" max="25" width="14.28515625" customWidth="1"/>
    <col min="26" max="26" width="23.7109375" customWidth="1"/>
    <col min="28" max="28" width="12.140625" customWidth="1"/>
    <col min="29" max="29" width="39.85546875" customWidth="1"/>
  </cols>
  <sheetData>
    <row r="1" spans="1:29"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5648</v>
      </c>
    </row>
    <row r="2" spans="1:29" x14ac:dyDescent="0.25">
      <c r="A2" t="s">
        <v>1520</v>
      </c>
      <c r="B2" t="s">
        <v>1521</v>
      </c>
      <c r="C2" t="s">
        <v>1522</v>
      </c>
      <c r="D2">
        <v>2020</v>
      </c>
      <c r="E2" t="s">
        <v>31</v>
      </c>
      <c r="F2">
        <v>4</v>
      </c>
      <c r="G2" t="s">
        <v>32</v>
      </c>
      <c r="H2" t="s">
        <v>90</v>
      </c>
      <c r="I2">
        <v>169000</v>
      </c>
      <c r="J2">
        <v>154000</v>
      </c>
      <c r="K2">
        <v>15000</v>
      </c>
      <c r="L2">
        <v>0</v>
      </c>
      <c r="M2" t="s">
        <v>5649</v>
      </c>
      <c r="N2" t="s">
        <v>35</v>
      </c>
      <c r="O2" t="s">
        <v>84</v>
      </c>
      <c r="P2" t="s">
        <v>65</v>
      </c>
      <c r="Q2" t="s">
        <v>38</v>
      </c>
      <c r="R2" t="s">
        <v>1523</v>
      </c>
      <c r="S2">
        <v>917733000000</v>
      </c>
      <c r="T2" t="s">
        <v>51</v>
      </c>
      <c r="U2">
        <v>83</v>
      </c>
      <c r="V2">
        <v>69</v>
      </c>
      <c r="W2" t="s">
        <v>41</v>
      </c>
      <c r="X2">
        <v>326446</v>
      </c>
      <c r="Y2" s="20">
        <v>38472</v>
      </c>
      <c r="Z2">
        <v>8.1789737171464303</v>
      </c>
      <c r="AA2">
        <v>19</v>
      </c>
      <c r="AB2">
        <v>676000</v>
      </c>
      <c r="AC2">
        <v>736000</v>
      </c>
    </row>
    <row r="3" spans="1:29" x14ac:dyDescent="0.25">
      <c r="A3" t="s">
        <v>758</v>
      </c>
      <c r="B3" t="s">
        <v>759</v>
      </c>
      <c r="C3" t="s">
        <v>760</v>
      </c>
      <c r="D3">
        <v>2020</v>
      </c>
      <c r="E3" t="s">
        <v>45</v>
      </c>
      <c r="F3">
        <v>2</v>
      </c>
      <c r="G3" t="s">
        <v>46</v>
      </c>
      <c r="H3" t="s">
        <v>62</v>
      </c>
      <c r="I3">
        <v>92000</v>
      </c>
      <c r="J3">
        <v>77000</v>
      </c>
      <c r="K3">
        <v>15000</v>
      </c>
      <c r="L3">
        <v>0</v>
      </c>
      <c r="M3" t="s">
        <v>5649</v>
      </c>
      <c r="N3" t="s">
        <v>63</v>
      </c>
      <c r="O3" t="s">
        <v>188</v>
      </c>
      <c r="P3" t="s">
        <v>189</v>
      </c>
      <c r="Q3" t="s">
        <v>38</v>
      </c>
      <c r="R3" t="s">
        <v>761</v>
      </c>
      <c r="S3">
        <v>917419000000</v>
      </c>
      <c r="T3" t="s">
        <v>74</v>
      </c>
      <c r="U3">
        <v>87</v>
      </c>
      <c r="V3">
        <v>82</v>
      </c>
      <c r="W3" t="s">
        <v>41</v>
      </c>
      <c r="X3">
        <v>208438</v>
      </c>
      <c r="Y3" s="20">
        <v>35820</v>
      </c>
      <c r="Z3">
        <v>12.1789737171464</v>
      </c>
      <c r="AA3">
        <v>26</v>
      </c>
      <c r="AB3">
        <v>184000</v>
      </c>
      <c r="AC3">
        <v>214000</v>
      </c>
    </row>
    <row r="4" spans="1:29" x14ac:dyDescent="0.25">
      <c r="A4" t="s">
        <v>754</v>
      </c>
      <c r="B4" t="s">
        <v>755</v>
      </c>
      <c r="C4" t="s">
        <v>756</v>
      </c>
      <c r="D4">
        <v>2020</v>
      </c>
      <c r="E4" t="s">
        <v>31</v>
      </c>
      <c r="F4">
        <v>4</v>
      </c>
      <c r="G4" t="s">
        <v>32</v>
      </c>
      <c r="H4" t="s">
        <v>33</v>
      </c>
      <c r="I4">
        <v>169000</v>
      </c>
      <c r="J4">
        <v>154000</v>
      </c>
      <c r="K4">
        <v>15000</v>
      </c>
      <c r="L4">
        <v>0</v>
      </c>
      <c r="M4" t="s">
        <v>5649</v>
      </c>
      <c r="N4" t="s">
        <v>70</v>
      </c>
      <c r="O4" t="s">
        <v>36</v>
      </c>
      <c r="P4" t="s">
        <v>37</v>
      </c>
      <c r="Q4" t="s">
        <v>38</v>
      </c>
      <c r="R4" t="s">
        <v>757</v>
      </c>
      <c r="S4">
        <v>918504000000</v>
      </c>
      <c r="T4" t="s">
        <v>86</v>
      </c>
      <c r="U4">
        <v>87</v>
      </c>
      <c r="V4">
        <v>66</v>
      </c>
      <c r="W4" t="s">
        <v>52</v>
      </c>
      <c r="X4">
        <v>771217</v>
      </c>
      <c r="Y4" s="20">
        <v>37332</v>
      </c>
      <c r="Z4">
        <v>12.1789737171464</v>
      </c>
      <c r="AA4">
        <v>22</v>
      </c>
      <c r="AB4">
        <v>676000</v>
      </c>
      <c r="AC4">
        <v>736000</v>
      </c>
    </row>
    <row r="5" spans="1:29" x14ac:dyDescent="0.25">
      <c r="A5" t="s">
        <v>750</v>
      </c>
      <c r="B5" t="s">
        <v>751</v>
      </c>
      <c r="C5" t="s">
        <v>752</v>
      </c>
      <c r="D5">
        <v>2020</v>
      </c>
      <c r="E5" t="s">
        <v>31</v>
      </c>
      <c r="F5">
        <v>4</v>
      </c>
      <c r="G5" t="s">
        <v>32</v>
      </c>
      <c r="H5" t="s">
        <v>62</v>
      </c>
      <c r="I5">
        <v>169000</v>
      </c>
      <c r="J5">
        <v>154000</v>
      </c>
      <c r="K5">
        <v>15000</v>
      </c>
      <c r="L5">
        <v>0</v>
      </c>
      <c r="M5" t="s">
        <v>5649</v>
      </c>
      <c r="N5" t="s">
        <v>70</v>
      </c>
      <c r="O5" t="s">
        <v>71</v>
      </c>
      <c r="P5" t="s">
        <v>72</v>
      </c>
      <c r="Q5" t="s">
        <v>38</v>
      </c>
      <c r="R5" t="s">
        <v>753</v>
      </c>
      <c r="S5">
        <v>918341000000</v>
      </c>
      <c r="T5" t="s">
        <v>74</v>
      </c>
      <c r="U5">
        <v>87</v>
      </c>
      <c r="V5">
        <v>90</v>
      </c>
      <c r="W5" t="s">
        <v>41</v>
      </c>
      <c r="X5">
        <v>421580</v>
      </c>
      <c r="Y5" s="20">
        <v>37780</v>
      </c>
      <c r="Z5">
        <v>12.1789737171464</v>
      </c>
      <c r="AA5">
        <v>21</v>
      </c>
      <c r="AB5">
        <v>676000</v>
      </c>
      <c r="AC5">
        <v>736000</v>
      </c>
    </row>
    <row r="6" spans="1:29" x14ac:dyDescent="0.25">
      <c r="A6" t="s">
        <v>746</v>
      </c>
      <c r="B6" t="s">
        <v>747</v>
      </c>
      <c r="C6" t="s">
        <v>748</v>
      </c>
      <c r="D6">
        <v>2020</v>
      </c>
      <c r="E6" t="s">
        <v>31</v>
      </c>
      <c r="F6">
        <v>4</v>
      </c>
      <c r="G6" t="s">
        <v>32</v>
      </c>
      <c r="H6" t="s">
        <v>210</v>
      </c>
      <c r="I6">
        <v>169000</v>
      </c>
      <c r="J6">
        <v>154000</v>
      </c>
      <c r="K6">
        <v>15000</v>
      </c>
      <c r="L6">
        <v>0</v>
      </c>
      <c r="M6" t="s">
        <v>5649</v>
      </c>
      <c r="N6" t="s">
        <v>35</v>
      </c>
      <c r="O6" t="s">
        <v>48</v>
      </c>
      <c r="P6" t="s">
        <v>49</v>
      </c>
      <c r="Q6" t="s">
        <v>38</v>
      </c>
      <c r="R6" t="s">
        <v>749</v>
      </c>
      <c r="S6">
        <v>919818000000</v>
      </c>
      <c r="T6" t="s">
        <v>86</v>
      </c>
      <c r="U6">
        <v>87</v>
      </c>
      <c r="V6">
        <v>72</v>
      </c>
      <c r="W6" t="s">
        <v>41</v>
      </c>
      <c r="X6">
        <v>581731</v>
      </c>
      <c r="Y6" s="20">
        <v>38349</v>
      </c>
      <c r="Z6">
        <v>12.1789737171464</v>
      </c>
      <c r="AA6">
        <v>19</v>
      </c>
      <c r="AB6">
        <v>676000</v>
      </c>
      <c r="AC6">
        <v>736000</v>
      </c>
    </row>
    <row r="7" spans="1:29" x14ac:dyDescent="0.25">
      <c r="A7" t="s">
        <v>456</v>
      </c>
      <c r="B7" t="s">
        <v>457</v>
      </c>
      <c r="C7" t="s">
        <v>458</v>
      </c>
      <c r="D7">
        <v>2020</v>
      </c>
      <c r="E7" t="s">
        <v>31</v>
      </c>
      <c r="F7">
        <v>4</v>
      </c>
      <c r="G7" t="s">
        <v>32</v>
      </c>
      <c r="H7" t="s">
        <v>122</v>
      </c>
      <c r="I7">
        <v>169000</v>
      </c>
      <c r="J7">
        <v>154000</v>
      </c>
      <c r="K7">
        <v>15000</v>
      </c>
      <c r="L7">
        <v>0</v>
      </c>
      <c r="M7" t="s">
        <v>5649</v>
      </c>
      <c r="N7" t="s">
        <v>70</v>
      </c>
      <c r="O7" t="s">
        <v>48</v>
      </c>
      <c r="P7" t="s">
        <v>49</v>
      </c>
      <c r="Q7" t="s">
        <v>38</v>
      </c>
      <c r="R7" t="s">
        <v>459</v>
      </c>
      <c r="S7">
        <v>918462000000</v>
      </c>
      <c r="T7" t="s">
        <v>86</v>
      </c>
      <c r="U7">
        <v>89</v>
      </c>
      <c r="V7">
        <v>85</v>
      </c>
      <c r="W7" t="s">
        <v>52</v>
      </c>
      <c r="X7">
        <v>508877</v>
      </c>
      <c r="Y7" s="20">
        <v>38735</v>
      </c>
      <c r="Z7">
        <v>14.1789737171464</v>
      </c>
      <c r="AA7">
        <v>18</v>
      </c>
      <c r="AB7">
        <v>676000</v>
      </c>
      <c r="AC7">
        <v>736000</v>
      </c>
    </row>
    <row r="8" spans="1:29" x14ac:dyDescent="0.25">
      <c r="A8" t="s">
        <v>106</v>
      </c>
      <c r="B8" t="s">
        <v>107</v>
      </c>
      <c r="C8" t="s">
        <v>108</v>
      </c>
      <c r="D8">
        <v>2020</v>
      </c>
      <c r="E8" t="s">
        <v>31</v>
      </c>
      <c r="F8">
        <v>4</v>
      </c>
      <c r="G8" t="s">
        <v>32</v>
      </c>
      <c r="H8" t="s">
        <v>62</v>
      </c>
      <c r="I8">
        <v>169000</v>
      </c>
      <c r="J8">
        <v>154000</v>
      </c>
      <c r="K8">
        <v>15000</v>
      </c>
      <c r="L8">
        <v>0</v>
      </c>
      <c r="M8" t="s">
        <v>5649</v>
      </c>
      <c r="N8" t="s">
        <v>70</v>
      </c>
      <c r="O8" t="s">
        <v>48</v>
      </c>
      <c r="P8" t="s">
        <v>49</v>
      </c>
      <c r="Q8" t="s">
        <v>38</v>
      </c>
      <c r="R8" t="s">
        <v>109</v>
      </c>
      <c r="S8">
        <v>919832000000</v>
      </c>
      <c r="T8" t="s">
        <v>86</v>
      </c>
      <c r="U8">
        <v>90</v>
      </c>
      <c r="V8">
        <v>65</v>
      </c>
      <c r="W8" t="s">
        <v>52</v>
      </c>
      <c r="X8">
        <v>162264</v>
      </c>
      <c r="Y8" s="20">
        <v>38036</v>
      </c>
      <c r="Z8">
        <v>15.1789737171464</v>
      </c>
      <c r="AA8">
        <v>20</v>
      </c>
      <c r="AB8">
        <v>676000</v>
      </c>
      <c r="AC8">
        <v>736000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H16"/>
  <sheetViews>
    <sheetView workbookViewId="0">
      <selection activeCell="F14" sqref="F14"/>
    </sheetView>
  </sheetViews>
  <sheetFormatPr defaultRowHeight="15" x14ac:dyDescent="0.25"/>
  <cols>
    <col min="2" max="2" width="26" customWidth="1"/>
    <col min="3" max="3" width="34.85546875" customWidth="1"/>
    <col min="4" max="4" width="49.5703125" customWidth="1"/>
    <col min="5" max="5" width="49.7109375" customWidth="1"/>
    <col min="7" max="7" width="10.140625" customWidth="1"/>
    <col min="8" max="8" width="8.28515625" customWidth="1"/>
  </cols>
  <sheetData>
    <row r="4" spans="1:8" x14ac:dyDescent="0.25">
      <c r="A4" t="s">
        <v>3</v>
      </c>
      <c r="B4" t="s">
        <v>5650</v>
      </c>
      <c r="C4" t="s">
        <v>5684</v>
      </c>
      <c r="D4" t="s">
        <v>5685</v>
      </c>
      <c r="E4" t="s">
        <v>5686</v>
      </c>
      <c r="G4" t="s">
        <v>5687</v>
      </c>
      <c r="H4" t="s">
        <v>5688</v>
      </c>
    </row>
    <row r="5" spans="1:8" x14ac:dyDescent="0.25">
      <c r="A5" s="27">
        <v>2018</v>
      </c>
      <c r="B5" s="27">
        <v>260</v>
      </c>
      <c r="G5" t="s">
        <v>5689</v>
      </c>
      <c r="H5" s="29">
        <f>_xlfn.FORECAST.ETS.STAT($B$5:$B$10,$A$5:$A$10,1,1,1)</f>
        <v>0.9</v>
      </c>
    </row>
    <row r="6" spans="1:8" x14ac:dyDescent="0.25">
      <c r="A6" s="27">
        <v>2019</v>
      </c>
      <c r="B6" s="27">
        <v>249</v>
      </c>
      <c r="G6" t="s">
        <v>5690</v>
      </c>
      <c r="H6" s="29">
        <f>_xlfn.FORECAST.ETS.STAT($B$5:$B$10,$A$5:$A$10,2,1,1)</f>
        <v>1E-3</v>
      </c>
    </row>
    <row r="7" spans="1:8" x14ac:dyDescent="0.25">
      <c r="A7" s="27">
        <v>2020</v>
      </c>
      <c r="B7" s="27">
        <v>279</v>
      </c>
      <c r="G7" t="s">
        <v>5691</v>
      </c>
      <c r="H7" s="29">
        <f>_xlfn.FORECAST.ETS.STAT($B$5:$B$10,$A$5:$A$10,3,1,1)</f>
        <v>9.9000000000000005E-2</v>
      </c>
    </row>
    <row r="8" spans="1:8" x14ac:dyDescent="0.25">
      <c r="A8" s="27">
        <v>2021</v>
      </c>
      <c r="B8" s="27">
        <v>264</v>
      </c>
      <c r="G8" t="s">
        <v>5692</v>
      </c>
      <c r="H8" s="29">
        <f>_xlfn.FORECAST.ETS.STAT($B$5:$B$10,$A$5:$A$10,4,1,1)</f>
        <v>0.19922639338009485</v>
      </c>
    </row>
    <row r="9" spans="1:8" x14ac:dyDescent="0.25">
      <c r="A9" s="27">
        <v>2022</v>
      </c>
      <c r="B9" s="27">
        <v>281</v>
      </c>
      <c r="G9" t="s">
        <v>5693</v>
      </c>
      <c r="H9" s="29">
        <f>_xlfn.FORECAST.ETS.STAT($B$5:$B$10,$A$5:$A$10,5,1,1)</f>
        <v>1.3185172314021089E-2</v>
      </c>
    </row>
    <row r="10" spans="1:8" x14ac:dyDescent="0.25">
      <c r="A10" s="27">
        <v>2023</v>
      </c>
      <c r="B10" s="27">
        <v>265</v>
      </c>
      <c r="C10" s="27">
        <v>265</v>
      </c>
      <c r="D10" s="28">
        <v>265</v>
      </c>
      <c r="E10" s="28">
        <v>265</v>
      </c>
      <c r="G10" t="s">
        <v>5694</v>
      </c>
      <c r="H10" s="29">
        <f>_xlfn.FORECAST.ETS.STAT($B$5:$B$10,$A$5:$A$10,6,1,1)</f>
        <v>3.5462298021656884</v>
      </c>
    </row>
    <row r="11" spans="1:8" x14ac:dyDescent="0.25">
      <c r="A11" s="27">
        <v>2024</v>
      </c>
      <c r="C11" s="27">
        <f t="shared" ref="C11:C16" si="0">_xlfn.FORECAST.ETS(A11,$B$5:$B$10,$A$5:$A$10,1,1)</f>
        <v>289.28033423452365</v>
      </c>
      <c r="D11" s="28">
        <f t="shared" ref="D11:D16" si="1">C11-_xlfn.FORECAST.ETS.CONFINT(A11,$B$5:$B$10,$A$5:$A$10,0.95,1,1)</f>
        <v>280.09562835820793</v>
      </c>
      <c r="E11" s="28">
        <f t="shared" ref="E11:E16" si="2">C11+_xlfn.FORECAST.ETS.CONFINT(A11,$B$5:$B$10,$A$5:$A$10,0.95,1,1)</f>
        <v>298.46504011083937</v>
      </c>
      <c r="G11" t="s">
        <v>5695</v>
      </c>
      <c r="H11" s="29">
        <f>_xlfn.FORECAST.ETS.STAT($B$5:$B$10,$A$5:$A$10,7,1,1)</f>
        <v>4.6861605359912195</v>
      </c>
    </row>
    <row r="12" spans="1:8" x14ac:dyDescent="0.25">
      <c r="A12" s="27">
        <v>2025</v>
      </c>
      <c r="C12" s="27">
        <f t="shared" si="0"/>
        <v>273.38488565483738</v>
      </c>
      <c r="D12" s="28">
        <f t="shared" si="1"/>
        <v>261.02198154128871</v>
      </c>
      <c r="E12" s="28">
        <f t="shared" si="2"/>
        <v>285.74778976838604</v>
      </c>
    </row>
    <row r="13" spans="1:8" x14ac:dyDescent="0.25">
      <c r="A13" s="27">
        <v>2026</v>
      </c>
      <c r="C13" s="27">
        <f t="shared" si="0"/>
        <v>297.66509475064765</v>
      </c>
      <c r="D13" s="28">
        <f t="shared" si="1"/>
        <v>282.25830981159828</v>
      </c>
      <c r="E13" s="28">
        <f t="shared" si="2"/>
        <v>313.07187968969703</v>
      </c>
    </row>
    <row r="14" spans="1:8" x14ac:dyDescent="0.25">
      <c r="A14" s="27">
        <v>2027</v>
      </c>
      <c r="C14" s="27">
        <f t="shared" si="0"/>
        <v>281.76964617096138</v>
      </c>
      <c r="D14" s="28">
        <f t="shared" si="1"/>
        <v>264.27233309510916</v>
      </c>
      <c r="E14" s="28">
        <f t="shared" si="2"/>
        <v>299.2669592468136</v>
      </c>
    </row>
    <row r="15" spans="1:8" x14ac:dyDescent="0.25">
      <c r="A15" s="27">
        <v>2028</v>
      </c>
      <c r="C15" s="27">
        <f t="shared" si="0"/>
        <v>306.04985526677166</v>
      </c>
      <c r="D15" s="28">
        <f t="shared" si="1"/>
        <v>286.27558665651901</v>
      </c>
      <c r="E15" s="28">
        <f t="shared" si="2"/>
        <v>325.82412387702431</v>
      </c>
    </row>
    <row r="16" spans="1:8" x14ac:dyDescent="0.25">
      <c r="A16" s="27">
        <v>2029</v>
      </c>
      <c r="C16" s="27">
        <f t="shared" si="0"/>
        <v>290.15440668708538</v>
      </c>
      <c r="D16" s="28">
        <f t="shared" si="1"/>
        <v>268.7041460059848</v>
      </c>
      <c r="E16" s="28">
        <f t="shared" si="2"/>
        <v>311.60466736818597</v>
      </c>
    </row>
  </sheetData>
  <pageMargins left="0.7" right="0.7" top="0.75" bottom="0.75" header="0.3" footer="0.3"/>
  <drawing r:id="rId1"/>
  <picture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8:I46"/>
  <sheetViews>
    <sheetView showGridLines="0" zoomScaleNormal="100" workbookViewId="0">
      <selection activeCell="A10" sqref="A10:B16"/>
    </sheetView>
  </sheetViews>
  <sheetFormatPr defaultRowHeight="15" x14ac:dyDescent="0.25"/>
  <cols>
    <col min="1" max="1" width="7.28515625" customWidth="1"/>
    <col min="2" max="3" width="25.85546875" customWidth="1"/>
    <col min="4" max="4" width="13.140625" customWidth="1"/>
    <col min="5" max="6" width="17" customWidth="1"/>
    <col min="7" max="7" width="24.28515625" customWidth="1"/>
    <col min="8" max="8" width="16.7109375" customWidth="1"/>
    <col min="9" max="9" width="25.140625" customWidth="1"/>
  </cols>
  <sheetData>
    <row r="8" spans="1:6" x14ac:dyDescent="0.25">
      <c r="B8" t="s">
        <v>5651</v>
      </c>
    </row>
    <row r="9" spans="1:6" x14ac:dyDescent="0.25">
      <c r="D9" t="s">
        <v>5668</v>
      </c>
    </row>
    <row r="10" spans="1:6" x14ac:dyDescent="0.25">
      <c r="A10" s="4" t="s">
        <v>3</v>
      </c>
      <c r="B10" t="s">
        <v>5650</v>
      </c>
      <c r="D10" s="4" t="s">
        <v>5663</v>
      </c>
      <c r="E10" s="4" t="s">
        <v>4</v>
      </c>
    </row>
    <row r="11" spans="1:6" x14ac:dyDescent="0.25">
      <c r="A11">
        <v>2018</v>
      </c>
      <c r="B11" s="5">
        <v>260</v>
      </c>
      <c r="D11" s="4" t="s">
        <v>7</v>
      </c>
      <c r="E11" t="s">
        <v>31</v>
      </c>
      <c r="F11" t="s">
        <v>45</v>
      </c>
    </row>
    <row r="12" spans="1:6" x14ac:dyDescent="0.25">
      <c r="A12">
        <v>2019</v>
      </c>
      <c r="B12" s="5">
        <v>249</v>
      </c>
      <c r="D12" t="s">
        <v>33</v>
      </c>
      <c r="E12" s="5">
        <v>137</v>
      </c>
      <c r="F12" s="5">
        <v>66</v>
      </c>
    </row>
    <row r="13" spans="1:6" x14ac:dyDescent="0.25">
      <c r="A13">
        <v>2020</v>
      </c>
      <c r="B13" s="5">
        <v>279</v>
      </c>
      <c r="D13" t="s">
        <v>47</v>
      </c>
      <c r="E13" s="5">
        <v>114</v>
      </c>
      <c r="F13" s="5">
        <v>66</v>
      </c>
    </row>
    <row r="14" spans="1:6" x14ac:dyDescent="0.25">
      <c r="A14">
        <v>2021</v>
      </c>
      <c r="B14" s="5">
        <v>264</v>
      </c>
      <c r="D14" t="s">
        <v>102</v>
      </c>
      <c r="E14" s="5">
        <v>127</v>
      </c>
      <c r="F14" s="5">
        <v>57</v>
      </c>
    </row>
    <row r="15" spans="1:6" x14ac:dyDescent="0.25">
      <c r="A15">
        <v>2022</v>
      </c>
      <c r="B15" s="5">
        <v>281</v>
      </c>
      <c r="D15" t="s">
        <v>56</v>
      </c>
      <c r="E15" s="5">
        <v>114</v>
      </c>
      <c r="F15" s="5"/>
    </row>
    <row r="16" spans="1:6" x14ac:dyDescent="0.25">
      <c r="A16">
        <v>2023</v>
      </c>
      <c r="B16" s="5">
        <v>265</v>
      </c>
      <c r="D16" t="s">
        <v>62</v>
      </c>
      <c r="E16" s="5">
        <v>126</v>
      </c>
      <c r="F16" s="5">
        <v>72</v>
      </c>
    </row>
    <row r="17" spans="1:8" x14ac:dyDescent="0.25">
      <c r="D17" t="s">
        <v>90</v>
      </c>
      <c r="E17" s="5">
        <v>130</v>
      </c>
      <c r="F17" s="5">
        <v>72</v>
      </c>
    </row>
    <row r="18" spans="1:8" x14ac:dyDescent="0.25">
      <c r="D18" t="s">
        <v>210</v>
      </c>
      <c r="E18" s="5">
        <v>116</v>
      </c>
      <c r="F18" s="5"/>
    </row>
    <row r="19" spans="1:8" x14ac:dyDescent="0.25">
      <c r="D19" t="s">
        <v>151</v>
      </c>
      <c r="E19" s="5">
        <v>111</v>
      </c>
      <c r="F19" s="5"/>
    </row>
    <row r="20" spans="1:8" x14ac:dyDescent="0.25">
      <c r="D20" t="s">
        <v>122</v>
      </c>
      <c r="E20" s="5">
        <v>95</v>
      </c>
      <c r="F20" s="5"/>
    </row>
    <row r="21" spans="1:8" x14ac:dyDescent="0.25">
      <c r="A21" t="s">
        <v>5653</v>
      </c>
      <c r="D21" t="s">
        <v>113</v>
      </c>
      <c r="E21" s="5">
        <v>129</v>
      </c>
      <c r="F21" s="5">
        <v>66</v>
      </c>
    </row>
    <row r="22" spans="1:8" x14ac:dyDescent="0.25">
      <c r="A22" s="23" t="s">
        <v>3</v>
      </c>
      <c r="B22" s="24" t="s">
        <v>5652</v>
      </c>
    </row>
    <row r="23" spans="1:8" x14ac:dyDescent="0.25">
      <c r="A23" s="22" t="s">
        <v>31</v>
      </c>
      <c r="B23" s="5">
        <v>1199</v>
      </c>
      <c r="D23" t="s">
        <v>5670</v>
      </c>
      <c r="G23" t="s">
        <v>5671</v>
      </c>
    </row>
    <row r="24" spans="1:8" x14ac:dyDescent="0.25">
      <c r="A24" s="22" t="s">
        <v>45</v>
      </c>
      <c r="B24" s="5">
        <v>399</v>
      </c>
      <c r="D24" s="4" t="s">
        <v>14</v>
      </c>
      <c r="E24" t="s">
        <v>5664</v>
      </c>
      <c r="G24" s="4" t="s">
        <v>13</v>
      </c>
      <c r="H24" t="s">
        <v>5672</v>
      </c>
    </row>
    <row r="25" spans="1:8" x14ac:dyDescent="0.25">
      <c r="G25" t="s">
        <v>35</v>
      </c>
      <c r="H25" s="5">
        <v>546</v>
      </c>
    </row>
    <row r="26" spans="1:8" x14ac:dyDescent="0.25">
      <c r="B26" t="s">
        <v>5660</v>
      </c>
      <c r="D26" s="4" t="s">
        <v>15</v>
      </c>
      <c r="E26" t="s">
        <v>5665</v>
      </c>
      <c r="G26" t="s">
        <v>70</v>
      </c>
      <c r="H26" s="5">
        <v>511</v>
      </c>
    </row>
    <row r="27" spans="1:8" x14ac:dyDescent="0.25">
      <c r="A27" s="4" t="s">
        <v>26</v>
      </c>
      <c r="B27" t="s">
        <v>5654</v>
      </c>
      <c r="D27" t="s">
        <v>57</v>
      </c>
      <c r="E27" s="5">
        <v>175</v>
      </c>
      <c r="G27" t="s">
        <v>63</v>
      </c>
      <c r="H27" s="5">
        <v>541</v>
      </c>
    </row>
    <row r="28" spans="1:8" x14ac:dyDescent="0.25">
      <c r="A28" t="s">
        <v>5655</v>
      </c>
      <c r="B28" s="5">
        <v>397</v>
      </c>
      <c r="D28" t="s">
        <v>49</v>
      </c>
      <c r="E28" s="5">
        <v>165</v>
      </c>
    </row>
    <row r="29" spans="1:8" x14ac:dyDescent="0.25">
      <c r="A29" t="s">
        <v>5656</v>
      </c>
      <c r="B29" s="5">
        <v>404</v>
      </c>
      <c r="D29" t="s">
        <v>79</v>
      </c>
      <c r="E29" s="5">
        <v>172</v>
      </c>
      <c r="H29" t="s">
        <v>5680</v>
      </c>
    </row>
    <row r="30" spans="1:8" x14ac:dyDescent="0.25">
      <c r="A30" t="s">
        <v>5657</v>
      </c>
      <c r="B30" s="5">
        <v>509</v>
      </c>
      <c r="D30" t="s">
        <v>65</v>
      </c>
      <c r="E30" s="5">
        <v>309</v>
      </c>
      <c r="G30" s="4" t="s">
        <v>12</v>
      </c>
      <c r="H30" t="s">
        <v>5682</v>
      </c>
    </row>
    <row r="31" spans="1:8" x14ac:dyDescent="0.25">
      <c r="A31" t="s">
        <v>5658</v>
      </c>
      <c r="B31" s="5">
        <v>142</v>
      </c>
      <c r="D31" t="s">
        <v>189</v>
      </c>
      <c r="E31" s="5">
        <v>145</v>
      </c>
      <c r="G31" t="s">
        <v>5649</v>
      </c>
      <c r="H31" s="25">
        <v>2.5657071339173967E-2</v>
      </c>
    </row>
    <row r="32" spans="1:8" x14ac:dyDescent="0.25">
      <c r="A32" t="s">
        <v>5659</v>
      </c>
      <c r="B32" s="5">
        <v>146</v>
      </c>
      <c r="D32" t="s">
        <v>92</v>
      </c>
      <c r="E32" s="5">
        <v>156</v>
      </c>
      <c r="G32" t="s">
        <v>34</v>
      </c>
      <c r="H32" s="25">
        <v>0.97434292866082606</v>
      </c>
    </row>
    <row r="33" spans="1:9" x14ac:dyDescent="0.25">
      <c r="D33" t="s">
        <v>37</v>
      </c>
      <c r="E33" s="5">
        <v>180</v>
      </c>
    </row>
    <row r="34" spans="1:9" x14ac:dyDescent="0.25">
      <c r="D34" t="s">
        <v>104</v>
      </c>
      <c r="E34" s="5">
        <v>139</v>
      </c>
    </row>
    <row r="35" spans="1:9" x14ac:dyDescent="0.25">
      <c r="B35" t="s">
        <v>5669</v>
      </c>
      <c r="D35" t="s">
        <v>72</v>
      </c>
      <c r="E35" s="5">
        <v>157</v>
      </c>
    </row>
    <row r="36" spans="1:9" x14ac:dyDescent="0.25">
      <c r="A36" s="4" t="s">
        <v>3</v>
      </c>
      <c r="B36" t="s">
        <v>5661</v>
      </c>
      <c r="C36" t="s">
        <v>5662</v>
      </c>
    </row>
    <row r="37" spans="1:9" x14ac:dyDescent="0.25">
      <c r="A37">
        <v>2018</v>
      </c>
      <c r="B37" s="5">
        <v>75.33461538461539</v>
      </c>
      <c r="C37" s="5">
        <v>75.711538461538467</v>
      </c>
    </row>
    <row r="38" spans="1:9" x14ac:dyDescent="0.25">
      <c r="A38">
        <v>2019</v>
      </c>
      <c r="B38" s="5">
        <v>74.959839357429715</v>
      </c>
      <c r="C38" s="5">
        <v>76.53413654618474</v>
      </c>
      <c r="E38" t="s">
        <v>5667</v>
      </c>
      <c r="H38" t="s">
        <v>5681</v>
      </c>
    </row>
    <row r="39" spans="1:9" x14ac:dyDescent="0.25">
      <c r="A39">
        <v>2020</v>
      </c>
      <c r="B39" s="5">
        <v>74.745519713261643</v>
      </c>
      <c r="C39" s="5">
        <v>75.060931899641574</v>
      </c>
      <c r="E39" s="4" t="s">
        <v>19</v>
      </c>
      <c r="F39" t="s">
        <v>5666</v>
      </c>
      <c r="H39" s="4" t="s">
        <v>23</v>
      </c>
      <c r="I39" t="s">
        <v>5683</v>
      </c>
    </row>
    <row r="40" spans="1:9" x14ac:dyDescent="0.25">
      <c r="A40">
        <v>2021</v>
      </c>
      <c r="B40" s="5">
        <v>74.772727272727266</v>
      </c>
      <c r="C40" s="5">
        <v>75.159090909090907</v>
      </c>
      <c r="E40" t="s">
        <v>51</v>
      </c>
      <c r="F40" s="5">
        <v>334</v>
      </c>
      <c r="H40" t="s">
        <v>5673</v>
      </c>
      <c r="I40" s="25">
        <v>0.14580725907384232</v>
      </c>
    </row>
    <row r="41" spans="1:9" x14ac:dyDescent="0.25">
      <c r="A41">
        <v>2022</v>
      </c>
      <c r="B41" s="5">
        <v>74.92526690391459</v>
      </c>
      <c r="C41" s="5">
        <v>76.45195729537366</v>
      </c>
      <c r="E41" t="s">
        <v>74</v>
      </c>
      <c r="F41" s="5">
        <v>296</v>
      </c>
      <c r="H41" t="s">
        <v>5674</v>
      </c>
      <c r="I41" s="25">
        <v>0.14267834793491865</v>
      </c>
    </row>
    <row r="42" spans="1:9" x14ac:dyDescent="0.25">
      <c r="A42">
        <v>2023</v>
      </c>
      <c r="B42" s="5">
        <v>74.203773584905662</v>
      </c>
      <c r="C42" s="5">
        <v>77.064150943396228</v>
      </c>
      <c r="E42" t="s">
        <v>86</v>
      </c>
      <c r="F42" s="5">
        <v>302</v>
      </c>
      <c r="H42" t="s">
        <v>5675</v>
      </c>
      <c r="I42" s="25">
        <v>0.14455569461827283</v>
      </c>
    </row>
    <row r="43" spans="1:9" x14ac:dyDescent="0.25">
      <c r="E43" t="s">
        <v>40</v>
      </c>
      <c r="F43" s="5">
        <v>321</v>
      </c>
      <c r="H43" t="s">
        <v>5676</v>
      </c>
      <c r="I43" s="25">
        <v>0.15644555694618273</v>
      </c>
    </row>
    <row r="44" spans="1:9" x14ac:dyDescent="0.25">
      <c r="E44" t="s">
        <v>98</v>
      </c>
      <c r="F44" s="5">
        <v>345</v>
      </c>
      <c r="H44" t="s">
        <v>5677</v>
      </c>
      <c r="I44" s="25">
        <v>0.14205256570713393</v>
      </c>
    </row>
    <row r="45" spans="1:9" x14ac:dyDescent="0.25">
      <c r="H45" t="s">
        <v>5678</v>
      </c>
      <c r="I45" s="25">
        <v>0.12390488110137672</v>
      </c>
    </row>
    <row r="46" spans="1:9" x14ac:dyDescent="0.25">
      <c r="H46" t="s">
        <v>5679</v>
      </c>
      <c r="I46" s="25">
        <v>0.14455569461827283</v>
      </c>
    </row>
  </sheetData>
  <pageMargins left="0.7" right="0.7" top="0.75" bottom="0.75" header="0.3" footer="0.3"/>
  <pageSetup paperSize="9" orientation="portrait" r:id="rId11"/>
  <picture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Y27"/>
  <sheetViews>
    <sheetView showGridLines="0" tabSelected="1" zoomScale="85" zoomScaleNormal="85" workbookViewId="0">
      <selection activeCell="U3" sqref="U3"/>
    </sheetView>
  </sheetViews>
  <sheetFormatPr defaultRowHeight="15" x14ac:dyDescent="0.25"/>
  <cols>
    <col min="1" max="16384" width="9.140625" style="6"/>
  </cols>
  <sheetData>
    <row r="4" spans="1:25" ht="15.75" thickBot="1" x14ac:dyDescent="0.3"/>
    <row r="5" spans="1:25" x14ac:dyDescent="0.25">
      <c r="A5" s="7"/>
      <c r="B5" s="8"/>
    </row>
    <row r="6" spans="1:25" ht="15.75" thickBot="1" x14ac:dyDescent="0.3">
      <c r="A6" s="9"/>
      <c r="B6" s="10"/>
      <c r="T6" s="19"/>
    </row>
    <row r="7" spans="1:25" ht="17.25" thickBot="1" x14ac:dyDescent="0.35">
      <c r="A7" s="9"/>
      <c r="B7" s="10"/>
      <c r="S7" s="16"/>
      <c r="T7" s="15"/>
    </row>
    <row r="8" spans="1:25" ht="16.5" x14ac:dyDescent="0.3">
      <c r="A8" s="9"/>
      <c r="B8" s="10"/>
      <c r="S8" s="17"/>
      <c r="T8" s="18"/>
    </row>
    <row r="9" spans="1:25" ht="22.5" x14ac:dyDescent="0.45">
      <c r="A9" s="9"/>
      <c r="B9" s="10"/>
      <c r="V9" s="13"/>
    </row>
    <row r="10" spans="1:25" ht="18.75" x14ac:dyDescent="0.3">
      <c r="A10" s="9"/>
      <c r="B10" s="10"/>
      <c r="V10" s="14"/>
      <c r="Y10" s="26"/>
    </row>
    <row r="11" spans="1:25" x14ac:dyDescent="0.25">
      <c r="A11" s="9"/>
      <c r="B11" s="10"/>
      <c r="W11" s="21"/>
    </row>
    <row r="12" spans="1:25" x14ac:dyDescent="0.25">
      <c r="A12" s="9"/>
      <c r="B12" s="10"/>
    </row>
    <row r="13" spans="1:25" x14ac:dyDescent="0.25">
      <c r="A13" s="9"/>
      <c r="B13" s="10"/>
    </row>
    <row r="14" spans="1:25" x14ac:dyDescent="0.25">
      <c r="A14" s="9"/>
      <c r="B14" s="10"/>
    </row>
    <row r="15" spans="1:25" x14ac:dyDescent="0.25">
      <c r="A15" s="9"/>
      <c r="B15" s="10"/>
    </row>
    <row r="16" spans="1:25" x14ac:dyDescent="0.25">
      <c r="A16" s="9"/>
      <c r="B16" s="10"/>
      <c r="O16" s="12"/>
    </row>
    <row r="17" spans="1:24" x14ac:dyDescent="0.25">
      <c r="A17" s="9"/>
      <c r="B17" s="10"/>
      <c r="O17" s="12"/>
    </row>
    <row r="18" spans="1:24" ht="15.75" thickBot="1" x14ac:dyDescent="0.3">
      <c r="A18" s="11"/>
      <c r="B18" s="11"/>
      <c r="O18" s="12"/>
    </row>
    <row r="19" spans="1:24" x14ac:dyDescent="0.25">
      <c r="O19" s="12"/>
    </row>
    <row r="20" spans="1:24" x14ac:dyDescent="0.25">
      <c r="O20" s="12"/>
      <c r="X20" s="12"/>
    </row>
    <row r="21" spans="1:24" x14ac:dyDescent="0.25">
      <c r="O21" s="12"/>
      <c r="X21" s="12"/>
    </row>
    <row r="22" spans="1:24" x14ac:dyDescent="0.25">
      <c r="O22" s="12"/>
      <c r="X22" s="12"/>
    </row>
    <row r="23" spans="1:24" x14ac:dyDescent="0.25">
      <c r="O23" s="12"/>
      <c r="X23" s="12"/>
    </row>
    <row r="24" spans="1:24" x14ac:dyDescent="0.25">
      <c r="O24" s="12"/>
      <c r="X24" s="12"/>
    </row>
    <row r="25" spans="1:24" x14ac:dyDescent="0.25">
      <c r="O25" s="12"/>
      <c r="X25" s="12"/>
    </row>
    <row r="26" spans="1:24" x14ac:dyDescent="0.25">
      <c r="O26" s="12"/>
      <c r="X26" s="12"/>
    </row>
    <row r="27" spans="1:24" x14ac:dyDescent="0.25">
      <c r="O27" s="12"/>
    </row>
  </sheetData>
  <sortState ref="O16:O27">
    <sortCondition ref="O16"/>
  </sortState>
  <pageMargins left="0.7" right="0.7" top="0.75" bottom="0.75" header="0.3" footer="0.3"/>
  <pageSetup paperSize="9" scale="31" orientation="portrait" r:id="rId1"/>
  <colBreaks count="1" manualBreakCount="1">
    <brk id="30" max="43" man="1"/>
  </colBreaks>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Updated_Engineering_college_enr</vt:lpstr>
      <vt:lpstr>Sheet1</vt:lpstr>
      <vt:lpstr>Sheet4</vt:lpstr>
      <vt:lpstr>pivots</vt:lpstr>
      <vt:lpstr>Dashboard</vt:lpstr>
      <vt:lpstr>Forecasting</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shanU2</dc:creator>
  <cp:lastModifiedBy>.</cp:lastModifiedBy>
  <cp:lastPrinted>2024-07-08T13:46:54Z</cp:lastPrinted>
  <dcterms:created xsi:type="dcterms:W3CDTF">2024-07-08T11:01:52Z</dcterms:created>
  <dcterms:modified xsi:type="dcterms:W3CDTF">2024-07-09T19:08:50Z</dcterms:modified>
</cp:coreProperties>
</file>